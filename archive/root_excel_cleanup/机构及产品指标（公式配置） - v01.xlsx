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test-预算AI项目\"/>
    </mc:Choice>
  </mc:AlternateContent>
  <xr:revisionPtr revIDLastSave="0" documentId="8_{FF92EFB5-F5D4-4B44-97B8-305D29EADF32}" xr6:coauthVersionLast="47" xr6:coauthVersionMax="47" xr10:uidLastSave="{00000000-0000-0000-0000-000000000000}"/>
  <bookViews>
    <workbookView xWindow="28680" yWindow="-120" windowWidth="29040" windowHeight="15720" firstSheet="9" activeTab="16" xr2:uid="{00000000-000D-0000-FFFF-FFFF00000000}"/>
  </bookViews>
  <sheets>
    <sheet name="AA业务状况表" sheetId="8" r:id="rId1"/>
    <sheet name="AA损益表" sheetId="2" r:id="rId2"/>
    <sheet name="AA资产负债表（余额）" sheetId="3" r:id="rId3"/>
    <sheet name="AA资产负债表（日均）" sheetId="4" r:id="rId4"/>
    <sheet name="AA资产质量表" sheetId="5" r:id="rId5"/>
    <sheet name="AA利息净收入表" sheetId="6" r:id="rId6"/>
    <sheet name="A个金群" sheetId="7" r:id="rId7"/>
    <sheet name="A01泛微粒贷" sheetId="9" r:id="rId8"/>
    <sheet name="A02微账户" sheetId="10" r:id="rId9"/>
    <sheet name="A03汽车金融" sheetId="11" r:id="rId10"/>
    <sheet name="A04财富" sheetId="12" r:id="rId11"/>
    <sheet name="A05小鹅" sheetId="13" r:id="rId12"/>
    <sheet name="B企金群" sheetId="14" r:id="rId13"/>
    <sheet name="B01企业金融" sheetId="15" r:id="rId14"/>
    <sheet name="B02金融市场" sheetId="16" r:id="rId15"/>
    <sheet name="C数字金融" sheetId="17" r:id="rId16"/>
    <sheet name="C01国内业务" sheetId="18" r:id="rId17"/>
    <sheet name="C02国内研发" sheetId="19" r:id="rId18"/>
    <sheet name="D国际业务" sheetId="20" r:id="rId19"/>
    <sheet name="D01国际业务" sheetId="21" r:id="rId20"/>
    <sheet name="E小鹅导流" sheetId="22" r:id="rId21"/>
    <sheet name="E01小鹅导流" sheetId="23" r:id="rId22"/>
    <sheet name="F司库及其他" sheetId="24" r:id="rId23"/>
    <sheet name="F01司库及其他" sheetId="25" r:id="rId24"/>
    <sheet name="AB微众科技" sheetId="26" r:id="rId25"/>
  </sheets>
  <definedNames>
    <definedName name="_xlnm._FilterDatabase" localSheetId="8" hidden="1">A02微账户!$A$1:$H$30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2" i="10" l="1"/>
  <c r="G122" i="9"/>
  <c r="G92" i="9"/>
  <c r="G85" i="9"/>
  <c r="F2" i="9"/>
  <c r="F4" i="9"/>
  <c r="G3" i="9"/>
  <c r="F3" i="9"/>
  <c r="G2" i="9"/>
  <c r="G199" i="15"/>
  <c r="F199" i="15"/>
  <c r="G186" i="15"/>
  <c r="F197" i="15"/>
  <c r="G174" i="15"/>
  <c r="F174" i="15"/>
  <c r="G172" i="15"/>
  <c r="F172" i="15"/>
  <c r="G171" i="15"/>
  <c r="F171" i="15"/>
  <c r="F184" i="15"/>
  <c r="G170" i="15"/>
  <c r="G184" i="16" l="1"/>
  <c r="F185" i="16"/>
  <c r="G120" i="16"/>
  <c r="F121" i="16"/>
  <c r="G124" i="16"/>
  <c r="F125" i="16"/>
  <c r="G194" i="16"/>
  <c r="F194" i="16"/>
  <c r="F123" i="16"/>
  <c r="G146" i="16"/>
  <c r="F147" i="16"/>
  <c r="G144" i="16"/>
  <c r="F145" i="16"/>
  <c r="F228" i="16"/>
  <c r="G231" i="16"/>
  <c r="G229" i="16"/>
  <c r="G226" i="16"/>
  <c r="G224" i="16"/>
  <c r="G223" i="16" s="1"/>
  <c r="F223" i="16"/>
  <c r="F221" i="16"/>
  <c r="G214" i="16"/>
  <c r="F217" i="16"/>
  <c r="F213" i="16"/>
  <c r="G210" i="16"/>
  <c r="F209" i="16"/>
  <c r="F205" i="16"/>
  <c r="G228" i="16" l="1"/>
  <c r="G222" i="16" s="1"/>
  <c r="G193" i="16" s="1"/>
  <c r="F222" i="16"/>
  <c r="F193" i="16" s="1"/>
  <c r="F7" i="16" s="1"/>
  <c r="G187" i="16" l="1"/>
  <c r="F187" i="16"/>
  <c r="F173" i="16"/>
  <c r="F172" i="16" s="1"/>
  <c r="F179" i="16"/>
  <c r="F181" i="16"/>
  <c r="F183" i="16"/>
  <c r="G182" i="16"/>
  <c r="G180" i="16"/>
  <c r="G178" i="16"/>
  <c r="G176" i="16"/>
  <c r="F177" i="16"/>
  <c r="G174" i="16"/>
  <c r="F175" i="16"/>
  <c r="G163" i="16"/>
  <c r="F162" i="16"/>
  <c r="F170" i="16"/>
  <c r="G167" i="16"/>
  <c r="F166" i="16"/>
  <c r="G159" i="16"/>
  <c r="F158" i="16"/>
  <c r="G155" i="16"/>
  <c r="G151" i="16"/>
  <c r="F154" i="16"/>
  <c r="G142" i="16"/>
  <c r="F143" i="16"/>
  <c r="G140" i="16"/>
  <c r="F141" i="16"/>
  <c r="G138" i="16"/>
  <c r="F139" i="16"/>
  <c r="G136" i="16"/>
  <c r="F137" i="16"/>
  <c r="G134" i="16"/>
  <c r="F135" i="16"/>
  <c r="G132" i="16"/>
  <c r="F133" i="16"/>
  <c r="G130" i="16"/>
  <c r="F131" i="16"/>
  <c r="F129" i="16"/>
  <c r="G128" i="16"/>
  <c r="G126" i="16"/>
  <c r="F127" i="16"/>
  <c r="G113" i="16"/>
  <c r="F112" i="16"/>
  <c r="F111" i="16" s="1"/>
  <c r="G118" i="16"/>
  <c r="F119" i="16"/>
  <c r="G116" i="16"/>
  <c r="F117" i="16"/>
  <c r="G114" i="16"/>
  <c r="F115" i="16"/>
  <c r="F43" i="16"/>
  <c r="F65" i="16"/>
  <c r="F105" i="16"/>
  <c r="G102" i="16"/>
  <c r="F101" i="16"/>
  <c r="G98" i="16"/>
  <c r="F97" i="16"/>
  <c r="G94" i="16"/>
  <c r="F93" i="16"/>
  <c r="G90" i="16"/>
  <c r="F89" i="16"/>
  <c r="G86" i="16"/>
  <c r="F85" i="16"/>
  <c r="G82" i="16"/>
  <c r="F81" i="16"/>
  <c r="G78" i="16"/>
  <c r="F77" i="16"/>
  <c r="G74" i="16"/>
  <c r="F73" i="16"/>
  <c r="G70" i="16"/>
  <c r="G66" i="16"/>
  <c r="F69" i="16"/>
  <c r="G48" i="16"/>
  <c r="F51" i="16"/>
  <c r="G44" i="16"/>
  <c r="G112" i="16" s="1"/>
  <c r="F47" i="16"/>
  <c r="F113" i="16" s="1"/>
  <c r="F63" i="16"/>
  <c r="G60" i="16"/>
  <c r="F59" i="16"/>
  <c r="G56" i="16"/>
  <c r="F55" i="16"/>
  <c r="G52" i="16"/>
  <c r="G36" i="16"/>
  <c r="G40" i="16" s="1"/>
  <c r="F36" i="16"/>
  <c r="F41" i="16" s="1"/>
  <c r="G33" i="16"/>
  <c r="G32" i="16" s="1"/>
  <c r="F33" i="16"/>
  <c r="F32" i="16" s="1"/>
  <c r="G55" i="15"/>
  <c r="F55" i="15"/>
  <c r="G51" i="15"/>
  <c r="F51" i="15"/>
  <c r="F47" i="15" s="1"/>
  <c r="F46" i="15" s="1"/>
  <c r="G48" i="15"/>
  <c r="F48" i="15"/>
  <c r="G47" i="15"/>
  <c r="G123" i="16" l="1"/>
  <c r="G173" i="16"/>
  <c r="G172" i="16" s="1"/>
  <c r="F107" i="16"/>
  <c r="F39" i="16"/>
  <c r="G111" i="16"/>
  <c r="F109" i="16"/>
  <c r="G108" i="16"/>
  <c r="G43" i="16"/>
  <c r="G65" i="16"/>
  <c r="F34" i="15"/>
  <c r="G37" i="15"/>
  <c r="F37" i="15"/>
  <c r="G49" i="13"/>
  <c r="F50" i="13"/>
  <c r="G37" i="13"/>
  <c r="F37" i="13"/>
  <c r="G38" i="13"/>
  <c r="F38" i="13"/>
  <c r="G33" i="13"/>
  <c r="F33" i="13"/>
  <c r="G38" i="12"/>
  <c r="F38" i="12"/>
  <c r="G37" i="12"/>
  <c r="F37" i="12"/>
  <c r="G33" i="12"/>
  <c r="F33" i="12"/>
  <c r="G32" i="12"/>
  <c r="F32" i="12"/>
  <c r="G33" i="11"/>
  <c r="F33" i="11"/>
  <c r="G38" i="11"/>
  <c r="F38" i="11"/>
  <c r="G37" i="11"/>
  <c r="F37" i="11"/>
  <c r="G32" i="11"/>
  <c r="F32" i="11"/>
  <c r="G42" i="9"/>
  <c r="G41" i="9" s="1"/>
  <c r="F42" i="9"/>
  <c r="F41" i="9"/>
  <c r="G34" i="9"/>
  <c r="G33" i="9" s="1"/>
  <c r="F34" i="9"/>
  <c r="F33" i="9" s="1"/>
  <c r="G69" i="9"/>
  <c r="F35" i="16"/>
  <c r="G19" i="16"/>
  <c r="G18" i="16" s="1"/>
  <c r="F19" i="16"/>
  <c r="F18" i="16" s="1"/>
  <c r="G15" i="16"/>
  <c r="F15" i="16"/>
  <c r="G12" i="16"/>
  <c r="F12" i="16"/>
  <c r="G3" i="16"/>
  <c r="F3" i="16"/>
  <c r="F7" i="15"/>
  <c r="G167" i="15"/>
  <c r="F167" i="15"/>
  <c r="F166" i="15"/>
  <c r="G165" i="15"/>
  <c r="F164" i="15"/>
  <c r="G163" i="15"/>
  <c r="F162" i="15"/>
  <c r="G160" i="15"/>
  <c r="F161" i="15"/>
  <c r="G158" i="15"/>
  <c r="F156" i="15"/>
  <c r="G120" i="15"/>
  <c r="G118" i="15"/>
  <c r="F116" i="15"/>
  <c r="G135" i="15"/>
  <c r="F135" i="15"/>
  <c r="F132" i="15"/>
  <c r="G150" i="15"/>
  <c r="F153" i="15"/>
  <c r="F149" i="15"/>
  <c r="F145" i="15"/>
  <c r="G146" i="15"/>
  <c r="G143" i="15"/>
  <c r="F139" i="15"/>
  <c r="F144" i="15"/>
  <c r="G141" i="15"/>
  <c r="F142" i="15"/>
  <c r="G67" i="15"/>
  <c r="G66" i="15" s="1"/>
  <c r="F67" i="15"/>
  <c r="F66" i="15" s="1"/>
  <c r="G62" i="15"/>
  <c r="G61" i="15" s="1"/>
  <c r="F62" i="15"/>
  <c r="F61" i="15" s="1"/>
  <c r="F33" i="15" l="1"/>
  <c r="G107" i="16"/>
  <c r="G39" i="16"/>
  <c r="F11" i="16"/>
  <c r="G11" i="16"/>
  <c r="F138" i="15"/>
  <c r="G156" i="15"/>
  <c r="G116" i="15"/>
  <c r="G162" i="15"/>
  <c r="F155" i="15"/>
  <c r="F5" i="15" s="1"/>
  <c r="F157" i="15"/>
  <c r="G145" i="15"/>
  <c r="G139" i="15"/>
  <c r="F140" i="15"/>
  <c r="G63" i="13"/>
  <c r="G62" i="13" s="1"/>
  <c r="F62" i="13"/>
  <c r="F64" i="13"/>
  <c r="G59" i="13"/>
  <c r="F60" i="13"/>
  <c r="G45" i="13"/>
  <c r="F45" i="13"/>
  <c r="G43" i="13"/>
  <c r="F43" i="13"/>
  <c r="G68" i="11"/>
  <c r="F69" i="11"/>
  <c r="G59" i="11"/>
  <c r="F60" i="11"/>
  <c r="G45" i="11"/>
  <c r="F45" i="11"/>
  <c r="G43" i="11"/>
  <c r="F43" i="11"/>
  <c r="G112" i="9"/>
  <c r="F113" i="9"/>
  <c r="G103" i="9"/>
  <c r="F104" i="9"/>
  <c r="G51" i="9"/>
  <c r="F51" i="9"/>
  <c r="G49" i="9"/>
  <c r="F49" i="9"/>
  <c r="G155" i="15" l="1"/>
  <c r="G157" i="15"/>
  <c r="G140" i="15"/>
  <c r="G138" i="15"/>
  <c r="G5" i="15" s="1"/>
  <c r="F115" i="15"/>
  <c r="F121" i="15"/>
  <c r="F119" i="15"/>
  <c r="G124" i="15"/>
  <c r="F125" i="15"/>
  <c r="G122" i="15"/>
  <c r="F123" i="15"/>
  <c r="F127" i="15"/>
  <c r="G133" i="15"/>
  <c r="G132" i="15" s="1"/>
  <c r="F134" i="15"/>
  <c r="G130" i="15"/>
  <c r="F131" i="15"/>
  <c r="G128" i="15"/>
  <c r="F129" i="15"/>
  <c r="G115" i="15" l="1"/>
  <c r="F114" i="15"/>
  <c r="G127" i="15"/>
  <c r="G114" i="15" l="1"/>
  <c r="F112" i="15" l="1"/>
  <c r="F108" i="15"/>
  <c r="G109" i="15"/>
  <c r="G108" i="15" s="1"/>
  <c r="G88" i="15"/>
  <c r="G86" i="15" s="1"/>
  <c r="G87" i="15" s="1"/>
  <c r="F88" i="15"/>
  <c r="F89" i="15" s="1"/>
  <c r="F87" i="15"/>
  <c r="G81" i="15"/>
  <c r="G79" i="15" s="1"/>
  <c r="F81" i="15"/>
  <c r="F82" i="15" s="1"/>
  <c r="F80" i="15"/>
  <c r="F76" i="15"/>
  <c r="F73" i="15" s="1"/>
  <c r="F72" i="15" s="1"/>
  <c r="F4" i="15" s="1"/>
  <c r="F3" i="15" s="1"/>
  <c r="F98" i="15"/>
  <c r="G103" i="15"/>
  <c r="F106" i="15"/>
  <c r="F102" i="15"/>
  <c r="G99" i="15"/>
  <c r="F94" i="15"/>
  <c r="G34" i="15"/>
  <c r="G33" i="15" s="1"/>
  <c r="G93" i="15"/>
  <c r="G95" i="15"/>
  <c r="F96" i="15"/>
  <c r="G41" i="15"/>
  <c r="F41" i="15"/>
  <c r="F32" i="15" s="1"/>
  <c r="F6" i="15"/>
  <c r="G7" i="13"/>
  <c r="F7" i="13"/>
  <c r="F6" i="13"/>
  <c r="F78" i="13"/>
  <c r="G66" i="13"/>
  <c r="F67" i="13"/>
  <c r="G58" i="13"/>
  <c r="F58" i="13"/>
  <c r="G55" i="13"/>
  <c r="F55" i="13"/>
  <c r="F52" i="13" s="1"/>
  <c r="G53" i="13"/>
  <c r="F54" i="13"/>
  <c r="G48" i="13"/>
  <c r="F48" i="13"/>
  <c r="G19" i="13"/>
  <c r="G18" i="13" s="1"/>
  <c r="F19" i="13"/>
  <c r="F18" i="13" s="1"/>
  <c r="G15" i="13"/>
  <c r="F15" i="13"/>
  <c r="G12" i="13"/>
  <c r="F12" i="13"/>
  <c r="G7" i="12"/>
  <c r="F7" i="12"/>
  <c r="F6" i="12"/>
  <c r="G96" i="12"/>
  <c r="F96" i="12"/>
  <c r="G94" i="12"/>
  <c r="G93" i="12" s="1"/>
  <c r="F95" i="12"/>
  <c r="F93" i="12"/>
  <c r="G91" i="12"/>
  <c r="G87" i="12" s="1"/>
  <c r="G89" i="12"/>
  <c r="F90" i="12"/>
  <c r="F87" i="12"/>
  <c r="F88" i="12" s="1"/>
  <c r="G81" i="12"/>
  <c r="F84" i="12"/>
  <c r="G80" i="12"/>
  <c r="F80" i="12"/>
  <c r="F73" i="12" s="1"/>
  <c r="G76" i="12"/>
  <c r="F77" i="12"/>
  <c r="F74" i="12"/>
  <c r="F75" i="12" s="1"/>
  <c r="G70" i="12"/>
  <c r="F70" i="12"/>
  <c r="G68" i="12"/>
  <c r="F69" i="12"/>
  <c r="G67" i="12"/>
  <c r="F67" i="12"/>
  <c r="G65" i="12"/>
  <c r="F66" i="12"/>
  <c r="F64" i="12"/>
  <c r="F4" i="12" s="1"/>
  <c r="G59" i="12"/>
  <c r="G58" i="12" s="1"/>
  <c r="G54" i="12" s="1"/>
  <c r="F62" i="12"/>
  <c r="F58" i="12"/>
  <c r="F54" i="12" s="1"/>
  <c r="G55" i="12"/>
  <c r="F56" i="12"/>
  <c r="G108" i="12"/>
  <c r="G106" i="12"/>
  <c r="G105" i="12" s="1"/>
  <c r="F110" i="12"/>
  <c r="F109" i="12"/>
  <c r="F107" i="12"/>
  <c r="G101" i="12"/>
  <c r="G100" i="12" s="1"/>
  <c r="G6" i="12" s="1"/>
  <c r="F102" i="12"/>
  <c r="F103" i="12"/>
  <c r="F99" i="10"/>
  <c r="G51" i="12"/>
  <c r="G78" i="12" s="1"/>
  <c r="F51" i="12"/>
  <c r="F92" i="12" s="1"/>
  <c r="G46" i="12"/>
  <c r="F46" i="12"/>
  <c r="G43" i="12"/>
  <c r="F43" i="12"/>
  <c r="G7" i="11"/>
  <c r="F7" i="11"/>
  <c r="F92" i="11"/>
  <c r="F97" i="11" s="1"/>
  <c r="F83" i="11"/>
  <c r="G95" i="11"/>
  <c r="F96" i="11"/>
  <c r="G93" i="11"/>
  <c r="F94" i="11"/>
  <c r="G32" i="15" l="1"/>
  <c r="G64" i="12"/>
  <c r="F86" i="12"/>
  <c r="F5" i="12" s="1"/>
  <c r="G74" i="12"/>
  <c r="G4" i="12"/>
  <c r="G75" i="12"/>
  <c r="G73" i="12"/>
  <c r="G88" i="12"/>
  <c r="G86" i="12"/>
  <c r="G5" i="12" s="1"/>
  <c r="G3" i="12" s="1"/>
  <c r="F79" i="12"/>
  <c r="G5" i="13"/>
  <c r="F4" i="13"/>
  <c r="F5" i="13"/>
  <c r="F3" i="13" s="1"/>
  <c r="F2" i="13" s="1"/>
  <c r="F9" i="13" s="1"/>
  <c r="G52" i="13"/>
  <c r="G4" i="13" s="1"/>
  <c r="G92" i="11"/>
  <c r="F75" i="15"/>
  <c r="F117" i="15"/>
  <c r="G46" i="15"/>
  <c r="G117" i="15"/>
  <c r="F74" i="15"/>
  <c r="G98" i="15"/>
  <c r="G76" i="15"/>
  <c r="G80" i="15"/>
  <c r="F78" i="15"/>
  <c r="F77" i="15"/>
  <c r="G11" i="13"/>
  <c r="F11" i="13"/>
  <c r="F3" i="12"/>
  <c r="F2" i="12" s="1"/>
  <c r="F9" i="12" s="1"/>
  <c r="F81" i="11"/>
  <c r="G80" i="11"/>
  <c r="G79" i="11" s="1"/>
  <c r="G74" i="11"/>
  <c r="G73" i="11" s="1"/>
  <c r="F77" i="11"/>
  <c r="F73" i="11"/>
  <c r="G71" i="11"/>
  <c r="G70" i="11" s="1"/>
  <c r="F72" i="11"/>
  <c r="F70" i="11"/>
  <c r="F67" i="11" s="1"/>
  <c r="G67" i="11"/>
  <c r="G113" i="10"/>
  <c r="G112" i="10"/>
  <c r="F112" i="10"/>
  <c r="G62" i="11"/>
  <c r="G61" i="11" s="1"/>
  <c r="F65" i="11"/>
  <c r="F61" i="11"/>
  <c r="F58" i="11" s="1"/>
  <c r="G49" i="11"/>
  <c r="F50" i="11"/>
  <c r="F63" i="10"/>
  <c r="F48" i="11"/>
  <c r="G55" i="11"/>
  <c r="F55" i="11"/>
  <c r="F52" i="11" s="1"/>
  <c r="G53" i="11"/>
  <c r="G3" i="13" l="1"/>
  <c r="G195" i="15"/>
  <c r="G191" i="15"/>
  <c r="G189" i="15"/>
  <c r="G187" i="15"/>
  <c r="F192" i="15"/>
  <c r="F4" i="11"/>
  <c r="F3" i="11" s="1"/>
  <c r="F5" i="11"/>
  <c r="G78" i="15"/>
  <c r="G77" i="15"/>
  <c r="G73" i="15"/>
  <c r="G72" i="15" s="1"/>
  <c r="G4" i="15" s="1"/>
  <c r="G3" i="15" s="1"/>
  <c r="F28" i="13"/>
  <c r="F30" i="13" s="1"/>
  <c r="G58" i="11"/>
  <c r="G5" i="11" s="1"/>
  <c r="G52" i="11"/>
  <c r="F54" i="11"/>
  <c r="G48" i="11"/>
  <c r="F6" i="11"/>
  <c r="F98" i="10"/>
  <c r="F97" i="10"/>
  <c r="F5" i="10" s="1"/>
  <c r="G115" i="10"/>
  <c r="F115" i="10"/>
  <c r="G92" i="10"/>
  <c r="G91" i="10"/>
  <c r="F91" i="10"/>
  <c r="F81" i="10"/>
  <c r="G79" i="10" a="1"/>
  <c r="G79" i="10" s="1"/>
  <c r="G81" i="10" s="1" a="1"/>
  <c r="G81" i="10" s="1"/>
  <c r="G73" i="10" a="1"/>
  <c r="G73" i="10" s="1"/>
  <c r="G72" i="10" s="1"/>
  <c r="F68" i="10"/>
  <c r="F66" i="10"/>
  <c r="F64" i="10"/>
  <c r="F62" i="10"/>
  <c r="G55" i="10"/>
  <c r="F55" i="10"/>
  <c r="G54" i="10"/>
  <c r="F54" i="10"/>
  <c r="G4" i="10"/>
  <c r="F4" i="10"/>
  <c r="G49" i="10"/>
  <c r="G47" i="10"/>
  <c r="F47" i="10"/>
  <c r="F6" i="10"/>
  <c r="G140" i="10"/>
  <c r="F140" i="10"/>
  <c r="G128" i="10"/>
  <c r="F129" i="10"/>
  <c r="G126" i="10"/>
  <c r="G127" i="10"/>
  <c r="F127" i="10"/>
  <c r="G120" i="10"/>
  <c r="F123" i="10"/>
  <c r="G121" i="10"/>
  <c r="F122" i="10"/>
  <c r="F114" i="10"/>
  <c r="G110" i="10"/>
  <c r="F111" i="10"/>
  <c r="F117" i="10"/>
  <c r="G116" i="10"/>
  <c r="F106" i="10"/>
  <c r="F103" i="10"/>
  <c r="G108" i="10"/>
  <c r="F109" i="10"/>
  <c r="G4" i="11" l="1"/>
  <c r="G3" i="11" s="1"/>
  <c r="G75" i="15"/>
  <c r="G74" i="15"/>
  <c r="F2" i="11"/>
  <c r="F9" i="11" s="1"/>
  <c r="F73" i="10" l="1"/>
  <c r="F71" i="10"/>
  <c r="F104" i="10" s="1"/>
  <c r="F95" i="10"/>
  <c r="G82" i="10"/>
  <c r="G78" i="10"/>
  <c r="F78" i="10"/>
  <c r="F79" i="10" s="1"/>
  <c r="F77" i="10"/>
  <c r="F107" i="10" s="1"/>
  <c r="F75" i="10"/>
  <c r="G86" i="10"/>
  <c r="F89" i="10"/>
  <c r="F85" i="10"/>
  <c r="G58" i="10"/>
  <c r="F58" i="10"/>
  <c r="G56" i="10"/>
  <c r="F57" i="10"/>
  <c r="G48" i="10"/>
  <c r="F48" i="10"/>
  <c r="F52" i="10"/>
  <c r="F7" i="10"/>
  <c r="G7" i="10"/>
  <c r="F3" i="10"/>
  <c r="G7" i="9"/>
  <c r="F7" i="9"/>
  <c r="G19" i="10"/>
  <c r="G18" i="10" s="1"/>
  <c r="F19" i="10"/>
  <c r="F18" i="10" s="1"/>
  <c r="G15" i="10"/>
  <c r="F15" i="10"/>
  <c r="G12" i="10"/>
  <c r="F12" i="10"/>
  <c r="F11" i="10" s="1"/>
  <c r="G151" i="9"/>
  <c r="F146" i="9"/>
  <c r="G123" i="9"/>
  <c r="G121" i="9" s="1"/>
  <c r="F144" i="9"/>
  <c r="F122" i="9"/>
  <c r="G11" i="10" l="1"/>
  <c r="G145" i="9"/>
  <c r="G146" i="9" s="1"/>
  <c r="F2" i="10"/>
  <c r="F9" i="10" s="1"/>
  <c r="G143" i="9" l="1"/>
  <c r="F28" i="10"/>
  <c r="F30" i="10" s="1"/>
  <c r="G144" i="9" l="1"/>
  <c r="F128" i="9"/>
  <c r="F120" i="9"/>
  <c r="G119" i="9"/>
  <c r="G120" i="9" s="1"/>
  <c r="G32" i="9"/>
  <c r="F32" i="9"/>
  <c r="F6" i="9"/>
  <c r="F116" i="9"/>
  <c r="G115" i="9"/>
  <c r="G114" i="9" s="1"/>
  <c r="G111" i="9" s="1"/>
  <c r="F114" i="9"/>
  <c r="F111" i="9" s="1"/>
  <c r="F75" i="9"/>
  <c r="G106" i="9"/>
  <c r="G105" i="9" s="1"/>
  <c r="G102" i="9" s="1"/>
  <c r="F105" i="9"/>
  <c r="F102" i="9" s="1"/>
  <c r="F109" i="9"/>
  <c r="G84" i="9"/>
  <c r="F84" i="9"/>
  <c r="F88" i="9"/>
  <c r="G99" i="9"/>
  <c r="F99" i="9"/>
  <c r="F96" i="9"/>
  <c r="F91" i="9"/>
  <c r="G97" i="9"/>
  <c r="G96" i="9" s="1"/>
  <c r="F98" i="9"/>
  <c r="G94" i="9"/>
  <c r="F95" i="9"/>
  <c r="F93" i="9"/>
  <c r="F80" i="9"/>
  <c r="G78" i="9"/>
  <c r="G76" i="9" s="1"/>
  <c r="F76" i="9"/>
  <c r="F78" i="9" s="1"/>
  <c r="G91" i="9" l="1"/>
  <c r="G90" i="9" s="1"/>
  <c r="F90" i="9"/>
  <c r="G79" i="9"/>
  <c r="G80" i="9" s="1"/>
  <c r="G5" i="9" l="1"/>
  <c r="F5" i="9"/>
  <c r="G74" i="9"/>
  <c r="G75" i="9" s="1"/>
  <c r="F65" i="9" l="1"/>
  <c r="G58" i="9"/>
  <c r="G72" i="9"/>
  <c r="F72" i="9"/>
  <c r="F58" i="9" s="1"/>
  <c r="F59" i="9" s="1"/>
  <c r="F57" i="9"/>
  <c r="G68" i="9"/>
  <c r="G64" i="9" s="1"/>
  <c r="G65" i="9" s="1"/>
  <c r="F68" i="9"/>
  <c r="F70" i="9"/>
  <c r="G56" i="9" l="1"/>
  <c r="G59" i="9"/>
  <c r="G57" i="9" l="1"/>
  <c r="F8" i="14" l="1"/>
  <c r="G6" i="14"/>
  <c r="F31" i="17"/>
  <c r="F32" i="17"/>
  <c r="F33" i="17"/>
  <c r="F34" i="17"/>
  <c r="F35" i="17"/>
  <c r="G35" i="17"/>
  <c r="G36" i="17"/>
  <c r="F36" i="17"/>
  <c r="G2" i="17"/>
  <c r="G3" i="17"/>
  <c r="G4" i="17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F3" i="17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2" i="17"/>
  <c r="F5" i="14"/>
  <c r="G5" i="14"/>
  <c r="F6" i="14"/>
  <c r="G8" i="14"/>
  <c r="F9" i="14"/>
  <c r="G9" i="14"/>
  <c r="F16" i="14"/>
  <c r="G16" i="14"/>
  <c r="F19" i="14"/>
  <c r="G19" i="14"/>
  <c r="F20" i="14"/>
  <c r="G20" i="14"/>
  <c r="F22" i="14"/>
  <c r="G22" i="14"/>
  <c r="F23" i="14"/>
  <c r="G23" i="14"/>
  <c r="F26" i="14"/>
  <c r="G26" i="14"/>
  <c r="F27" i="14"/>
  <c r="G27" i="14"/>
  <c r="F28" i="14"/>
  <c r="G28" i="14"/>
  <c r="F29" i="14"/>
  <c r="G29" i="14"/>
  <c r="F30" i="14"/>
  <c r="G30" i="14"/>
  <c r="F31" i="14"/>
  <c r="G31" i="14"/>
  <c r="F32" i="14"/>
  <c r="G32" i="14"/>
  <c r="F33" i="14"/>
  <c r="G33" i="14"/>
  <c r="F35" i="14"/>
  <c r="G35" i="14"/>
  <c r="G190" i="16" l="1"/>
  <c r="G6" i="16" s="1"/>
  <c r="F190" i="16"/>
  <c r="F6" i="16" s="1"/>
  <c r="G35" i="16"/>
  <c r="F2" i="16" l="1"/>
  <c r="F9" i="16" s="1"/>
  <c r="G7" i="16"/>
  <c r="G2" i="16" s="1"/>
  <c r="F10" i="14"/>
  <c r="F12" i="14"/>
  <c r="F11" i="14"/>
  <c r="G4" i="14"/>
  <c r="F4" i="14"/>
  <c r="F196" i="15"/>
  <c r="G19" i="15"/>
  <c r="F19" i="15"/>
  <c r="G15" i="15"/>
  <c r="G21" i="14" s="1"/>
  <c r="F15" i="15"/>
  <c r="G12" i="15"/>
  <c r="G18" i="14" s="1"/>
  <c r="F12" i="15"/>
  <c r="F18" i="14" s="1"/>
  <c r="G14" i="14"/>
  <c r="F14" i="14"/>
  <c r="G7" i="14"/>
  <c r="F7" i="14"/>
  <c r="G16" i="7"/>
  <c r="G19" i="7"/>
  <c r="G20" i="7"/>
  <c r="G22" i="7"/>
  <c r="G23" i="7"/>
  <c r="G26" i="7"/>
  <c r="G27" i="7"/>
  <c r="G29" i="7"/>
  <c r="G31" i="7"/>
  <c r="G32" i="7"/>
  <c r="G33" i="7"/>
  <c r="G35" i="7"/>
  <c r="F16" i="7"/>
  <c r="F19" i="7"/>
  <c r="F20" i="7"/>
  <c r="F22" i="7"/>
  <c r="F23" i="7"/>
  <c r="F26" i="7"/>
  <c r="F27" i="7"/>
  <c r="F28" i="7"/>
  <c r="F29" i="7"/>
  <c r="F30" i="7"/>
  <c r="F31" i="7"/>
  <c r="F32" i="7"/>
  <c r="F33" i="7"/>
  <c r="F35" i="7"/>
  <c r="F77" i="13"/>
  <c r="G32" i="13"/>
  <c r="F32" i="13"/>
  <c r="G48" i="12"/>
  <c r="F48" i="12"/>
  <c r="G19" i="12"/>
  <c r="G18" i="12" s="1"/>
  <c r="F19" i="12"/>
  <c r="F18" i="12" s="1"/>
  <c r="G15" i="12"/>
  <c r="F15" i="12"/>
  <c r="G12" i="12"/>
  <c r="F12" i="12"/>
  <c r="G9" i="16" l="1"/>
  <c r="G28" i="16" s="1"/>
  <c r="G30" i="16" s="1"/>
  <c r="F28" i="16"/>
  <c r="F30" i="16" s="1"/>
  <c r="F11" i="12"/>
  <c r="G11" i="12"/>
  <c r="F21" i="14"/>
  <c r="F159" i="15"/>
  <c r="F13" i="14"/>
  <c r="G7" i="15"/>
  <c r="G13" i="14" s="1"/>
  <c r="F188" i="15"/>
  <c r="G11" i="14"/>
  <c r="F18" i="15"/>
  <c r="F24" i="14" s="1"/>
  <c r="F25" i="14"/>
  <c r="F190" i="15"/>
  <c r="G3" i="14"/>
  <c r="G18" i="15"/>
  <c r="G24" i="14" s="1"/>
  <c r="G25" i="14"/>
  <c r="G76" i="13"/>
  <c r="G74" i="13"/>
  <c r="G72" i="13"/>
  <c r="F71" i="13"/>
  <c r="F73" i="13"/>
  <c r="F75" i="13"/>
  <c r="G70" i="13"/>
  <c r="G75" i="10" a="1"/>
  <c r="G75" i="10" s="1"/>
  <c r="G74" i="10" s="1"/>
  <c r="G2" i="12"/>
  <c r="G9" i="12" s="1"/>
  <c r="G69" i="13" l="1"/>
  <c r="G6" i="13" s="1"/>
  <c r="G2" i="13" s="1"/>
  <c r="G9" i="13" s="1"/>
  <c r="G28" i="13" s="1"/>
  <c r="G30" i="13" s="1"/>
  <c r="F2" i="15"/>
  <c r="F9" i="15" s="1"/>
  <c r="F11" i="15"/>
  <c r="F17" i="14" s="1"/>
  <c r="G11" i="15"/>
  <c r="G17" i="14" s="1"/>
  <c r="F3" i="14"/>
  <c r="F28" i="12"/>
  <c r="F30" i="12" s="1"/>
  <c r="G70" i="10"/>
  <c r="G71" i="10" s="1"/>
  <c r="F2" i="14" l="1"/>
  <c r="F28" i="15"/>
  <c r="F30" i="15" s="1"/>
  <c r="G12" i="14"/>
  <c r="G6" i="15"/>
  <c r="G103" i="10"/>
  <c r="G102" i="10" s="1"/>
  <c r="F15" i="14"/>
  <c r="G28" i="12"/>
  <c r="G30" i="12" s="1"/>
  <c r="G88" i="11"/>
  <c r="G19" i="11"/>
  <c r="G18" i="11" s="1"/>
  <c r="F19" i="11"/>
  <c r="F18" i="11" s="1"/>
  <c r="G15" i="11"/>
  <c r="F15" i="11"/>
  <c r="G12" i="11"/>
  <c r="F12" i="11"/>
  <c r="G10" i="14" l="1"/>
  <c r="G2" i="15"/>
  <c r="G86" i="11"/>
  <c r="G90" i="11"/>
  <c r="F89" i="11"/>
  <c r="F87" i="11"/>
  <c r="F91" i="11"/>
  <c r="G68" i="10"/>
  <c r="F36" i="14"/>
  <c r="F34" i="14"/>
  <c r="G11" i="11"/>
  <c r="F11" i="11"/>
  <c r="G85" i="11" l="1"/>
  <c r="G9" i="15"/>
  <c r="G2" i="14"/>
  <c r="G80" i="10"/>
  <c r="G66" i="10" s="1"/>
  <c r="F28" i="11"/>
  <c r="F30" i="11" s="1"/>
  <c r="G125" i="10"/>
  <c r="G6" i="10" s="1"/>
  <c r="G40" i="10"/>
  <c r="F40" i="10"/>
  <c r="F100" i="10" s="1"/>
  <c r="G33" i="10"/>
  <c r="F33" i="10"/>
  <c r="F14" i="7"/>
  <c r="G13" i="7"/>
  <c r="F13" i="7"/>
  <c r="F133" i="9"/>
  <c r="F12" i="7"/>
  <c r="F11" i="7"/>
  <c r="F6" i="7"/>
  <c r="F9" i="7"/>
  <c r="G28" i="15" l="1"/>
  <c r="G15" i="14"/>
  <c r="G6" i="11"/>
  <c r="G2" i="11" s="1"/>
  <c r="G9" i="11" s="1"/>
  <c r="G28" i="11" s="1"/>
  <c r="G30" i="11" s="1"/>
  <c r="G76" i="10"/>
  <c r="G77" i="10" s="1"/>
  <c r="G106" i="10" s="1"/>
  <c r="G105" i="10" s="1"/>
  <c r="G99" i="10" s="1"/>
  <c r="G69" i="10"/>
  <c r="F67" i="10"/>
  <c r="F65" i="10"/>
  <c r="F101" i="10" s="1"/>
  <c r="F69" i="10"/>
  <c r="G67" i="10"/>
  <c r="F32" i="10"/>
  <c r="G32" i="10"/>
  <c r="F39" i="10"/>
  <c r="F55" i="9"/>
  <c r="F54" i="9" s="1"/>
  <c r="F9" i="9" s="1"/>
  <c r="G39" i="10"/>
  <c r="F8" i="7"/>
  <c r="G6" i="7"/>
  <c r="G30" i="15" l="1"/>
  <c r="G36" i="14" s="1"/>
  <c r="G34" i="14"/>
  <c r="G64" i="10"/>
  <c r="G65" i="10" s="1"/>
  <c r="G19" i="9"/>
  <c r="G15" i="9"/>
  <c r="G21" i="7" s="1"/>
  <c r="G12" i="9"/>
  <c r="G18" i="7" s="1"/>
  <c r="G14" i="7"/>
  <c r="F15" i="9"/>
  <c r="F21" i="7" s="1"/>
  <c r="F12" i="9"/>
  <c r="F18" i="7" s="1"/>
  <c r="F10" i="7"/>
  <c r="F7" i="7"/>
  <c r="F19" i="9"/>
  <c r="G63" i="10" l="1"/>
  <c r="G62" i="10" s="1"/>
  <c r="G8" i="7"/>
  <c r="G55" i="9"/>
  <c r="G54" i="9" s="1"/>
  <c r="G4" i="9" s="1"/>
  <c r="G18" i="9"/>
  <c r="G24" i="7" s="1"/>
  <c r="G25" i="7"/>
  <c r="F25" i="7"/>
  <c r="F18" i="9"/>
  <c r="F24" i="7" s="1"/>
  <c r="G40" i="9"/>
  <c r="F40" i="9"/>
  <c r="G98" i="10" l="1"/>
  <c r="G97" i="10" s="1"/>
  <c r="G5" i="10" s="1"/>
  <c r="G3" i="10" s="1"/>
  <c r="G2" i="10" s="1"/>
  <c r="G100" i="10"/>
  <c r="G101" i="10" s="1"/>
  <c r="G129" i="9"/>
  <c r="G140" i="9"/>
  <c r="G136" i="9"/>
  <c r="F129" i="9"/>
  <c r="F130" i="9" s="1"/>
  <c r="F141" i="9"/>
  <c r="F137" i="9"/>
  <c r="F11" i="9"/>
  <c r="F17" i="7" s="1"/>
  <c r="G11" i="9"/>
  <c r="G17" i="7" s="1"/>
  <c r="F139" i="9"/>
  <c r="G138" i="9"/>
  <c r="G9" i="10" l="1"/>
  <c r="G28" i="10" s="1"/>
  <c r="G127" i="9"/>
  <c r="G128" i="9" s="1"/>
  <c r="G135" i="9"/>
  <c r="G5" i="7"/>
  <c r="F5" i="7"/>
  <c r="G7" i="7"/>
  <c r="G12" i="7"/>
  <c r="G9" i="7" l="1"/>
  <c r="G30" i="10"/>
  <c r="G30" i="7" s="1"/>
  <c r="G28" i="7"/>
  <c r="G118" i="9"/>
  <c r="G6" i="9" s="1"/>
  <c r="G9" i="9" s="1"/>
  <c r="G4" i="7"/>
  <c r="F4" i="7"/>
  <c r="F3" i="7"/>
  <c r="G3" i="7"/>
  <c r="F2" i="7" l="1"/>
  <c r="G11" i="7"/>
  <c r="G10" i="7" l="1"/>
  <c r="F28" i="9"/>
  <c r="F15" i="7"/>
  <c r="F30" i="9" l="1"/>
  <c r="F36" i="7" s="1"/>
  <c r="F34" i="7"/>
  <c r="G2" i="7"/>
  <c r="G28" i="9" l="1"/>
  <c r="G15" i="7"/>
  <c r="G30" i="9" l="1"/>
  <c r="G36" i="7" s="1"/>
  <c r="G3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<sst xmlns="http://schemas.openxmlformats.org/spreadsheetml/2006/main" count="7874" uniqueCount="2372">
  <si>
    <t>收入</t>
  </si>
  <si>
    <t>收入</t>
    <phoneticPr fontId="2" type="noConversion"/>
  </si>
  <si>
    <t>科目层级</t>
    <phoneticPr fontId="2" type="noConversion"/>
  </si>
  <si>
    <t>科目性质</t>
    <phoneticPr fontId="2" type="noConversion"/>
  </si>
  <si>
    <t>科目名称</t>
    <phoneticPr fontId="2" type="noConversion"/>
  </si>
  <si>
    <t>科目代码</t>
    <phoneticPr fontId="2" type="noConversion"/>
  </si>
  <si>
    <t>一级</t>
    <phoneticPr fontId="2" type="noConversion"/>
  </si>
  <si>
    <t>营业收入</t>
    <phoneticPr fontId="2" type="noConversion"/>
  </si>
  <si>
    <t>AA01</t>
    <phoneticPr fontId="2" type="noConversion"/>
  </si>
  <si>
    <t>二级</t>
    <phoneticPr fontId="2" type="noConversion"/>
  </si>
  <si>
    <t xml:space="preserve">  利息净收入</t>
    <phoneticPr fontId="2" type="noConversion"/>
  </si>
  <si>
    <t>AA0101</t>
    <phoneticPr fontId="2" type="noConversion"/>
  </si>
  <si>
    <t>三级</t>
    <phoneticPr fontId="2" type="noConversion"/>
  </si>
  <si>
    <t xml:space="preserve">      利息收入</t>
    <phoneticPr fontId="2" type="noConversion"/>
  </si>
  <si>
    <t>AA010101</t>
    <phoneticPr fontId="2" type="noConversion"/>
  </si>
  <si>
    <t>支出</t>
    <phoneticPr fontId="2" type="noConversion"/>
  </si>
  <si>
    <t xml:space="preserve">      利息支出</t>
    <phoneticPr fontId="2" type="noConversion"/>
  </si>
  <si>
    <t xml:space="preserve">  净手续费收入</t>
    <phoneticPr fontId="2" type="noConversion"/>
  </si>
  <si>
    <t>AA0102</t>
    <phoneticPr fontId="2" type="noConversion"/>
  </si>
  <si>
    <t xml:space="preserve">    手续费收入</t>
    <phoneticPr fontId="2" type="noConversion"/>
  </si>
  <si>
    <t>AA010201</t>
    <phoneticPr fontId="2" type="noConversion"/>
  </si>
  <si>
    <t xml:space="preserve">    手续费支出</t>
    <phoneticPr fontId="2" type="noConversion"/>
  </si>
  <si>
    <t>AA010202</t>
    <phoneticPr fontId="2" type="noConversion"/>
  </si>
  <si>
    <t xml:space="preserve">  其他营收</t>
    <phoneticPr fontId="2" type="noConversion"/>
  </si>
  <si>
    <t>AA0103</t>
    <phoneticPr fontId="2" type="noConversion"/>
  </si>
  <si>
    <t>减：资产减值损失</t>
    <phoneticPr fontId="2" type="noConversion"/>
  </si>
  <si>
    <t>AA02</t>
    <phoneticPr fontId="2" type="noConversion"/>
  </si>
  <si>
    <t xml:space="preserve">  贷款减值损失</t>
    <phoneticPr fontId="2" type="noConversion"/>
  </si>
  <si>
    <t>AA0201</t>
    <phoneticPr fontId="2" type="noConversion"/>
  </si>
  <si>
    <t xml:space="preserve">    实际风险成本</t>
    <phoneticPr fontId="2" type="noConversion"/>
  </si>
  <si>
    <t>AA020101</t>
    <phoneticPr fontId="2" type="noConversion"/>
  </si>
  <si>
    <t xml:space="preserve">    超额拨备</t>
    <phoneticPr fontId="2" type="noConversion"/>
  </si>
  <si>
    <t>AA020102</t>
    <phoneticPr fontId="2" type="noConversion"/>
  </si>
  <si>
    <t xml:space="preserve">  非贷减值损失</t>
    <phoneticPr fontId="2" type="noConversion"/>
  </si>
  <si>
    <t>AA0202</t>
    <phoneticPr fontId="2" type="noConversion"/>
  </si>
  <si>
    <t>净收入</t>
    <phoneticPr fontId="2" type="noConversion"/>
  </si>
  <si>
    <t>AA03</t>
    <phoneticPr fontId="2" type="noConversion"/>
  </si>
  <si>
    <t>减：税金及附加</t>
    <phoneticPr fontId="2" type="noConversion"/>
  </si>
  <si>
    <t>AA04</t>
    <phoneticPr fontId="2" type="noConversion"/>
  </si>
  <si>
    <t>减：业务及管理费</t>
    <phoneticPr fontId="2" type="noConversion"/>
  </si>
  <si>
    <t>AA05</t>
    <phoneticPr fontId="2" type="noConversion"/>
  </si>
  <si>
    <t xml:space="preserve">  人力费用</t>
    <phoneticPr fontId="2" type="noConversion"/>
  </si>
  <si>
    <t>AA0501</t>
    <phoneticPr fontId="2" type="noConversion"/>
  </si>
  <si>
    <t xml:space="preserve">    常规人力</t>
    <phoneticPr fontId="2" type="noConversion"/>
  </si>
  <si>
    <t>AA050101</t>
    <phoneticPr fontId="2" type="noConversion"/>
  </si>
  <si>
    <t xml:space="preserve">    利润分享</t>
    <phoneticPr fontId="2" type="noConversion"/>
  </si>
  <si>
    <t>AA050102</t>
    <phoneticPr fontId="2" type="noConversion"/>
  </si>
  <si>
    <t xml:space="preserve">    专项费用</t>
    <phoneticPr fontId="2" type="noConversion"/>
  </si>
  <si>
    <t>AA050103</t>
  </si>
  <si>
    <t xml:space="preserve">  业务费用</t>
    <phoneticPr fontId="2" type="noConversion"/>
  </si>
  <si>
    <t>AA0502</t>
    <phoneticPr fontId="2" type="noConversion"/>
  </si>
  <si>
    <t xml:space="preserve">    营销费用</t>
    <phoneticPr fontId="2" type="noConversion"/>
  </si>
  <si>
    <t>AA050201</t>
    <phoneticPr fontId="2" type="noConversion"/>
  </si>
  <si>
    <t xml:space="preserve">    运营费用</t>
    <phoneticPr fontId="2" type="noConversion"/>
  </si>
  <si>
    <t>AA050202</t>
    <phoneticPr fontId="2" type="noConversion"/>
  </si>
  <si>
    <t xml:space="preserve">  IT费用</t>
    <phoneticPr fontId="2" type="noConversion"/>
  </si>
  <si>
    <t>AA0503</t>
    <phoneticPr fontId="2" type="noConversion"/>
  </si>
  <si>
    <t xml:space="preserve">  日常费用</t>
    <phoneticPr fontId="2" type="noConversion"/>
  </si>
  <si>
    <t>AA0504</t>
    <phoneticPr fontId="2" type="noConversion"/>
  </si>
  <si>
    <t>加：营业外净收入</t>
    <phoneticPr fontId="2" type="noConversion"/>
  </si>
  <si>
    <t>AA06</t>
    <phoneticPr fontId="2" type="noConversion"/>
  </si>
  <si>
    <t>税前利润</t>
    <phoneticPr fontId="2" type="noConversion"/>
  </si>
  <si>
    <t>AA09</t>
    <phoneticPr fontId="2" type="noConversion"/>
  </si>
  <si>
    <t>减：所得税</t>
    <phoneticPr fontId="2" type="noConversion"/>
  </si>
  <si>
    <t>AA10</t>
    <phoneticPr fontId="2" type="noConversion"/>
  </si>
  <si>
    <t>净利润</t>
    <phoneticPr fontId="2" type="noConversion"/>
  </si>
  <si>
    <t>AA11</t>
    <phoneticPr fontId="2" type="noConversion"/>
  </si>
  <si>
    <t>资产余额</t>
    <phoneticPr fontId="2" type="noConversion"/>
  </si>
  <si>
    <t>总资产</t>
    <phoneticPr fontId="2" type="noConversion"/>
  </si>
  <si>
    <t>AA12</t>
    <phoneticPr fontId="2" type="noConversion"/>
  </si>
  <si>
    <t xml:space="preserve">  表内贷款</t>
    <phoneticPr fontId="2" type="noConversion"/>
  </si>
  <si>
    <t>AA1201</t>
    <phoneticPr fontId="2" type="noConversion"/>
  </si>
  <si>
    <t xml:space="preserve">    泛微粒贷</t>
    <phoneticPr fontId="2" type="noConversion"/>
  </si>
  <si>
    <t>AA120101</t>
    <phoneticPr fontId="2" type="noConversion"/>
  </si>
  <si>
    <t>四级</t>
    <phoneticPr fontId="2" type="noConversion"/>
  </si>
  <si>
    <t xml:space="preserve">      微粒贷</t>
    <phoneticPr fontId="2" type="noConversion"/>
  </si>
  <si>
    <t>AA12010101</t>
    <phoneticPr fontId="2" type="noConversion"/>
  </si>
  <si>
    <t xml:space="preserve">      分付</t>
    <phoneticPr fontId="2" type="noConversion"/>
  </si>
  <si>
    <t>AA12010102</t>
    <phoneticPr fontId="2" type="noConversion"/>
  </si>
  <si>
    <t xml:space="preserve">    汽车金融</t>
    <phoneticPr fontId="2" type="noConversion"/>
  </si>
  <si>
    <t>AA120102</t>
    <phoneticPr fontId="2" type="noConversion"/>
  </si>
  <si>
    <t xml:space="preserve">    财富</t>
    <phoneticPr fontId="2" type="noConversion"/>
  </si>
  <si>
    <t>AA120103</t>
    <phoneticPr fontId="2" type="noConversion"/>
  </si>
  <si>
    <t xml:space="preserve">    小鹅</t>
    <phoneticPr fontId="2" type="noConversion"/>
  </si>
  <si>
    <t>AA120104</t>
    <phoneticPr fontId="2" type="noConversion"/>
  </si>
  <si>
    <t xml:space="preserve">    企业金融</t>
    <phoneticPr fontId="2" type="noConversion"/>
  </si>
  <si>
    <t>AA120105</t>
    <phoneticPr fontId="2" type="noConversion"/>
  </si>
  <si>
    <t xml:space="preserve">      一般贷款</t>
    <phoneticPr fontId="2" type="noConversion"/>
  </si>
  <si>
    <t>AA12010501</t>
    <phoneticPr fontId="2" type="noConversion"/>
  </si>
  <si>
    <t xml:space="preserve">      票据</t>
    <phoneticPr fontId="2" type="noConversion"/>
  </si>
  <si>
    <t>AA12010502</t>
    <phoneticPr fontId="2" type="noConversion"/>
  </si>
  <si>
    <t xml:space="preserve">    金市及司库票据</t>
    <phoneticPr fontId="2" type="noConversion"/>
  </si>
  <si>
    <t>AA120106</t>
    <phoneticPr fontId="2" type="noConversion"/>
  </si>
  <si>
    <t xml:space="preserve">  同业资产</t>
    <phoneticPr fontId="2" type="noConversion"/>
  </si>
  <si>
    <t>AA1202</t>
    <phoneticPr fontId="2" type="noConversion"/>
  </si>
  <si>
    <t xml:space="preserve">    存放央行</t>
    <phoneticPr fontId="2" type="noConversion"/>
  </si>
  <si>
    <t>AA120201</t>
    <phoneticPr fontId="2" type="noConversion"/>
  </si>
  <si>
    <t xml:space="preserve">    存拆放同业及逆回购</t>
    <phoneticPr fontId="2" type="noConversion"/>
  </si>
  <si>
    <t>AA120202</t>
    <phoneticPr fontId="2" type="noConversion"/>
  </si>
  <si>
    <t xml:space="preserve">    债券投资</t>
    <phoneticPr fontId="2" type="noConversion"/>
  </si>
  <si>
    <t>AA120203</t>
    <phoneticPr fontId="2" type="noConversion"/>
  </si>
  <si>
    <t xml:space="preserve">    其他</t>
    <phoneticPr fontId="2" type="noConversion"/>
  </si>
  <si>
    <t>AA120204</t>
    <phoneticPr fontId="2" type="noConversion"/>
  </si>
  <si>
    <t xml:space="preserve">      其中：同业存单</t>
    <phoneticPr fontId="2" type="noConversion"/>
  </si>
  <si>
    <t>AA12020401</t>
    <phoneticPr fontId="2" type="noConversion"/>
  </si>
  <si>
    <t xml:space="preserve">      其中：基金</t>
    <phoneticPr fontId="2" type="noConversion"/>
  </si>
  <si>
    <t>AA12020402</t>
    <phoneticPr fontId="2" type="noConversion"/>
  </si>
  <si>
    <t xml:space="preserve">  其他资产</t>
    <phoneticPr fontId="2" type="noConversion"/>
  </si>
  <si>
    <t>AA1203</t>
    <phoneticPr fontId="2" type="noConversion"/>
  </si>
  <si>
    <t xml:space="preserve">  减值准备</t>
    <phoneticPr fontId="2" type="noConversion"/>
  </si>
  <si>
    <t>AA1204</t>
    <phoneticPr fontId="2" type="noConversion"/>
  </si>
  <si>
    <t>负债余额</t>
    <phoneticPr fontId="2" type="noConversion"/>
  </si>
  <si>
    <t>总负债</t>
    <phoneticPr fontId="2" type="noConversion"/>
  </si>
  <si>
    <t>AA13</t>
    <phoneticPr fontId="2" type="noConversion"/>
  </si>
  <si>
    <t xml:space="preserve">  各项存款</t>
    <phoneticPr fontId="2" type="noConversion"/>
  </si>
  <si>
    <t>AA1301</t>
    <phoneticPr fontId="2" type="noConversion"/>
  </si>
  <si>
    <t xml:space="preserve">    微账户</t>
    <phoneticPr fontId="2" type="noConversion"/>
  </si>
  <si>
    <t>AA130101</t>
    <phoneticPr fontId="2" type="noConversion"/>
  </si>
  <si>
    <t>AA130102</t>
    <phoneticPr fontId="2" type="noConversion"/>
  </si>
  <si>
    <t>AA130103</t>
  </si>
  <si>
    <t>AA130104</t>
  </si>
  <si>
    <t>AA130105</t>
  </si>
  <si>
    <t xml:space="preserve">  同业负债</t>
    <phoneticPr fontId="2" type="noConversion"/>
  </si>
  <si>
    <t>AA1302</t>
    <phoneticPr fontId="2" type="noConversion"/>
  </si>
  <si>
    <t xml:space="preserve">  同业存单</t>
    <phoneticPr fontId="2" type="noConversion"/>
  </si>
  <si>
    <t>AA1303</t>
    <phoneticPr fontId="2" type="noConversion"/>
  </si>
  <si>
    <t xml:space="preserve">  其他负债</t>
    <phoneticPr fontId="2" type="noConversion"/>
  </si>
  <si>
    <t>AA1304</t>
    <phoneticPr fontId="2" type="noConversion"/>
  </si>
  <si>
    <t>所有者权益</t>
    <phoneticPr fontId="2" type="noConversion"/>
  </si>
  <si>
    <t>AA14</t>
    <phoneticPr fontId="2" type="noConversion"/>
  </si>
  <si>
    <t>管理贷款</t>
    <phoneticPr fontId="2" type="noConversion"/>
  </si>
  <si>
    <t>AA15</t>
    <phoneticPr fontId="2" type="noConversion"/>
  </si>
  <si>
    <t xml:space="preserve">  个金群</t>
    <phoneticPr fontId="2" type="noConversion"/>
  </si>
  <si>
    <t>AA1501</t>
    <phoneticPr fontId="2" type="noConversion"/>
  </si>
  <si>
    <t>AA150101</t>
    <phoneticPr fontId="2" type="noConversion"/>
  </si>
  <si>
    <t>AA15010101</t>
    <phoneticPr fontId="2" type="noConversion"/>
  </si>
  <si>
    <t>AA15010102</t>
    <phoneticPr fontId="2" type="noConversion"/>
  </si>
  <si>
    <t>AA150102</t>
    <phoneticPr fontId="2" type="noConversion"/>
  </si>
  <si>
    <t>AA150103</t>
    <phoneticPr fontId="2" type="noConversion"/>
  </si>
  <si>
    <t>AA150104</t>
  </si>
  <si>
    <t xml:space="preserve">  企金群</t>
    <phoneticPr fontId="2" type="noConversion"/>
  </si>
  <si>
    <t>AA1502</t>
    <phoneticPr fontId="2" type="noConversion"/>
  </si>
  <si>
    <t xml:space="preserve">    一般贷款</t>
    <phoneticPr fontId="2" type="noConversion"/>
  </si>
  <si>
    <t>AA150201</t>
    <phoneticPr fontId="2" type="noConversion"/>
  </si>
  <si>
    <t xml:space="preserve">    票据</t>
    <phoneticPr fontId="2" type="noConversion"/>
  </si>
  <si>
    <t>AA150202</t>
    <phoneticPr fontId="2" type="noConversion"/>
  </si>
  <si>
    <t xml:space="preserve">  金市及司库票据</t>
    <phoneticPr fontId="2" type="noConversion"/>
  </si>
  <si>
    <t>AA1503</t>
    <phoneticPr fontId="2" type="noConversion"/>
  </si>
  <si>
    <t>管理资产</t>
    <phoneticPr fontId="2" type="noConversion"/>
  </si>
  <si>
    <t>AA16</t>
    <phoneticPr fontId="2" type="noConversion"/>
  </si>
  <si>
    <t xml:space="preserve">  存款</t>
    <phoneticPr fontId="2" type="noConversion"/>
  </si>
  <si>
    <t>AA1601</t>
    <phoneticPr fontId="2" type="noConversion"/>
  </si>
  <si>
    <t>AA160101</t>
    <phoneticPr fontId="2" type="noConversion"/>
  </si>
  <si>
    <t>AA160102</t>
    <phoneticPr fontId="2" type="noConversion"/>
  </si>
  <si>
    <t>AA160103</t>
  </si>
  <si>
    <t xml:space="preserve">  理财</t>
    <phoneticPr fontId="2" type="noConversion"/>
  </si>
  <si>
    <t>AA1602</t>
    <phoneticPr fontId="2" type="noConversion"/>
  </si>
  <si>
    <t xml:space="preserve">    零钱通</t>
    <phoneticPr fontId="2" type="noConversion"/>
  </si>
  <si>
    <t>AA160201</t>
    <phoneticPr fontId="2" type="noConversion"/>
  </si>
  <si>
    <t>AA160202</t>
    <phoneticPr fontId="2" type="noConversion"/>
  </si>
  <si>
    <t xml:space="preserve">  商户结算便利应付款</t>
    <phoneticPr fontId="2" type="noConversion"/>
  </si>
  <si>
    <t>AA1603</t>
    <phoneticPr fontId="2" type="noConversion"/>
  </si>
  <si>
    <t>不良贷款率</t>
    <phoneticPr fontId="2" type="noConversion"/>
  </si>
  <si>
    <t>AA17</t>
    <phoneticPr fontId="2" type="noConversion"/>
  </si>
  <si>
    <t>不良贷款余额</t>
    <phoneticPr fontId="2" type="noConversion"/>
  </si>
  <si>
    <t>AA18</t>
    <phoneticPr fontId="2" type="noConversion"/>
  </si>
  <si>
    <t xml:space="preserve">  泛微粒贷</t>
    <phoneticPr fontId="2" type="noConversion"/>
  </si>
  <si>
    <t>AA1801</t>
    <phoneticPr fontId="2" type="noConversion"/>
  </si>
  <si>
    <t xml:space="preserve">    微粒贷</t>
    <phoneticPr fontId="2" type="noConversion"/>
  </si>
  <si>
    <t>AA180101</t>
    <phoneticPr fontId="2" type="noConversion"/>
  </si>
  <si>
    <t xml:space="preserve">    分付</t>
    <phoneticPr fontId="2" type="noConversion"/>
  </si>
  <si>
    <t>AA180102</t>
    <phoneticPr fontId="2" type="noConversion"/>
  </si>
  <si>
    <t xml:space="preserve">  汽车金融</t>
    <phoneticPr fontId="2" type="noConversion"/>
  </si>
  <si>
    <t>AA1802</t>
    <phoneticPr fontId="2" type="noConversion"/>
  </si>
  <si>
    <t xml:space="preserve">  财富</t>
    <phoneticPr fontId="2" type="noConversion"/>
  </si>
  <si>
    <t>AA1803</t>
    <phoneticPr fontId="2" type="noConversion"/>
  </si>
  <si>
    <t xml:space="preserve">  小鹅</t>
    <phoneticPr fontId="2" type="noConversion"/>
  </si>
  <si>
    <t>AA1804</t>
    <phoneticPr fontId="2" type="noConversion"/>
  </si>
  <si>
    <t xml:space="preserve">  企业金融</t>
    <phoneticPr fontId="2" type="noConversion"/>
  </si>
  <si>
    <t>AA1805</t>
    <phoneticPr fontId="2" type="noConversion"/>
  </si>
  <si>
    <t>核销净额</t>
    <phoneticPr fontId="2" type="noConversion"/>
  </si>
  <si>
    <t>AA19</t>
    <phoneticPr fontId="2" type="noConversion"/>
  </si>
  <si>
    <t>实际损失</t>
    <phoneticPr fontId="2" type="noConversion"/>
  </si>
  <si>
    <t>AA20</t>
    <phoneticPr fontId="2" type="noConversion"/>
  </si>
  <si>
    <t>AA2001</t>
    <phoneticPr fontId="2" type="noConversion"/>
  </si>
  <si>
    <t>AA200101</t>
    <phoneticPr fontId="2" type="noConversion"/>
  </si>
  <si>
    <t>AA200102</t>
    <phoneticPr fontId="2" type="noConversion"/>
  </si>
  <si>
    <t>AA2002</t>
    <phoneticPr fontId="2" type="noConversion"/>
  </si>
  <si>
    <t>AA2003</t>
    <phoneticPr fontId="2" type="noConversion"/>
  </si>
  <si>
    <t>AA2004</t>
  </si>
  <si>
    <t>AA2005</t>
  </si>
  <si>
    <t>实际损失率</t>
    <phoneticPr fontId="2" type="noConversion"/>
  </si>
  <si>
    <t>AA21</t>
    <phoneticPr fontId="2" type="noConversion"/>
  </si>
  <si>
    <t>AA2101</t>
    <phoneticPr fontId="2" type="noConversion"/>
  </si>
  <si>
    <t>AA210101</t>
    <phoneticPr fontId="2" type="noConversion"/>
  </si>
  <si>
    <t>AA210102</t>
    <phoneticPr fontId="2" type="noConversion"/>
  </si>
  <si>
    <t>AA2102</t>
    <phoneticPr fontId="2" type="noConversion"/>
  </si>
  <si>
    <t>AA2103</t>
    <phoneticPr fontId="2" type="noConversion"/>
  </si>
  <si>
    <t>AA2104</t>
  </si>
  <si>
    <t>AA2105</t>
  </si>
  <si>
    <t>拨备覆盖率</t>
    <phoneticPr fontId="2" type="noConversion"/>
  </si>
  <si>
    <t>AA22</t>
    <phoneticPr fontId="2" type="noConversion"/>
  </si>
  <si>
    <t>贷款拨备率</t>
    <phoneticPr fontId="2" type="noConversion"/>
  </si>
  <si>
    <t>AA23</t>
    <phoneticPr fontId="2" type="noConversion"/>
  </si>
  <si>
    <t>资产减值准备</t>
    <phoneticPr fontId="2" type="noConversion"/>
  </si>
  <si>
    <t>AA24</t>
    <phoneticPr fontId="2" type="noConversion"/>
  </si>
  <si>
    <t xml:space="preserve">  贷款减值准备</t>
    <phoneticPr fontId="2" type="noConversion"/>
  </si>
  <si>
    <t>AA2401</t>
    <phoneticPr fontId="2" type="noConversion"/>
  </si>
  <si>
    <t>AA240101</t>
    <phoneticPr fontId="2" type="noConversion"/>
  </si>
  <si>
    <t xml:space="preserve">  非贷减值准备</t>
    <phoneticPr fontId="2" type="noConversion"/>
  </si>
  <si>
    <t>AA2402</t>
    <phoneticPr fontId="2" type="noConversion"/>
  </si>
  <si>
    <t>贷款风险成本率</t>
    <phoneticPr fontId="2" type="noConversion"/>
  </si>
  <si>
    <t>AA25</t>
    <phoneticPr fontId="2" type="noConversion"/>
  </si>
  <si>
    <t xml:space="preserve">  实际风险成本率</t>
    <phoneticPr fontId="2" type="noConversion"/>
  </si>
  <si>
    <t>AA2501</t>
    <phoneticPr fontId="2" type="noConversion"/>
  </si>
  <si>
    <t xml:space="preserve">  超额风险成本率</t>
    <phoneticPr fontId="2" type="noConversion"/>
  </si>
  <si>
    <t>AA2502</t>
    <phoneticPr fontId="2" type="noConversion"/>
  </si>
  <si>
    <t>财务指标</t>
    <phoneticPr fontId="2" type="noConversion"/>
  </si>
  <si>
    <t>AA26</t>
    <phoneticPr fontId="2" type="noConversion"/>
  </si>
  <si>
    <t>手续费净收入占比</t>
    <phoneticPr fontId="2" type="noConversion"/>
  </si>
  <si>
    <t>AA2601</t>
    <phoneticPr fontId="2" type="noConversion"/>
  </si>
  <si>
    <t>非息收入占比</t>
    <phoneticPr fontId="2" type="noConversion"/>
  </si>
  <si>
    <t>AA2602</t>
    <phoneticPr fontId="2" type="noConversion"/>
  </si>
  <si>
    <t>ROA</t>
    <phoneticPr fontId="2" type="noConversion"/>
  </si>
  <si>
    <t>AA2603</t>
  </si>
  <si>
    <t>ROAE</t>
    <phoneticPr fontId="2" type="noConversion"/>
  </si>
  <si>
    <t>AA2604</t>
  </si>
  <si>
    <t>成本收入比</t>
    <phoneticPr fontId="2" type="noConversion"/>
  </si>
  <si>
    <t>AA2605</t>
  </si>
  <si>
    <t>录入粒度</t>
    <phoneticPr fontId="2" type="noConversion"/>
  </si>
  <si>
    <t>实际月公式</t>
    <phoneticPr fontId="2" type="noConversion"/>
  </si>
  <si>
    <t>预测月公式</t>
    <phoneticPr fontId="2" type="noConversion"/>
  </si>
  <si>
    <t>公式说明</t>
    <phoneticPr fontId="2" type="noConversion"/>
  </si>
  <si>
    <t>AA46</t>
  </si>
  <si>
    <t>AA4601</t>
  </si>
  <si>
    <t>AA460101</t>
  </si>
  <si>
    <t>AA4602</t>
  </si>
  <si>
    <t>AA460201</t>
  </si>
  <si>
    <t>AA460202</t>
  </si>
  <si>
    <t>AA4603</t>
  </si>
  <si>
    <t>AA47</t>
  </si>
  <si>
    <t>AA4701</t>
  </si>
  <si>
    <t>AA470101</t>
  </si>
  <si>
    <t>AA470102</t>
  </si>
  <si>
    <t>AA4702</t>
  </si>
  <si>
    <t>AA48</t>
    <phoneticPr fontId="2" type="noConversion"/>
  </si>
  <si>
    <t>AA49</t>
    <phoneticPr fontId="2" type="noConversion"/>
  </si>
  <si>
    <t>AA50</t>
  </si>
  <si>
    <t>AA5001</t>
  </si>
  <si>
    <t>AA500101</t>
  </si>
  <si>
    <t>AA500102</t>
  </si>
  <si>
    <t>AA500103</t>
  </si>
  <si>
    <t>AA5002</t>
  </si>
  <si>
    <t>AA500201</t>
  </si>
  <si>
    <t>AA500202</t>
  </si>
  <si>
    <t>AA5003</t>
  </si>
  <si>
    <t>AA5004</t>
  </si>
  <si>
    <t>AA51</t>
    <phoneticPr fontId="2" type="noConversion"/>
  </si>
  <si>
    <t>AA52</t>
    <phoneticPr fontId="2" type="noConversion"/>
  </si>
  <si>
    <t>AA53</t>
    <phoneticPr fontId="2" type="noConversion"/>
  </si>
  <si>
    <t>AA54</t>
    <phoneticPr fontId="2" type="noConversion"/>
  </si>
  <si>
    <t>AA27</t>
    <phoneticPr fontId="2" type="noConversion"/>
  </si>
  <si>
    <t xml:space="preserve">  各项贷款</t>
    <phoneticPr fontId="2" type="noConversion"/>
  </si>
  <si>
    <t>AA2701</t>
    <phoneticPr fontId="2" type="noConversion"/>
  </si>
  <si>
    <t>AA270101</t>
    <phoneticPr fontId="2" type="noConversion"/>
  </si>
  <si>
    <t>AA27010101</t>
    <phoneticPr fontId="2" type="noConversion"/>
  </si>
  <si>
    <t>AA27010102</t>
    <phoneticPr fontId="2" type="noConversion"/>
  </si>
  <si>
    <t>AA270102</t>
    <phoneticPr fontId="2" type="noConversion"/>
  </si>
  <si>
    <t>AA27010201</t>
    <phoneticPr fontId="2" type="noConversion"/>
  </si>
  <si>
    <t xml:space="preserve">      票据贴现</t>
    <phoneticPr fontId="2" type="noConversion"/>
  </si>
  <si>
    <t>AA27010202</t>
    <phoneticPr fontId="2" type="noConversion"/>
  </si>
  <si>
    <t xml:space="preserve">      贸易融资</t>
    <phoneticPr fontId="2" type="noConversion"/>
  </si>
  <si>
    <t>AA27010203</t>
    <phoneticPr fontId="2" type="noConversion"/>
  </si>
  <si>
    <t>AA270103</t>
    <phoneticPr fontId="2" type="noConversion"/>
  </si>
  <si>
    <t>AA270104</t>
    <phoneticPr fontId="2" type="noConversion"/>
  </si>
  <si>
    <t>AA270105</t>
    <phoneticPr fontId="2" type="noConversion"/>
  </si>
  <si>
    <t xml:space="preserve">    金市票据贴现</t>
    <phoneticPr fontId="2" type="noConversion"/>
  </si>
  <si>
    <t>AA270106</t>
    <phoneticPr fontId="2" type="noConversion"/>
  </si>
  <si>
    <t xml:space="preserve">    司库票据贴现</t>
    <phoneticPr fontId="2" type="noConversion"/>
  </si>
  <si>
    <t>AA270107</t>
    <phoneticPr fontId="2" type="noConversion"/>
  </si>
  <si>
    <t>资产余额</t>
  </si>
  <si>
    <t xml:space="preserve">  存放央行</t>
    <phoneticPr fontId="2" type="noConversion"/>
  </si>
  <si>
    <t>AA2702</t>
    <phoneticPr fontId="2" type="noConversion"/>
  </si>
  <si>
    <t xml:space="preserve">    法准</t>
    <phoneticPr fontId="2" type="noConversion"/>
  </si>
  <si>
    <t>AA270201</t>
    <phoneticPr fontId="2" type="noConversion"/>
  </si>
  <si>
    <t xml:space="preserve">    超备</t>
    <phoneticPr fontId="2" type="noConversion"/>
  </si>
  <si>
    <t>AA270202</t>
    <phoneticPr fontId="2" type="noConversion"/>
  </si>
  <si>
    <t xml:space="preserve">  债券投资</t>
    <phoneticPr fontId="2" type="noConversion"/>
  </si>
  <si>
    <t>AA2703</t>
    <phoneticPr fontId="2" type="noConversion"/>
  </si>
  <si>
    <t xml:space="preserve">    国债</t>
    <phoneticPr fontId="2" type="noConversion"/>
  </si>
  <si>
    <t>AA270301</t>
    <phoneticPr fontId="2" type="noConversion"/>
  </si>
  <si>
    <t xml:space="preserve">    政金债</t>
    <phoneticPr fontId="2" type="noConversion"/>
  </si>
  <si>
    <t>AA270302</t>
    <phoneticPr fontId="2" type="noConversion"/>
  </si>
  <si>
    <t xml:space="preserve">    地方债</t>
    <phoneticPr fontId="2" type="noConversion"/>
  </si>
  <si>
    <t>AA270303</t>
  </si>
  <si>
    <t xml:space="preserve">    铁道债</t>
    <phoneticPr fontId="2" type="noConversion"/>
  </si>
  <si>
    <t>AA270304</t>
  </si>
  <si>
    <t xml:space="preserve">    银行债</t>
    <phoneticPr fontId="2" type="noConversion"/>
  </si>
  <si>
    <t>AA270305</t>
  </si>
  <si>
    <t xml:space="preserve">    非银债</t>
    <phoneticPr fontId="2" type="noConversion"/>
  </si>
  <si>
    <t>AA270306</t>
  </si>
  <si>
    <t xml:space="preserve">    信用债</t>
    <phoneticPr fontId="2" type="noConversion"/>
  </si>
  <si>
    <t>AA270307</t>
  </si>
  <si>
    <t xml:space="preserve">     ABS投资</t>
    <phoneticPr fontId="2" type="noConversion"/>
  </si>
  <si>
    <t>AA270308</t>
  </si>
  <si>
    <t xml:space="preserve">    二级资本债</t>
    <phoneticPr fontId="2" type="noConversion"/>
  </si>
  <si>
    <t>AA270309</t>
  </si>
  <si>
    <t xml:space="preserve">  存放同业</t>
    <phoneticPr fontId="2" type="noConversion"/>
  </si>
  <si>
    <t>AA2704</t>
    <phoneticPr fontId="2" type="noConversion"/>
  </si>
  <si>
    <t xml:space="preserve">    微粒贷：备付金</t>
    <phoneticPr fontId="2" type="noConversion"/>
  </si>
  <si>
    <t>AA270401</t>
    <phoneticPr fontId="2" type="noConversion"/>
  </si>
  <si>
    <t xml:space="preserve">    微账户：风准金</t>
    <phoneticPr fontId="2" type="noConversion"/>
  </si>
  <si>
    <t>AA270402</t>
    <phoneticPr fontId="2" type="noConversion"/>
  </si>
  <si>
    <t xml:space="preserve">    微账户：专项备付</t>
    <phoneticPr fontId="2" type="noConversion"/>
  </si>
  <si>
    <t>AA270403</t>
  </si>
  <si>
    <t xml:space="preserve">    金市：存放活期</t>
    <phoneticPr fontId="2" type="noConversion"/>
  </si>
  <si>
    <t>AA270404</t>
  </si>
  <si>
    <t xml:space="preserve">    金市：存放定期</t>
    <phoneticPr fontId="2" type="noConversion"/>
  </si>
  <si>
    <t>AA270405</t>
  </si>
  <si>
    <t>AA270406</t>
  </si>
  <si>
    <t xml:space="preserve">  拆放同业</t>
    <phoneticPr fontId="2" type="noConversion"/>
  </si>
  <si>
    <t>AA2705</t>
  </si>
  <si>
    <t xml:space="preserve">  买入返售</t>
    <phoneticPr fontId="2" type="noConversion"/>
  </si>
  <si>
    <t>AA2706</t>
    <phoneticPr fontId="2" type="noConversion"/>
  </si>
  <si>
    <t xml:space="preserve">    金市</t>
    <phoneticPr fontId="2" type="noConversion"/>
  </si>
  <si>
    <t>AA270601</t>
    <phoneticPr fontId="2" type="noConversion"/>
  </si>
  <si>
    <t xml:space="preserve">    企金</t>
    <phoneticPr fontId="2" type="noConversion"/>
  </si>
  <si>
    <t>AA270602</t>
    <phoneticPr fontId="2" type="noConversion"/>
  </si>
  <si>
    <t xml:space="preserve">  同业存单投资</t>
    <phoneticPr fontId="2" type="noConversion"/>
  </si>
  <si>
    <t>AA2707</t>
  </si>
  <si>
    <t xml:space="preserve">  基金投资</t>
    <phoneticPr fontId="2" type="noConversion"/>
  </si>
  <si>
    <t>AA2708</t>
    <phoneticPr fontId="2" type="noConversion"/>
  </si>
  <si>
    <t xml:space="preserve">    货基投资</t>
    <phoneticPr fontId="2" type="noConversion"/>
  </si>
  <si>
    <t>AA270801</t>
    <phoneticPr fontId="2" type="noConversion"/>
  </si>
  <si>
    <t xml:space="preserve">    债基投资</t>
    <phoneticPr fontId="2" type="noConversion"/>
  </si>
  <si>
    <t>AA270802</t>
    <phoneticPr fontId="2" type="noConversion"/>
  </si>
  <si>
    <t>AA2709</t>
  </si>
  <si>
    <t xml:space="preserve">  资产减值准备</t>
    <phoneticPr fontId="2" type="noConversion"/>
  </si>
  <si>
    <t>AA2710</t>
  </si>
  <si>
    <t>AA28</t>
    <phoneticPr fontId="2" type="noConversion"/>
  </si>
  <si>
    <t>AA2801</t>
    <phoneticPr fontId="2" type="noConversion"/>
  </si>
  <si>
    <t>负债余额</t>
  </si>
  <si>
    <t xml:space="preserve">    公司存款</t>
    <phoneticPr fontId="2" type="noConversion"/>
  </si>
  <si>
    <t>AA280101</t>
    <phoneticPr fontId="2" type="noConversion"/>
  </si>
  <si>
    <t xml:space="preserve">    个人存款</t>
    <phoneticPr fontId="2" type="noConversion"/>
  </si>
  <si>
    <t>AA280102</t>
    <phoneticPr fontId="2" type="noConversion"/>
  </si>
  <si>
    <t xml:space="preserve">      微账户</t>
    <phoneticPr fontId="2" type="noConversion"/>
  </si>
  <si>
    <t>AA28010201</t>
    <phoneticPr fontId="2" type="noConversion"/>
  </si>
  <si>
    <t xml:space="preserve">      财富</t>
    <phoneticPr fontId="2" type="noConversion"/>
  </si>
  <si>
    <t>AA28010202</t>
    <phoneticPr fontId="2" type="noConversion"/>
  </si>
  <si>
    <t xml:space="preserve">  同业存放活期</t>
    <phoneticPr fontId="2" type="noConversion"/>
  </si>
  <si>
    <t>AA2802</t>
    <phoneticPr fontId="2" type="noConversion"/>
  </si>
  <si>
    <t xml:space="preserve">    其中：微粒贷同业备付金</t>
    <phoneticPr fontId="2" type="noConversion"/>
  </si>
  <si>
    <t>AA280201</t>
    <phoneticPr fontId="2" type="noConversion"/>
  </si>
  <si>
    <t xml:space="preserve">  政策性资金</t>
    <phoneticPr fontId="2" type="noConversion"/>
  </si>
  <si>
    <t>AA2803</t>
    <phoneticPr fontId="2" type="noConversion"/>
  </si>
  <si>
    <t xml:space="preserve">    向央行借款</t>
    <phoneticPr fontId="2" type="noConversion"/>
  </si>
  <si>
    <t>AA280301</t>
    <phoneticPr fontId="2" type="noConversion"/>
  </si>
  <si>
    <t xml:space="preserve">    转贷款</t>
    <phoneticPr fontId="2" type="noConversion"/>
  </si>
  <si>
    <t>AA280302</t>
    <phoneticPr fontId="2" type="noConversion"/>
  </si>
  <si>
    <t>AA2804</t>
    <phoneticPr fontId="2" type="noConversion"/>
  </si>
  <si>
    <t xml:space="preserve">    同业存放定期</t>
    <phoneticPr fontId="2" type="noConversion"/>
  </si>
  <si>
    <t>AA280401</t>
    <phoneticPr fontId="2" type="noConversion"/>
  </si>
  <si>
    <t xml:space="preserve">    同业拆借</t>
    <phoneticPr fontId="2" type="noConversion"/>
  </si>
  <si>
    <t>AA280402</t>
    <phoneticPr fontId="2" type="noConversion"/>
  </si>
  <si>
    <t xml:space="preserve">    卖出回购</t>
    <phoneticPr fontId="2" type="noConversion"/>
  </si>
  <si>
    <t>AA280403</t>
    <phoneticPr fontId="2" type="noConversion"/>
  </si>
  <si>
    <t xml:space="preserve">      金市</t>
    <phoneticPr fontId="2" type="noConversion"/>
  </si>
  <si>
    <t>AA28040301</t>
    <phoneticPr fontId="2" type="noConversion"/>
  </si>
  <si>
    <t xml:space="preserve">      企金</t>
    <phoneticPr fontId="2" type="noConversion"/>
  </si>
  <si>
    <t>AA28040302</t>
    <phoneticPr fontId="2" type="noConversion"/>
  </si>
  <si>
    <t xml:space="preserve">    发行同业存单</t>
    <phoneticPr fontId="2" type="noConversion"/>
  </si>
  <si>
    <t>AA280404</t>
    <phoneticPr fontId="2" type="noConversion"/>
  </si>
  <si>
    <t xml:space="preserve">    交易性金融负债</t>
    <phoneticPr fontId="2" type="noConversion"/>
  </si>
  <si>
    <t>AA280405</t>
    <phoneticPr fontId="2" type="noConversion"/>
  </si>
  <si>
    <t>AA2805</t>
    <phoneticPr fontId="2" type="noConversion"/>
  </si>
  <si>
    <t>AA29</t>
    <phoneticPr fontId="2" type="noConversion"/>
  </si>
  <si>
    <t>资产日均</t>
  </si>
  <si>
    <t>AA30</t>
  </si>
  <si>
    <t>AA3001</t>
  </si>
  <si>
    <t>AA300101</t>
  </si>
  <si>
    <t>AA30010101</t>
  </si>
  <si>
    <t>AA30010102</t>
  </si>
  <si>
    <t>AA300102</t>
  </si>
  <si>
    <t>AA30010201</t>
  </si>
  <si>
    <t>AA30010202</t>
  </si>
  <si>
    <t>AA30010203</t>
  </si>
  <si>
    <t>AA300103</t>
  </si>
  <si>
    <t>AA300104</t>
  </si>
  <si>
    <t>AA300105</t>
  </si>
  <si>
    <t>AA300106</t>
  </si>
  <si>
    <t>AA300107</t>
  </si>
  <si>
    <t>AA3002</t>
  </si>
  <si>
    <t>AA300201</t>
  </si>
  <si>
    <t>AA300202</t>
  </si>
  <si>
    <t>AA3003</t>
  </si>
  <si>
    <t>AA300301</t>
  </si>
  <si>
    <t>AA300302</t>
  </si>
  <si>
    <t>AA300303</t>
  </si>
  <si>
    <t>AA300304</t>
  </si>
  <si>
    <t>AA300305</t>
  </si>
  <si>
    <t>AA300306</t>
  </si>
  <si>
    <t>AA300307</t>
  </si>
  <si>
    <t>AA300308</t>
  </si>
  <si>
    <t>AA300309</t>
  </si>
  <si>
    <t>AA3004</t>
  </si>
  <si>
    <t>AA300401</t>
  </si>
  <si>
    <t>AA300402</t>
  </si>
  <si>
    <t>AA300403</t>
  </si>
  <si>
    <t>AA300404</t>
  </si>
  <si>
    <t>AA300405</t>
  </si>
  <si>
    <t>AA300406</t>
  </si>
  <si>
    <t>AA3005</t>
  </si>
  <si>
    <t>AA3006</t>
  </si>
  <si>
    <t>AA300601</t>
  </si>
  <si>
    <t>AA300602</t>
  </si>
  <si>
    <t>AA3007</t>
  </si>
  <si>
    <t>AA3008</t>
  </si>
  <si>
    <t>AA300801</t>
  </si>
  <si>
    <t>AA300802</t>
  </si>
  <si>
    <t>AA3009</t>
  </si>
  <si>
    <t>AA3010</t>
  </si>
  <si>
    <t>负债日均</t>
  </si>
  <si>
    <t>AA31</t>
  </si>
  <si>
    <t>AA3101</t>
  </si>
  <si>
    <t>AA310101</t>
  </si>
  <si>
    <t>AA310102</t>
  </si>
  <si>
    <t>AA31010201</t>
  </si>
  <si>
    <t>AA31010202</t>
  </si>
  <si>
    <t>AA3102</t>
  </si>
  <si>
    <t>AA310201</t>
  </si>
  <si>
    <t>AA3103</t>
  </si>
  <si>
    <t>AA310301</t>
  </si>
  <si>
    <t>AA310302</t>
  </si>
  <si>
    <t>AA3104</t>
  </si>
  <si>
    <t>AA310401</t>
  </si>
  <si>
    <t>AA310402</t>
  </si>
  <si>
    <t>AA310403</t>
  </si>
  <si>
    <t>AA31040301</t>
  </si>
  <si>
    <t>AA31040302</t>
  </si>
  <si>
    <t>AA310404</t>
  </si>
  <si>
    <t>AA310405</t>
  </si>
  <si>
    <t>AA3105</t>
  </si>
  <si>
    <t>AA32</t>
    <phoneticPr fontId="2" type="noConversion"/>
  </si>
  <si>
    <t>风险成本率</t>
    <phoneticPr fontId="2" type="noConversion"/>
  </si>
  <si>
    <t>AA33</t>
    <phoneticPr fontId="2" type="noConversion"/>
  </si>
  <si>
    <t>AA3301</t>
    <phoneticPr fontId="2" type="noConversion"/>
  </si>
  <si>
    <t>AA330101</t>
    <phoneticPr fontId="2" type="noConversion"/>
  </si>
  <si>
    <t>AA330102</t>
    <phoneticPr fontId="2" type="noConversion"/>
  </si>
  <si>
    <t>AA3302</t>
    <phoneticPr fontId="2" type="noConversion"/>
  </si>
  <si>
    <t>AA3303</t>
    <phoneticPr fontId="2" type="noConversion"/>
  </si>
  <si>
    <t>AA3304</t>
    <phoneticPr fontId="2" type="noConversion"/>
  </si>
  <si>
    <t>AA3305</t>
    <phoneticPr fontId="2" type="noConversion"/>
  </si>
  <si>
    <t>AA330501</t>
    <phoneticPr fontId="2" type="noConversion"/>
  </si>
  <si>
    <t>风险成本</t>
    <phoneticPr fontId="2" type="noConversion"/>
  </si>
  <si>
    <t>AA34</t>
    <phoneticPr fontId="2" type="noConversion"/>
  </si>
  <si>
    <t>AA3401</t>
    <phoneticPr fontId="2" type="noConversion"/>
  </si>
  <si>
    <t>AA340101</t>
    <phoneticPr fontId="2" type="noConversion"/>
  </si>
  <si>
    <t>AA340102</t>
    <phoneticPr fontId="2" type="noConversion"/>
  </si>
  <si>
    <t>AA3402</t>
    <phoneticPr fontId="2" type="noConversion"/>
  </si>
  <si>
    <t>AA3403</t>
    <phoneticPr fontId="2" type="noConversion"/>
  </si>
  <si>
    <t>AA3404</t>
    <phoneticPr fontId="2" type="noConversion"/>
  </si>
  <si>
    <t>AA3405</t>
    <phoneticPr fontId="2" type="noConversion"/>
  </si>
  <si>
    <t>AA340501</t>
    <phoneticPr fontId="2" type="noConversion"/>
  </si>
  <si>
    <t>AA35</t>
    <phoneticPr fontId="2" type="noConversion"/>
  </si>
  <si>
    <t>AA3501</t>
    <phoneticPr fontId="2" type="noConversion"/>
  </si>
  <si>
    <t>AA350101</t>
    <phoneticPr fontId="2" type="noConversion"/>
  </si>
  <si>
    <t>AA350102</t>
    <phoneticPr fontId="2" type="noConversion"/>
  </si>
  <si>
    <t>AA3502</t>
    <phoneticPr fontId="2" type="noConversion"/>
  </si>
  <si>
    <t>AA3503</t>
    <phoneticPr fontId="2" type="noConversion"/>
  </si>
  <si>
    <t>AA3504</t>
    <phoneticPr fontId="2" type="noConversion"/>
  </si>
  <si>
    <t>AA3505</t>
    <phoneticPr fontId="2" type="noConversion"/>
  </si>
  <si>
    <t>AA350501</t>
    <phoneticPr fontId="2" type="noConversion"/>
  </si>
  <si>
    <t>AA36</t>
  </si>
  <si>
    <t>AA3601</t>
  </si>
  <si>
    <t>AA360101</t>
  </si>
  <si>
    <t>AA360102</t>
  </si>
  <si>
    <t>AA3602</t>
  </si>
  <si>
    <t>AA3603</t>
  </si>
  <si>
    <t>AA3604</t>
  </si>
  <si>
    <t>AA3605</t>
  </si>
  <si>
    <t>AA360501</t>
  </si>
  <si>
    <t>不良贷款原值余额</t>
    <phoneticPr fontId="2" type="noConversion"/>
  </si>
  <si>
    <t>AA37</t>
  </si>
  <si>
    <t>AA3701</t>
  </si>
  <si>
    <t>AA370101</t>
  </si>
  <si>
    <t>AA370102</t>
  </si>
  <si>
    <t>AA3702</t>
  </si>
  <si>
    <t>AA3703</t>
  </si>
  <si>
    <t>AA3704</t>
  </si>
  <si>
    <t>AA3705</t>
  </si>
  <si>
    <t>AA370501</t>
  </si>
  <si>
    <t>AA38</t>
  </si>
  <si>
    <t>AA3801</t>
  </si>
  <si>
    <t>AA380101</t>
  </si>
  <si>
    <t>AA380102</t>
  </si>
  <si>
    <t>AA3802</t>
  </si>
  <si>
    <t>AA3803</t>
  </si>
  <si>
    <t>AA3804</t>
  </si>
  <si>
    <t>AA3805</t>
  </si>
  <si>
    <t>AA380501</t>
  </si>
  <si>
    <t>代偿和转让</t>
    <phoneticPr fontId="2" type="noConversion"/>
  </si>
  <si>
    <t>AA39</t>
    <phoneticPr fontId="2" type="noConversion"/>
  </si>
  <si>
    <t>微粒贷保险代偿金额</t>
    <phoneticPr fontId="2" type="noConversion"/>
  </si>
  <si>
    <t>AA3901</t>
    <phoneticPr fontId="2" type="noConversion"/>
  </si>
  <si>
    <t xml:space="preserve">  微粒贷保险代偿净额</t>
    <phoneticPr fontId="2" type="noConversion"/>
  </si>
  <si>
    <t>AA390101</t>
    <phoneticPr fontId="2" type="noConversion"/>
  </si>
  <si>
    <t>汽金代偿金代偿金额</t>
    <phoneticPr fontId="2" type="noConversion"/>
  </si>
  <si>
    <t>AA3902</t>
    <phoneticPr fontId="2" type="noConversion"/>
  </si>
  <si>
    <t>企金担保代偿金额</t>
    <phoneticPr fontId="2" type="noConversion"/>
  </si>
  <si>
    <t>AA3903</t>
    <phoneticPr fontId="2" type="noConversion"/>
  </si>
  <si>
    <t>企金保险代偿金额</t>
    <phoneticPr fontId="2" type="noConversion"/>
  </si>
  <si>
    <t>AA3904</t>
    <phoneticPr fontId="2" type="noConversion"/>
  </si>
  <si>
    <t>企金不良转让金额</t>
    <phoneticPr fontId="2" type="noConversion"/>
  </si>
  <si>
    <t>AA3905</t>
    <phoneticPr fontId="2" type="noConversion"/>
  </si>
  <si>
    <t>企金不良转让净额</t>
    <phoneticPr fontId="2" type="noConversion"/>
  </si>
  <si>
    <t xml:space="preserve">  AA390501</t>
    <phoneticPr fontId="2" type="noConversion"/>
  </si>
  <si>
    <t>利润</t>
    <phoneticPr fontId="2" type="noConversion"/>
  </si>
  <si>
    <t>其他</t>
    <phoneticPr fontId="2" type="noConversion"/>
  </si>
  <si>
    <t>其他</t>
  </si>
  <si>
    <t>支出</t>
  </si>
  <si>
    <t>资产日均</t>
    <phoneticPr fontId="2" type="noConversion"/>
  </si>
  <si>
    <t>生息资产日均规模</t>
    <phoneticPr fontId="2" type="noConversion"/>
  </si>
  <si>
    <t>AA40</t>
    <phoneticPr fontId="2" type="noConversion"/>
  </si>
  <si>
    <t>AA4001</t>
    <phoneticPr fontId="2" type="noConversion"/>
  </si>
  <si>
    <t>AA400101</t>
    <phoneticPr fontId="2" type="noConversion"/>
  </si>
  <si>
    <t>AA400102</t>
    <phoneticPr fontId="2" type="noConversion"/>
  </si>
  <si>
    <t>AA400103</t>
    <phoneticPr fontId="2" type="noConversion"/>
  </si>
  <si>
    <t>AA400104</t>
    <phoneticPr fontId="2" type="noConversion"/>
  </si>
  <si>
    <t>AA400105</t>
    <phoneticPr fontId="2" type="noConversion"/>
  </si>
  <si>
    <t>AA400106</t>
    <phoneticPr fontId="2" type="noConversion"/>
  </si>
  <si>
    <t>AA40010601</t>
    <phoneticPr fontId="2" type="noConversion"/>
  </si>
  <si>
    <t>AA40010602</t>
    <phoneticPr fontId="2" type="noConversion"/>
  </si>
  <si>
    <t>AA4002</t>
    <phoneticPr fontId="2" type="noConversion"/>
  </si>
  <si>
    <t>AA4003</t>
    <phoneticPr fontId="2" type="noConversion"/>
  </si>
  <si>
    <t>AA4004</t>
    <phoneticPr fontId="2" type="noConversion"/>
  </si>
  <si>
    <t>AA4005</t>
    <phoneticPr fontId="2" type="noConversion"/>
  </si>
  <si>
    <t>AA4006</t>
    <phoneticPr fontId="2" type="noConversion"/>
  </si>
  <si>
    <t>AA4007</t>
    <phoneticPr fontId="2" type="noConversion"/>
  </si>
  <si>
    <t>负债日均</t>
    <phoneticPr fontId="2" type="noConversion"/>
  </si>
  <si>
    <t>付息负债日均规模</t>
    <phoneticPr fontId="2" type="noConversion"/>
  </si>
  <si>
    <t>AA41</t>
    <phoneticPr fontId="2" type="noConversion"/>
  </si>
  <si>
    <t>AA4101</t>
    <phoneticPr fontId="2" type="noConversion"/>
  </si>
  <si>
    <t xml:space="preserve">    对公存款</t>
    <phoneticPr fontId="2" type="noConversion"/>
  </si>
  <si>
    <t>AA410101</t>
    <phoneticPr fontId="2" type="noConversion"/>
  </si>
  <si>
    <t>AA410102</t>
    <phoneticPr fontId="2" type="noConversion"/>
  </si>
  <si>
    <t>AA41010201</t>
    <phoneticPr fontId="2" type="noConversion"/>
  </si>
  <si>
    <t>AA41010202</t>
    <phoneticPr fontId="2" type="noConversion"/>
  </si>
  <si>
    <t xml:space="preserve">  向央行借款</t>
    <phoneticPr fontId="2" type="noConversion"/>
  </si>
  <si>
    <t>AA4102</t>
    <phoneticPr fontId="2" type="noConversion"/>
  </si>
  <si>
    <t xml:space="preserve">  同业存放</t>
    <phoneticPr fontId="2" type="noConversion"/>
  </si>
  <si>
    <t>AA4103</t>
    <phoneticPr fontId="2" type="noConversion"/>
  </si>
  <si>
    <t xml:space="preserve">    微粒贷联贷同业备付金</t>
    <phoneticPr fontId="2" type="noConversion"/>
  </si>
  <si>
    <t>AA410301</t>
    <phoneticPr fontId="2" type="noConversion"/>
  </si>
  <si>
    <t xml:space="preserve">  同业拆借</t>
    <phoneticPr fontId="2" type="noConversion"/>
  </si>
  <si>
    <t>AA4104</t>
    <phoneticPr fontId="2" type="noConversion"/>
  </si>
  <si>
    <t xml:space="preserve">  转贷款</t>
    <phoneticPr fontId="2" type="noConversion"/>
  </si>
  <si>
    <t>AA4105</t>
    <phoneticPr fontId="2" type="noConversion"/>
  </si>
  <si>
    <t xml:space="preserve">  卖出回购</t>
    <phoneticPr fontId="2" type="noConversion"/>
  </si>
  <si>
    <t>AA4106</t>
    <phoneticPr fontId="2" type="noConversion"/>
  </si>
  <si>
    <t xml:space="preserve">  发行同业存单</t>
    <phoneticPr fontId="2" type="noConversion"/>
  </si>
  <si>
    <t>AA4107</t>
    <phoneticPr fontId="2" type="noConversion"/>
  </si>
  <si>
    <t>生息资产利息收入</t>
    <phoneticPr fontId="2" type="noConversion"/>
  </si>
  <si>
    <t>AA42</t>
    <phoneticPr fontId="2" type="noConversion"/>
  </si>
  <si>
    <t>AA4201</t>
    <phoneticPr fontId="2" type="noConversion"/>
  </si>
  <si>
    <t>AA420101</t>
    <phoneticPr fontId="2" type="noConversion"/>
  </si>
  <si>
    <t>AA420102</t>
    <phoneticPr fontId="2" type="noConversion"/>
  </si>
  <si>
    <t>AA420103</t>
    <phoneticPr fontId="2" type="noConversion"/>
  </si>
  <si>
    <t>AA420104</t>
    <phoneticPr fontId="2" type="noConversion"/>
  </si>
  <si>
    <t>AA420105</t>
    <phoneticPr fontId="2" type="noConversion"/>
  </si>
  <si>
    <t>AA420106</t>
    <phoneticPr fontId="2" type="noConversion"/>
  </si>
  <si>
    <t>AA42010601</t>
    <phoneticPr fontId="2" type="noConversion"/>
  </si>
  <si>
    <t>AA42010602</t>
    <phoneticPr fontId="2" type="noConversion"/>
  </si>
  <si>
    <t>AA4202</t>
    <phoneticPr fontId="2" type="noConversion"/>
  </si>
  <si>
    <t>AA4203</t>
    <phoneticPr fontId="2" type="noConversion"/>
  </si>
  <si>
    <t>AA4204</t>
  </si>
  <si>
    <t>AA4205</t>
  </si>
  <si>
    <t>AA4206</t>
  </si>
  <si>
    <t>AA4207</t>
  </si>
  <si>
    <t>付息负债利息支出</t>
    <phoneticPr fontId="2" type="noConversion"/>
  </si>
  <si>
    <t>AA43</t>
    <phoneticPr fontId="2" type="noConversion"/>
  </si>
  <si>
    <t>AA4301</t>
    <phoneticPr fontId="2" type="noConversion"/>
  </si>
  <si>
    <t>AA430101</t>
    <phoneticPr fontId="2" type="noConversion"/>
  </si>
  <si>
    <t>AA430102</t>
    <phoneticPr fontId="2" type="noConversion"/>
  </si>
  <si>
    <t>AA43010201</t>
    <phoneticPr fontId="2" type="noConversion"/>
  </si>
  <si>
    <t>AA43010202</t>
    <phoneticPr fontId="2" type="noConversion"/>
  </si>
  <si>
    <t>AA4302</t>
    <phoneticPr fontId="2" type="noConversion"/>
  </si>
  <si>
    <t>AA4303</t>
    <phoneticPr fontId="2" type="noConversion"/>
  </si>
  <si>
    <t>AA430301</t>
    <phoneticPr fontId="2" type="noConversion"/>
  </si>
  <si>
    <t>AA4304</t>
    <phoneticPr fontId="2" type="noConversion"/>
  </si>
  <si>
    <t>AA4305</t>
    <phoneticPr fontId="2" type="noConversion"/>
  </si>
  <si>
    <t>AA4306</t>
  </si>
  <si>
    <t>AA4307</t>
  </si>
  <si>
    <t>生息资产收息率</t>
    <phoneticPr fontId="2" type="noConversion"/>
  </si>
  <si>
    <t>AA44</t>
    <phoneticPr fontId="2" type="noConversion"/>
  </si>
  <si>
    <t>AA4401</t>
    <phoneticPr fontId="2" type="noConversion"/>
  </si>
  <si>
    <t>AA440101</t>
    <phoneticPr fontId="2" type="noConversion"/>
  </si>
  <si>
    <t>AA440102</t>
    <phoneticPr fontId="2" type="noConversion"/>
  </si>
  <si>
    <t>AA440103</t>
  </si>
  <si>
    <t>AA440104</t>
  </si>
  <si>
    <t>AA440105</t>
  </si>
  <si>
    <t>AA440106</t>
    <phoneticPr fontId="2" type="noConversion"/>
  </si>
  <si>
    <t>AA44010601</t>
    <phoneticPr fontId="2" type="noConversion"/>
  </si>
  <si>
    <t>AA44010602</t>
    <phoneticPr fontId="2" type="noConversion"/>
  </si>
  <si>
    <t>AA4402</t>
    <phoneticPr fontId="2" type="noConversion"/>
  </si>
  <si>
    <t>AA4403</t>
    <phoneticPr fontId="2" type="noConversion"/>
  </si>
  <si>
    <t>AA4404</t>
    <phoneticPr fontId="2" type="noConversion"/>
  </si>
  <si>
    <t>AA4405</t>
    <phoneticPr fontId="2" type="noConversion"/>
  </si>
  <si>
    <t>AA4406</t>
    <phoneticPr fontId="2" type="noConversion"/>
  </si>
  <si>
    <t>AA4407</t>
    <phoneticPr fontId="2" type="noConversion"/>
  </si>
  <si>
    <t>付息负债付息率</t>
    <phoneticPr fontId="2" type="noConversion"/>
  </si>
  <si>
    <t>AA45</t>
    <phoneticPr fontId="2" type="noConversion"/>
  </si>
  <si>
    <t>AA4501</t>
    <phoneticPr fontId="2" type="noConversion"/>
  </si>
  <si>
    <t>AA450101</t>
    <phoneticPr fontId="2" type="noConversion"/>
  </si>
  <si>
    <t>AA450102</t>
    <phoneticPr fontId="2" type="noConversion"/>
  </si>
  <si>
    <t>AA45010201</t>
    <phoneticPr fontId="2" type="noConversion"/>
  </si>
  <si>
    <t>AA45010202</t>
    <phoneticPr fontId="2" type="noConversion"/>
  </si>
  <si>
    <t>AA4502</t>
    <phoneticPr fontId="2" type="noConversion"/>
  </si>
  <si>
    <t>AA4503</t>
    <phoneticPr fontId="2" type="noConversion"/>
  </si>
  <si>
    <t>AA450301</t>
    <phoneticPr fontId="2" type="noConversion"/>
  </si>
  <si>
    <t>AA4504</t>
    <phoneticPr fontId="2" type="noConversion"/>
  </si>
  <si>
    <t>AA4505</t>
    <phoneticPr fontId="2" type="noConversion"/>
  </si>
  <si>
    <t>AA4506</t>
    <phoneticPr fontId="2" type="noConversion"/>
  </si>
  <si>
    <t>AA4507</t>
    <phoneticPr fontId="2" type="noConversion"/>
  </si>
  <si>
    <t>A01</t>
  </si>
  <si>
    <t>A0101</t>
  </si>
  <si>
    <t>A010101</t>
  </si>
  <si>
    <t xml:space="preserve">    资产业务</t>
    <phoneticPr fontId="2" type="noConversion"/>
  </si>
  <si>
    <t>A01010101</t>
  </si>
  <si>
    <t>A01010102</t>
  </si>
  <si>
    <t xml:space="preserve">      FTP成本</t>
    <phoneticPr fontId="2" type="noConversion"/>
  </si>
  <si>
    <t>A010102</t>
  </si>
  <si>
    <t xml:space="preserve">    负债业务</t>
    <phoneticPr fontId="2" type="noConversion"/>
  </si>
  <si>
    <t>A01010201</t>
  </si>
  <si>
    <t>A01010202</t>
  </si>
  <si>
    <t xml:space="preserve">      FTP收入</t>
    <phoneticPr fontId="2" type="noConversion"/>
  </si>
  <si>
    <t>A0102</t>
  </si>
  <si>
    <t>A010201</t>
  </si>
  <si>
    <t>A010202</t>
  </si>
  <si>
    <t>A0103</t>
  </si>
  <si>
    <t>A02</t>
  </si>
  <si>
    <t>减：风险成本</t>
    <phoneticPr fontId="2" type="noConversion"/>
  </si>
  <si>
    <t>A03</t>
  </si>
  <si>
    <t>A04</t>
  </si>
  <si>
    <t>A05</t>
  </si>
  <si>
    <t>减：直接费用</t>
    <phoneticPr fontId="2" type="noConversion"/>
  </si>
  <si>
    <t>A0501</t>
  </si>
  <si>
    <t xml:space="preserve">  人力费用（不含IT）</t>
    <phoneticPr fontId="2" type="noConversion"/>
  </si>
  <si>
    <t>A050101</t>
  </si>
  <si>
    <t>A050102</t>
  </si>
  <si>
    <t xml:space="preserve">    特别人力</t>
    <phoneticPr fontId="2" type="noConversion"/>
  </si>
  <si>
    <t>A0502</t>
  </si>
  <si>
    <t>A050201</t>
  </si>
  <si>
    <t>A050202</t>
  </si>
  <si>
    <t>A0503</t>
  </si>
  <si>
    <t>A050301</t>
  </si>
  <si>
    <t xml:space="preserve">    IT人力</t>
    <phoneticPr fontId="2" type="noConversion"/>
  </si>
  <si>
    <t>A05030101</t>
  </si>
  <si>
    <t xml:space="preserve">      IT常规人力</t>
    <phoneticPr fontId="2" type="noConversion"/>
  </si>
  <si>
    <t>A05030102</t>
  </si>
  <si>
    <t xml:space="preserve">      IT特别人力</t>
    <phoneticPr fontId="2" type="noConversion"/>
  </si>
  <si>
    <t>A050302</t>
  </si>
  <si>
    <t xml:space="preserve">    科技费用</t>
    <phoneticPr fontId="2" type="noConversion"/>
  </si>
  <si>
    <t>A050303</t>
  </si>
  <si>
    <t xml:space="preserve">    IT职场</t>
    <phoneticPr fontId="2" type="noConversion"/>
  </si>
  <si>
    <t>A050304</t>
  </si>
  <si>
    <t xml:space="preserve">    IT日常</t>
    <phoneticPr fontId="2" type="noConversion"/>
  </si>
  <si>
    <t>A0504</t>
  </si>
  <si>
    <t xml:space="preserve">  职场费用</t>
    <phoneticPr fontId="2" type="noConversion"/>
  </si>
  <si>
    <t>A0505</t>
  </si>
  <si>
    <t>A06</t>
  </si>
  <si>
    <t>A07</t>
  </si>
  <si>
    <t>分摊前利润</t>
    <phoneticPr fontId="2" type="noConversion"/>
  </si>
  <si>
    <t>A08</t>
  </si>
  <si>
    <t>减：固定管理费</t>
    <phoneticPr fontId="2" type="noConversion"/>
  </si>
  <si>
    <t>A09</t>
  </si>
  <si>
    <t>B01</t>
  </si>
  <si>
    <t>B0101</t>
  </si>
  <si>
    <t>B010101</t>
  </si>
  <si>
    <t>B01010101</t>
  </si>
  <si>
    <t>B01010102</t>
  </si>
  <si>
    <t>B010102</t>
  </si>
  <si>
    <t>B01010201</t>
  </si>
  <si>
    <t>B01010202</t>
  </si>
  <si>
    <t>B0102</t>
  </si>
  <si>
    <t>B010201</t>
  </si>
  <si>
    <t>B010202</t>
  </si>
  <si>
    <t>B0103</t>
  </si>
  <si>
    <t>B02</t>
  </si>
  <si>
    <t>B03</t>
  </si>
  <si>
    <t>B04</t>
  </si>
  <si>
    <t>B05</t>
  </si>
  <si>
    <t>B0501</t>
  </si>
  <si>
    <t>B050101</t>
  </si>
  <si>
    <t>B050102</t>
  </si>
  <si>
    <t>B0502</t>
  </si>
  <si>
    <t>B050201</t>
  </si>
  <si>
    <t>B050202</t>
  </si>
  <si>
    <t>B0503</t>
  </si>
  <si>
    <t>B050301</t>
  </si>
  <si>
    <t>B05030101</t>
  </si>
  <si>
    <t>B05030102</t>
  </si>
  <si>
    <t>B050302</t>
  </si>
  <si>
    <t>B050303</t>
  </si>
  <si>
    <t>B050304</t>
  </si>
  <si>
    <t>B0504</t>
  </si>
  <si>
    <t>B0505</t>
  </si>
  <si>
    <t>B06</t>
  </si>
  <si>
    <t>B07</t>
  </si>
  <si>
    <t>B08</t>
  </si>
  <si>
    <t>B09</t>
  </si>
  <si>
    <t>C01</t>
  </si>
  <si>
    <t>C0101</t>
  </si>
  <si>
    <t>C010101</t>
  </si>
  <si>
    <t>C01010101</t>
  </si>
  <si>
    <t>C01010102</t>
  </si>
  <si>
    <t>C010102</t>
  </si>
  <si>
    <t>C01010201</t>
  </si>
  <si>
    <t>C01010202</t>
  </si>
  <si>
    <t>C0102</t>
  </si>
  <si>
    <t>C010201</t>
  </si>
  <si>
    <t>C010202</t>
  </si>
  <si>
    <t>C0103</t>
  </si>
  <si>
    <t>C02</t>
  </si>
  <si>
    <t>C03</t>
  </si>
  <si>
    <t>C04</t>
  </si>
  <si>
    <t>C05</t>
  </si>
  <si>
    <t>C0501</t>
  </si>
  <si>
    <t>C050101</t>
  </si>
  <si>
    <t>C050102</t>
  </si>
  <si>
    <t>C0502</t>
  </si>
  <si>
    <t>C050201</t>
  </si>
  <si>
    <t>C050202</t>
  </si>
  <si>
    <t>C0503</t>
  </si>
  <si>
    <t>C050301</t>
  </si>
  <si>
    <t>C05030101</t>
  </si>
  <si>
    <t>C05030102</t>
  </si>
  <si>
    <t>C050302</t>
  </si>
  <si>
    <t>C050303</t>
  </si>
  <si>
    <t>C050304</t>
  </si>
  <si>
    <t>C0504</t>
  </si>
  <si>
    <t>C0505</t>
  </si>
  <si>
    <t>C06</t>
  </si>
  <si>
    <t>C07</t>
  </si>
  <si>
    <t>C08</t>
  </si>
  <si>
    <t>C09</t>
  </si>
  <si>
    <t>D01</t>
  </si>
  <si>
    <t>D0101</t>
  </si>
  <si>
    <t>D010101</t>
  </si>
  <si>
    <t>D01010101</t>
  </si>
  <si>
    <t>D01010102</t>
  </si>
  <si>
    <t>D010102</t>
  </si>
  <si>
    <t>D01010201</t>
  </si>
  <si>
    <t>D01010202</t>
  </si>
  <si>
    <t>D0102</t>
  </si>
  <si>
    <t>D010201</t>
  </si>
  <si>
    <t>D010202</t>
  </si>
  <si>
    <t>D0103</t>
  </si>
  <si>
    <t>D02</t>
  </si>
  <si>
    <t>D03</t>
  </si>
  <si>
    <t>D04</t>
  </si>
  <si>
    <t>D05</t>
  </si>
  <si>
    <t>D0501</t>
  </si>
  <si>
    <t>D050101</t>
  </si>
  <si>
    <t>D050102</t>
  </si>
  <si>
    <t>D0502</t>
  </si>
  <si>
    <t>D050201</t>
  </si>
  <si>
    <t>D050202</t>
  </si>
  <si>
    <t>D0503</t>
  </si>
  <si>
    <t>D050301</t>
  </si>
  <si>
    <t>D05030101</t>
  </si>
  <si>
    <t>D05030102</t>
  </si>
  <si>
    <t>D050302</t>
  </si>
  <si>
    <t>D050303</t>
  </si>
  <si>
    <t>D050304</t>
  </si>
  <si>
    <t>D0504</t>
  </si>
  <si>
    <t>D0505</t>
  </si>
  <si>
    <t>D06</t>
  </si>
  <si>
    <t>D07</t>
  </si>
  <si>
    <t>D08</t>
  </si>
  <si>
    <t>D09</t>
  </si>
  <si>
    <t>E01</t>
  </si>
  <si>
    <t>E0101</t>
  </si>
  <si>
    <t>E010101</t>
  </si>
  <si>
    <t>E01010101</t>
  </si>
  <si>
    <t>E01010102</t>
  </si>
  <si>
    <t>E010102</t>
  </si>
  <si>
    <t>E01010201</t>
  </si>
  <si>
    <t>E01010202</t>
  </si>
  <si>
    <t>E0102</t>
  </si>
  <si>
    <t>E010201</t>
  </si>
  <si>
    <t>E010202</t>
  </si>
  <si>
    <t>E0103</t>
  </si>
  <si>
    <t>E02</t>
  </si>
  <si>
    <t>E03</t>
  </si>
  <si>
    <t>E04</t>
  </si>
  <si>
    <t>E05</t>
  </si>
  <si>
    <t>E0501</t>
  </si>
  <si>
    <t>E050101</t>
  </si>
  <si>
    <t>E050102</t>
  </si>
  <si>
    <t>E0502</t>
  </si>
  <si>
    <t>E050201</t>
  </si>
  <si>
    <t>E050202</t>
  </si>
  <si>
    <t>E0503</t>
  </si>
  <si>
    <t>E050301</t>
  </si>
  <si>
    <t>E05030101</t>
  </si>
  <si>
    <t>E05030102</t>
  </si>
  <si>
    <t>E050302</t>
  </si>
  <si>
    <t>E050303</t>
  </si>
  <si>
    <t>E050304</t>
  </si>
  <si>
    <t>E0504</t>
  </si>
  <si>
    <t>E0505</t>
  </si>
  <si>
    <t>E06</t>
  </si>
  <si>
    <t>E07</t>
  </si>
  <si>
    <t>E08</t>
  </si>
  <si>
    <t>E09</t>
  </si>
  <si>
    <t>F01</t>
  </si>
  <si>
    <t>F0101</t>
  </si>
  <si>
    <t>F010101</t>
  </si>
  <si>
    <t>F01010101</t>
  </si>
  <si>
    <t>F01010102</t>
  </si>
  <si>
    <t>F010102</t>
  </si>
  <si>
    <t>F01010201</t>
  </si>
  <si>
    <t>F01010202</t>
  </si>
  <si>
    <t>F0102</t>
  </si>
  <si>
    <t>F010201</t>
  </si>
  <si>
    <t>F010202</t>
  </si>
  <si>
    <t>F0103</t>
  </si>
  <si>
    <t>F02</t>
  </si>
  <si>
    <t>F03</t>
  </si>
  <si>
    <t>F04</t>
  </si>
  <si>
    <t>F05</t>
  </si>
  <si>
    <t>F0501</t>
  </si>
  <si>
    <t>F050101</t>
  </si>
  <si>
    <t>F050102</t>
  </si>
  <si>
    <t>F0502</t>
  </si>
  <si>
    <t>F050201</t>
  </si>
  <si>
    <t>F050202</t>
  </si>
  <si>
    <t>F0503</t>
  </si>
  <si>
    <t>F050301</t>
  </si>
  <si>
    <t>F05030101</t>
  </si>
  <si>
    <t>F05030102</t>
  </si>
  <si>
    <t>F050302</t>
  </si>
  <si>
    <t>F050303</t>
  </si>
  <si>
    <t>F050304</t>
  </si>
  <si>
    <t>F0504</t>
  </si>
  <si>
    <t>F0505</t>
  </si>
  <si>
    <t>F06</t>
  </si>
  <si>
    <t>F07</t>
  </si>
  <si>
    <t>F08</t>
  </si>
  <si>
    <t>F09</t>
  </si>
  <si>
    <t>管理贷款余额</t>
    <phoneticPr fontId="2" type="noConversion"/>
  </si>
  <si>
    <t xml:space="preserve">  自持</t>
    <phoneticPr fontId="2" type="noConversion"/>
  </si>
  <si>
    <t xml:space="preserve">  联贷</t>
    <phoneticPr fontId="2" type="noConversion"/>
  </si>
  <si>
    <t xml:space="preserve">  流转</t>
    <phoneticPr fontId="2" type="noConversion"/>
  </si>
  <si>
    <t>管理贷款日均</t>
    <phoneticPr fontId="2" type="noConversion"/>
  </si>
  <si>
    <t>贷款利息收入</t>
    <phoneticPr fontId="2" type="noConversion"/>
  </si>
  <si>
    <t xml:space="preserve">    余额</t>
    <phoneticPr fontId="2" type="noConversion"/>
  </si>
  <si>
    <t xml:space="preserve">    日均</t>
    <phoneticPr fontId="2" type="noConversion"/>
  </si>
  <si>
    <t xml:space="preserve">    利息收入</t>
    <phoneticPr fontId="2" type="noConversion"/>
  </si>
  <si>
    <t xml:space="preserve">    收息率</t>
    <phoneticPr fontId="2" type="noConversion"/>
  </si>
  <si>
    <t xml:space="preserve">    FTP</t>
    <phoneticPr fontId="2" type="noConversion"/>
  </si>
  <si>
    <t>金融机构往来利息收入</t>
    <phoneticPr fontId="2" type="noConversion"/>
  </si>
  <si>
    <t>存款利息支出</t>
    <phoneticPr fontId="2" type="noConversion"/>
  </si>
  <si>
    <t xml:space="preserve">    利息支出</t>
    <phoneticPr fontId="2" type="noConversion"/>
  </si>
  <si>
    <t xml:space="preserve">    付息率</t>
    <phoneticPr fontId="2" type="noConversion"/>
  </si>
  <si>
    <t xml:space="preserve">    FTP收入</t>
    <phoneticPr fontId="2" type="noConversion"/>
  </si>
  <si>
    <t>金融机构往来利息支出</t>
    <phoneticPr fontId="2" type="noConversion"/>
  </si>
  <si>
    <t>FTP成本</t>
    <phoneticPr fontId="2" type="noConversion"/>
  </si>
  <si>
    <t>手续费收入</t>
    <phoneticPr fontId="2" type="noConversion"/>
  </si>
  <si>
    <t xml:space="preserve">  联贷分成收入</t>
    <phoneticPr fontId="2" type="noConversion"/>
  </si>
  <si>
    <t xml:space="preserve">    收益率</t>
    <phoneticPr fontId="2" type="noConversion"/>
  </si>
  <si>
    <t xml:space="preserve">      平台费率</t>
    <phoneticPr fontId="2" type="noConversion"/>
  </si>
  <si>
    <t xml:space="preserve">      折扣率</t>
    <phoneticPr fontId="2" type="noConversion"/>
  </si>
  <si>
    <t xml:space="preserve">      规模占比</t>
    <phoneticPr fontId="2" type="noConversion"/>
  </si>
  <si>
    <t xml:space="preserve">      系数</t>
    <phoneticPr fontId="2" type="noConversion"/>
  </si>
  <si>
    <t xml:space="preserve">  结算便利等其他</t>
    <phoneticPr fontId="2" type="noConversion"/>
  </si>
  <si>
    <t>手续费支出</t>
    <phoneticPr fontId="2" type="noConversion"/>
  </si>
  <si>
    <t xml:space="preserve">  催收费</t>
    <phoneticPr fontId="2" type="noConversion"/>
  </si>
  <si>
    <t xml:space="preserve">    费率</t>
    <phoneticPr fontId="2" type="noConversion"/>
  </si>
  <si>
    <t xml:space="preserve">  征信费</t>
    <phoneticPr fontId="2" type="noConversion"/>
  </si>
  <si>
    <t xml:space="preserve">  清算费</t>
    <phoneticPr fontId="2" type="noConversion"/>
  </si>
  <si>
    <t xml:space="preserve">  代偿保费</t>
    <phoneticPr fontId="2" type="noConversion"/>
  </si>
  <si>
    <t xml:space="preserve">    渠道费率</t>
    <phoneticPr fontId="2" type="noConversion"/>
  </si>
  <si>
    <t xml:space="preserve">  其他</t>
    <phoneticPr fontId="2" type="noConversion"/>
  </si>
  <si>
    <t>其他营收</t>
    <phoneticPr fontId="2" type="noConversion"/>
  </si>
  <si>
    <t>内部营业净收入</t>
    <phoneticPr fontId="2" type="noConversion"/>
  </si>
  <si>
    <t>管理资产余额</t>
    <phoneticPr fontId="2" type="noConversion"/>
  </si>
  <si>
    <t xml:space="preserve">  零钱+</t>
    <phoneticPr fontId="2" type="noConversion"/>
  </si>
  <si>
    <t xml:space="preserve">    经营部分</t>
    <phoneticPr fontId="2" type="noConversion"/>
  </si>
  <si>
    <t xml:space="preserve">    流动性专项备付</t>
    <phoneticPr fontId="2" type="noConversion"/>
  </si>
  <si>
    <t xml:space="preserve">  零钱通</t>
    <phoneticPr fontId="2" type="noConversion"/>
  </si>
  <si>
    <t xml:space="preserve">  存款服务</t>
    <phoneticPr fontId="2" type="noConversion"/>
  </si>
  <si>
    <t>管理资产日均</t>
    <phoneticPr fontId="2" type="noConversion"/>
  </si>
  <si>
    <t xml:space="preserve">      零钱+对客利息支出</t>
    <phoneticPr fontId="2" type="noConversion"/>
  </si>
  <si>
    <t xml:space="preserve">      余额</t>
    <phoneticPr fontId="2" type="noConversion"/>
  </si>
  <si>
    <t xml:space="preserve">      日均</t>
    <phoneticPr fontId="2" type="noConversion"/>
  </si>
  <si>
    <t xml:space="preserve">      付息率</t>
    <phoneticPr fontId="2" type="noConversion"/>
  </si>
  <si>
    <t>FTP收入</t>
    <phoneticPr fontId="2" type="noConversion"/>
  </si>
  <si>
    <t xml:space="preserve">  零钱通收入</t>
    <phoneticPr fontId="2" type="noConversion"/>
  </si>
  <si>
    <t>微账户参数</t>
    <phoneticPr fontId="2" type="noConversion"/>
  </si>
  <si>
    <t xml:space="preserve">  对公平台服务费收入</t>
    <phoneticPr fontId="2" type="noConversion"/>
  </si>
  <si>
    <t xml:space="preserve">  渠道费</t>
    <phoneticPr fontId="2" type="noConversion"/>
  </si>
  <si>
    <t xml:space="preserve">  财富存款</t>
    <phoneticPr fontId="2" type="noConversion"/>
  </si>
  <si>
    <t xml:space="preserve">  财富代销</t>
    <phoneticPr fontId="2" type="noConversion"/>
  </si>
  <si>
    <t xml:space="preserve">      FTP</t>
    <phoneticPr fontId="2" type="noConversion"/>
  </si>
  <si>
    <t xml:space="preserve">  代销手续费收入</t>
    <phoneticPr fontId="2" type="noConversion"/>
  </si>
  <si>
    <t xml:space="preserve">  积分</t>
    <phoneticPr fontId="2" type="noConversion"/>
  </si>
  <si>
    <t xml:space="preserve">  手续费收入</t>
    <phoneticPr fontId="2" type="noConversion"/>
  </si>
  <si>
    <t xml:space="preserve">    ABS</t>
    <phoneticPr fontId="2" type="noConversion"/>
  </si>
  <si>
    <t xml:space="preserve">    ABN</t>
    <phoneticPr fontId="2" type="noConversion"/>
  </si>
  <si>
    <t xml:space="preserve">    债转</t>
    <phoneticPr fontId="2" type="noConversion"/>
  </si>
  <si>
    <t xml:space="preserve">  银承保函</t>
    <phoneticPr fontId="2" type="noConversion"/>
  </si>
  <si>
    <t xml:space="preserve">  票据贴现利息收入</t>
    <phoneticPr fontId="2" type="noConversion"/>
  </si>
  <si>
    <t>投资利息收入</t>
    <phoneticPr fontId="2" type="noConversion"/>
  </si>
  <si>
    <t xml:space="preserve">    冲销金额</t>
    <phoneticPr fontId="2" type="noConversion"/>
  </si>
  <si>
    <t xml:space="preserve">  ABS收入</t>
    <phoneticPr fontId="2" type="noConversion"/>
  </si>
  <si>
    <t xml:space="preserve">  ABN收入</t>
    <phoneticPr fontId="2" type="noConversion"/>
  </si>
  <si>
    <t xml:space="preserve">  流量经营收入</t>
    <phoneticPr fontId="2" type="noConversion"/>
  </si>
  <si>
    <t xml:space="preserve">  银承保函收入</t>
    <phoneticPr fontId="2" type="noConversion"/>
  </si>
  <si>
    <t xml:space="preserve">  催收费收入</t>
    <phoneticPr fontId="2" type="noConversion"/>
  </si>
  <si>
    <t xml:space="preserve">  担保费用</t>
    <phoneticPr fontId="2" type="noConversion"/>
  </si>
  <si>
    <t xml:space="preserve">  票据转贴现</t>
    <phoneticPr fontId="2" type="noConversion"/>
  </si>
  <si>
    <t xml:space="preserve">  小微激励金</t>
    <phoneticPr fontId="2" type="noConversion"/>
  </si>
  <si>
    <t xml:space="preserve">  手续费支出</t>
    <phoneticPr fontId="2" type="noConversion"/>
  </si>
  <si>
    <t xml:space="preserve">  价差+公允价值变动损益</t>
    <phoneticPr fontId="2" type="noConversion"/>
  </si>
  <si>
    <t xml:space="preserve">  货基投资</t>
    <phoneticPr fontId="2" type="noConversion"/>
  </si>
  <si>
    <t xml:space="preserve">  债基投资</t>
    <phoneticPr fontId="2" type="noConversion"/>
  </si>
  <si>
    <t xml:space="preserve">  交易性金融负债</t>
    <phoneticPr fontId="2" type="noConversion"/>
  </si>
  <si>
    <t xml:space="preserve">负债余额 </t>
    <phoneticPr fontId="2" type="noConversion"/>
  </si>
  <si>
    <t xml:space="preserve">  返税收入</t>
    <phoneticPr fontId="2" type="noConversion"/>
  </si>
  <si>
    <t xml:space="preserve">    利率债</t>
    <phoneticPr fontId="2" type="noConversion"/>
  </si>
  <si>
    <t xml:space="preserve">      国债</t>
    <phoneticPr fontId="2" type="noConversion"/>
  </si>
  <si>
    <t xml:space="preserve">      返税后收益率</t>
    <phoneticPr fontId="2" type="noConversion"/>
  </si>
  <si>
    <t xml:space="preserve">      地方债</t>
    <phoneticPr fontId="2" type="noConversion"/>
  </si>
  <si>
    <t xml:space="preserve">    基金</t>
    <phoneticPr fontId="2" type="noConversion"/>
  </si>
  <si>
    <t xml:space="preserve">      货基</t>
    <phoneticPr fontId="2" type="noConversion"/>
  </si>
  <si>
    <t xml:space="preserve">      债基</t>
    <phoneticPr fontId="2" type="noConversion"/>
  </si>
  <si>
    <t>C0101010101</t>
  </si>
  <si>
    <t>C0101010102</t>
  </si>
  <si>
    <t>C0101010201</t>
  </si>
  <si>
    <t>C0101010202</t>
  </si>
  <si>
    <t>C010103</t>
  </si>
  <si>
    <t>C0104</t>
  </si>
  <si>
    <t>C0105</t>
  </si>
  <si>
    <t>C010501</t>
  </si>
  <si>
    <t>C01050101</t>
  </si>
  <si>
    <t>C01050102</t>
  </si>
  <si>
    <t>C010502</t>
  </si>
  <si>
    <t>C01050201</t>
  </si>
  <si>
    <t>C01050202</t>
  </si>
  <si>
    <t>C010503</t>
  </si>
  <si>
    <t>C01050301</t>
  </si>
  <si>
    <t>C0105030101</t>
  </si>
  <si>
    <t>C0105030102</t>
  </si>
  <si>
    <t>C01050302</t>
  </si>
  <si>
    <t>C01050303</t>
  </si>
  <si>
    <t>C01050304</t>
  </si>
  <si>
    <t>C010504</t>
  </si>
  <si>
    <t>C010505</t>
  </si>
  <si>
    <t>C0106</t>
  </si>
  <si>
    <t>C0107</t>
  </si>
  <si>
    <t>C0108</t>
  </si>
  <si>
    <t>C0109</t>
  </si>
  <si>
    <t>C0117</t>
    <phoneticPr fontId="2" type="noConversion"/>
  </si>
  <si>
    <t>C011701</t>
    <phoneticPr fontId="2" type="noConversion"/>
  </si>
  <si>
    <t xml:space="preserve">  科技存款利息支出</t>
    <phoneticPr fontId="2" type="noConversion"/>
  </si>
  <si>
    <t>C01170101</t>
    <phoneticPr fontId="2" type="noConversion"/>
  </si>
  <si>
    <t>C01170102</t>
    <phoneticPr fontId="2" type="noConversion"/>
  </si>
  <si>
    <t>C01170103</t>
  </si>
  <si>
    <t>C01170104</t>
  </si>
  <si>
    <t>C01170105</t>
  </si>
  <si>
    <t>C01170106</t>
  </si>
  <si>
    <t>C0121</t>
  </si>
  <si>
    <t>C012101</t>
  </si>
  <si>
    <t>C0122</t>
  </si>
  <si>
    <t>C012201</t>
  </si>
  <si>
    <t>C0123</t>
  </si>
  <si>
    <t>C0124</t>
  </si>
  <si>
    <t>C0201</t>
  </si>
  <si>
    <t>C020101</t>
  </si>
  <si>
    <t>C02010101</t>
  </si>
  <si>
    <t>C0201010101</t>
  </si>
  <si>
    <t>C0201010102</t>
  </si>
  <si>
    <t>C02010102</t>
  </si>
  <si>
    <t>C0201010201</t>
  </si>
  <si>
    <t>C0201010202</t>
  </si>
  <si>
    <t>C020102</t>
  </si>
  <si>
    <t>C02010201</t>
  </si>
  <si>
    <t>C02010202</t>
  </si>
  <si>
    <t>C020103</t>
  </si>
  <si>
    <t>C0202</t>
  </si>
  <si>
    <t>C0203</t>
  </si>
  <si>
    <t>C0204</t>
  </si>
  <si>
    <t>C0205</t>
  </si>
  <si>
    <t>C020501</t>
  </si>
  <si>
    <t>C02050101</t>
  </si>
  <si>
    <t>C02050102</t>
  </si>
  <si>
    <t>C020502</t>
  </si>
  <si>
    <t>C02050201</t>
  </si>
  <si>
    <t>C02050202</t>
  </si>
  <si>
    <t>C020503</t>
  </si>
  <si>
    <t>C02050301</t>
  </si>
  <si>
    <t>C0205030101</t>
  </si>
  <si>
    <t>C0205030102</t>
  </si>
  <si>
    <t>C02050302</t>
  </si>
  <si>
    <t>C02050303</t>
  </si>
  <si>
    <t>C02050304</t>
  </si>
  <si>
    <t>C020504</t>
  </si>
  <si>
    <t>C020505</t>
  </si>
  <si>
    <t>C0206</t>
  </si>
  <si>
    <t>C0207</t>
  </si>
  <si>
    <t>C0208</t>
  </si>
  <si>
    <t>C0209</t>
  </si>
  <si>
    <t>C0221</t>
  </si>
  <si>
    <t>C022101</t>
  </si>
  <si>
    <t>C0222</t>
  </si>
  <si>
    <t>C022201</t>
  </si>
  <si>
    <t>C0223</t>
  </si>
  <si>
    <t>C0224</t>
  </si>
  <si>
    <t>D0101010101</t>
  </si>
  <si>
    <t>D0101010102</t>
  </si>
  <si>
    <t>D0101010201</t>
  </si>
  <si>
    <t>D0101010202</t>
  </si>
  <si>
    <t>D010103</t>
  </si>
  <si>
    <t>D0104</t>
  </si>
  <si>
    <t>D0105</t>
  </si>
  <si>
    <t>D010501</t>
  </si>
  <si>
    <t>D01050101</t>
  </si>
  <si>
    <t>D01050102</t>
  </si>
  <si>
    <t>D010502</t>
  </si>
  <si>
    <t>D01050201</t>
  </si>
  <si>
    <t>D01050202</t>
  </si>
  <si>
    <t>D010503</t>
  </si>
  <si>
    <t>D01050301</t>
  </si>
  <si>
    <t>D0105030101</t>
  </si>
  <si>
    <t>D0105030102</t>
  </si>
  <si>
    <t>D01050302</t>
  </si>
  <si>
    <t>D01050303</t>
  </si>
  <si>
    <t>D01050304</t>
  </si>
  <si>
    <t>D010504</t>
  </si>
  <si>
    <t>D010505</t>
  </si>
  <si>
    <t>D0106</t>
  </si>
  <si>
    <t>D0107</t>
  </si>
  <si>
    <t>D0108</t>
  </si>
  <si>
    <t>D0109</t>
  </si>
  <si>
    <t>D0121</t>
  </si>
  <si>
    <t>D012101</t>
  </si>
  <si>
    <t>D0122</t>
  </si>
  <si>
    <t>D012201</t>
  </si>
  <si>
    <t>D0123</t>
  </si>
  <si>
    <t>D0124</t>
    <phoneticPr fontId="2" type="noConversion"/>
  </si>
  <si>
    <t>E0101010101</t>
  </si>
  <si>
    <t>E0101010102</t>
  </si>
  <si>
    <t>E0101010201</t>
  </si>
  <si>
    <t>E0101010202</t>
  </si>
  <si>
    <t>E010103</t>
  </si>
  <si>
    <t>E0104</t>
  </si>
  <si>
    <t>E0105</t>
  </si>
  <si>
    <t>E010501</t>
  </si>
  <si>
    <t>E01050101</t>
  </si>
  <si>
    <t>E01050102</t>
  </si>
  <si>
    <t>E010502</t>
  </si>
  <si>
    <t>E01050201</t>
  </si>
  <si>
    <t>E01050202</t>
  </si>
  <si>
    <t>E010503</t>
  </si>
  <si>
    <t>E01050301</t>
  </si>
  <si>
    <t>E0105030101</t>
  </si>
  <si>
    <t>E0105030102</t>
  </si>
  <si>
    <t>E01050302</t>
  </si>
  <si>
    <t>E01050303</t>
  </si>
  <si>
    <t>E01050304</t>
  </si>
  <si>
    <t>E010504</t>
  </si>
  <si>
    <t>E010505</t>
  </si>
  <si>
    <t>E0106</t>
  </si>
  <si>
    <t>E0107</t>
  </si>
  <si>
    <t>E0108</t>
  </si>
  <si>
    <t>E0109</t>
  </si>
  <si>
    <t>E0121</t>
  </si>
  <si>
    <t>E012101</t>
  </si>
  <si>
    <t>E0122</t>
  </si>
  <si>
    <t>E012201</t>
  </si>
  <si>
    <t>E0123</t>
  </si>
  <si>
    <t>E0124</t>
    <phoneticPr fontId="2" type="noConversion"/>
  </si>
  <si>
    <t>F0101010101</t>
  </si>
  <si>
    <t>F0101010102</t>
  </si>
  <si>
    <t>F0101010201</t>
  </si>
  <si>
    <t>F0101010202</t>
  </si>
  <si>
    <t>F010103</t>
  </si>
  <si>
    <t>F0104</t>
  </si>
  <si>
    <t>F0105</t>
  </si>
  <si>
    <t>F010501</t>
  </si>
  <si>
    <t>F01050101</t>
  </si>
  <si>
    <t>F01050102</t>
  </si>
  <si>
    <t>F010502</t>
  </si>
  <si>
    <t>F01050201</t>
  </si>
  <si>
    <t>F01050202</t>
  </si>
  <si>
    <t>F010503</t>
  </si>
  <si>
    <t>F01050301</t>
  </si>
  <si>
    <t>F0105030101</t>
  </si>
  <si>
    <t>F0105030102</t>
  </si>
  <si>
    <t>F01050302</t>
  </si>
  <si>
    <t>F01050303</t>
  </si>
  <si>
    <t>F01050304</t>
  </si>
  <si>
    <t>F010504</t>
  </si>
  <si>
    <t>F010505</t>
  </si>
  <si>
    <t>F0106</t>
  </si>
  <si>
    <t>F0107</t>
  </si>
  <si>
    <t>F0108</t>
  </si>
  <si>
    <t>F0109</t>
  </si>
  <si>
    <t>F0110</t>
    <phoneticPr fontId="2" type="noConversion"/>
  </si>
  <si>
    <t>F011001</t>
    <phoneticPr fontId="2" type="noConversion"/>
  </si>
  <si>
    <t>F0111</t>
    <phoneticPr fontId="2" type="noConversion"/>
  </si>
  <si>
    <t>F011101</t>
    <phoneticPr fontId="2" type="noConversion"/>
  </si>
  <si>
    <t>F0114</t>
    <phoneticPr fontId="2" type="noConversion"/>
  </si>
  <si>
    <t>F011401</t>
    <phoneticPr fontId="2" type="noConversion"/>
  </si>
  <si>
    <t>F01140101</t>
    <phoneticPr fontId="2" type="noConversion"/>
  </si>
  <si>
    <t>F01140102</t>
    <phoneticPr fontId="2" type="noConversion"/>
  </si>
  <si>
    <t>F01140103</t>
  </si>
  <si>
    <t>F01140104</t>
    <phoneticPr fontId="2" type="noConversion"/>
  </si>
  <si>
    <t>F0115</t>
    <phoneticPr fontId="2" type="noConversion"/>
  </si>
  <si>
    <t>F011501</t>
    <phoneticPr fontId="2" type="noConversion"/>
  </si>
  <si>
    <t>F01150101</t>
    <phoneticPr fontId="2" type="noConversion"/>
  </si>
  <si>
    <t>F01150102</t>
    <phoneticPr fontId="2" type="noConversion"/>
  </si>
  <si>
    <t>F01150103</t>
  </si>
  <si>
    <t>F01150104</t>
  </si>
  <si>
    <t>F011502</t>
    <phoneticPr fontId="2" type="noConversion"/>
  </si>
  <si>
    <t>F01150201</t>
    <phoneticPr fontId="2" type="noConversion"/>
  </si>
  <si>
    <t>F01150202</t>
    <phoneticPr fontId="2" type="noConversion"/>
  </si>
  <si>
    <t>F01150203</t>
  </si>
  <si>
    <t>F01150204</t>
  </si>
  <si>
    <t>F011503</t>
    <phoneticPr fontId="2" type="noConversion"/>
  </si>
  <si>
    <t>F01150301</t>
    <phoneticPr fontId="2" type="noConversion"/>
  </si>
  <si>
    <t>F01150302</t>
    <phoneticPr fontId="2" type="noConversion"/>
  </si>
  <si>
    <t>F01150303</t>
  </si>
  <si>
    <t>F01150304</t>
  </si>
  <si>
    <t>F0118</t>
    <phoneticPr fontId="2" type="noConversion"/>
  </si>
  <si>
    <t>F011801</t>
    <phoneticPr fontId="2" type="noConversion"/>
  </si>
  <si>
    <t>F01180101</t>
    <phoneticPr fontId="2" type="noConversion"/>
  </si>
  <si>
    <t>F01180102</t>
    <phoneticPr fontId="2" type="noConversion"/>
  </si>
  <si>
    <t>F01180103</t>
  </si>
  <si>
    <t>F01180104</t>
  </si>
  <si>
    <t>F011802</t>
    <phoneticPr fontId="2" type="noConversion"/>
  </si>
  <si>
    <t>F01180201</t>
    <phoneticPr fontId="2" type="noConversion"/>
  </si>
  <si>
    <t>F01180202</t>
    <phoneticPr fontId="2" type="noConversion"/>
  </si>
  <si>
    <t>F01180203</t>
  </si>
  <si>
    <t>F01180204</t>
  </si>
  <si>
    <t>F0119</t>
    <phoneticPr fontId="2" type="noConversion"/>
  </si>
  <si>
    <t>F011901</t>
    <phoneticPr fontId="2" type="noConversion"/>
  </si>
  <si>
    <t>司库FTP成本</t>
    <phoneticPr fontId="2" type="noConversion"/>
  </si>
  <si>
    <t>F0120</t>
    <phoneticPr fontId="2" type="noConversion"/>
  </si>
  <si>
    <t>F012001</t>
    <phoneticPr fontId="2" type="noConversion"/>
  </si>
  <si>
    <t>司库FTP收入</t>
    <phoneticPr fontId="2" type="noConversion"/>
  </si>
  <si>
    <t>F0121</t>
  </si>
  <si>
    <t>F012101</t>
  </si>
  <si>
    <t>F0122</t>
  </si>
  <si>
    <t>F012201</t>
  </si>
  <si>
    <t>F0123</t>
    <phoneticPr fontId="2" type="noConversion"/>
  </si>
  <si>
    <t>F012301</t>
    <phoneticPr fontId="2" type="noConversion"/>
  </si>
  <si>
    <t xml:space="preserve">  债券免税收入抵消</t>
    <phoneticPr fontId="2" type="noConversion"/>
  </si>
  <si>
    <t>F012302</t>
    <phoneticPr fontId="2" type="noConversion"/>
  </si>
  <si>
    <t xml:space="preserve">  基金免税收入抵消</t>
    <phoneticPr fontId="2" type="noConversion"/>
  </si>
  <si>
    <t>F0124</t>
    <phoneticPr fontId="2" type="noConversion"/>
  </si>
  <si>
    <t>率年化指标</t>
    <phoneticPr fontId="2" type="noConversion"/>
  </si>
  <si>
    <t>收支月化指标</t>
    <phoneticPr fontId="2" type="noConversion"/>
  </si>
  <si>
    <t>率年化指标（仅实际月）</t>
    <phoneticPr fontId="2" type="noConversion"/>
  </si>
  <si>
    <t xml:space="preserve">    系数</t>
    <phoneticPr fontId="2" type="noConversion"/>
  </si>
  <si>
    <t>收支月化指标（仅预测月）</t>
    <phoneticPr fontId="2" type="noConversion"/>
  </si>
  <si>
    <t xml:space="preserve">  AA+同业存单收益率</t>
    <phoneticPr fontId="2" type="noConversion"/>
  </si>
  <si>
    <t xml:space="preserve">  各项贷款（不含票据）/微账户</t>
    <phoneticPr fontId="2" type="noConversion"/>
  </si>
  <si>
    <t xml:space="preserve">  法定存款准备金率</t>
    <phoneticPr fontId="2" type="noConversion"/>
  </si>
  <si>
    <t xml:space="preserve">  同业资产收益率（不含存放央行）</t>
    <phoneticPr fontId="2" type="noConversion"/>
  </si>
  <si>
    <t xml:space="preserve">    同业利息收入</t>
    <phoneticPr fontId="2" type="noConversion"/>
  </si>
  <si>
    <t xml:space="preserve">    同业日均规模</t>
    <phoneticPr fontId="2" type="noConversion"/>
  </si>
  <si>
    <t xml:space="preserve">  手续费净收入</t>
    <phoneticPr fontId="2" type="noConversion"/>
  </si>
  <si>
    <t xml:space="preserve">    小微银银收入</t>
    <phoneticPr fontId="2" type="noConversion"/>
  </si>
  <si>
    <t>利息收入</t>
    <phoneticPr fontId="2" type="noConversion"/>
  </si>
  <si>
    <t xml:space="preserve">  贷款FTP成本</t>
    <phoneticPr fontId="2" type="noConversion"/>
  </si>
  <si>
    <t xml:space="preserve">    微粒贷FTP成本</t>
    <phoneticPr fontId="2" type="noConversion"/>
  </si>
  <si>
    <t xml:space="preserve">    分付FTP成本</t>
    <phoneticPr fontId="2" type="noConversion"/>
  </si>
  <si>
    <t xml:space="preserve">  金融机构往来FTP成本</t>
    <phoneticPr fontId="2" type="noConversion"/>
  </si>
  <si>
    <t xml:space="preserve">    存放同业FTP成本</t>
    <phoneticPr fontId="2" type="noConversion"/>
  </si>
  <si>
    <t xml:space="preserve">  贷款利息收入</t>
    <phoneticPr fontId="2" type="noConversion"/>
  </si>
  <si>
    <t xml:space="preserve">    微粒贷利息收入</t>
    <phoneticPr fontId="2" type="noConversion"/>
  </si>
  <si>
    <t xml:space="preserve">      微粒贷收息率</t>
    <phoneticPr fontId="2" type="noConversion"/>
  </si>
  <si>
    <t xml:space="preserve">    分付利息收入</t>
    <phoneticPr fontId="2" type="noConversion"/>
  </si>
  <si>
    <t>A01.14</t>
    <phoneticPr fontId="2" type="noConversion"/>
  </si>
  <si>
    <t>A01.14.01</t>
    <phoneticPr fontId="2" type="noConversion"/>
  </si>
  <si>
    <t>A01.14.01.01</t>
    <phoneticPr fontId="2" type="noConversion"/>
  </si>
  <si>
    <t>A01.14.01.01.01</t>
    <phoneticPr fontId="2" type="noConversion"/>
  </si>
  <si>
    <t>A01.14.01.01.02</t>
    <phoneticPr fontId="2" type="noConversion"/>
  </si>
  <si>
    <t>A01.14.01.01.03</t>
    <phoneticPr fontId="2" type="noConversion"/>
  </si>
  <si>
    <t>A01.14.01.02</t>
    <phoneticPr fontId="2" type="noConversion"/>
  </si>
  <si>
    <t>A01.14.01.02.01</t>
    <phoneticPr fontId="2" type="noConversion"/>
  </si>
  <si>
    <t>A01.14.01.02.02</t>
    <phoneticPr fontId="2" type="noConversion"/>
  </si>
  <si>
    <t xml:space="preserve">      分付收息率</t>
    <phoneticPr fontId="2" type="noConversion"/>
  </si>
  <si>
    <t xml:space="preserve">      分付腾讯渠道费</t>
    <phoneticPr fontId="2" type="noConversion"/>
  </si>
  <si>
    <t xml:space="preserve">      分付利息收入（渠道费前）</t>
    <phoneticPr fontId="2" type="noConversion"/>
  </si>
  <si>
    <t xml:space="preserve">      微粒贷利息收入（渠道费、清仓回购前）</t>
    <phoneticPr fontId="2" type="noConversion"/>
  </si>
  <si>
    <t xml:space="preserve">      微粒贷自营腾讯渠道费</t>
    <phoneticPr fontId="2" type="noConversion"/>
  </si>
  <si>
    <t xml:space="preserve">      微粒贷电信分期渠道费</t>
    <phoneticPr fontId="2" type="noConversion"/>
  </si>
  <si>
    <t xml:space="preserve">      微粒贷清仓回购利息收入</t>
    <phoneticPr fontId="2" type="noConversion"/>
  </si>
  <si>
    <t xml:space="preserve">      微粒贷清仓回购腾讯渠道费</t>
    <phoneticPr fontId="2" type="noConversion"/>
  </si>
  <si>
    <t>A01.14.02</t>
    <phoneticPr fontId="2" type="noConversion"/>
  </si>
  <si>
    <t>A01.15</t>
    <phoneticPr fontId="2" type="noConversion"/>
  </si>
  <si>
    <t>A01.15.01</t>
    <phoneticPr fontId="2" type="noConversion"/>
  </si>
  <si>
    <t xml:space="preserve">      微粒贷FTP</t>
    <phoneticPr fontId="2" type="noConversion"/>
  </si>
  <si>
    <t xml:space="preserve">      分付FTP</t>
    <phoneticPr fontId="2" type="noConversion"/>
  </si>
  <si>
    <t xml:space="preserve">      存放同业FTP</t>
    <phoneticPr fontId="2" type="noConversion"/>
  </si>
  <si>
    <t xml:space="preserve">  其他FTP成本</t>
    <phoneticPr fontId="2" type="noConversion"/>
  </si>
  <si>
    <t xml:space="preserve">    流动性备付</t>
    <phoneticPr fontId="2" type="noConversion"/>
  </si>
  <si>
    <t>A01.15.01.01</t>
    <phoneticPr fontId="2" type="noConversion"/>
  </si>
  <si>
    <t>A01.15.01.02</t>
    <phoneticPr fontId="2" type="noConversion"/>
  </si>
  <si>
    <t>A01.15.01.01.01</t>
    <phoneticPr fontId="2" type="noConversion"/>
  </si>
  <si>
    <t>A01.15.01.02.01</t>
    <phoneticPr fontId="2" type="noConversion"/>
  </si>
  <si>
    <t>A01.15.02</t>
    <phoneticPr fontId="2" type="noConversion"/>
  </si>
  <si>
    <t xml:space="preserve">  自持余额</t>
    <phoneticPr fontId="2" type="noConversion"/>
  </si>
  <si>
    <t>A01.16</t>
    <phoneticPr fontId="2" type="noConversion"/>
  </si>
  <si>
    <t>利息支出</t>
    <phoneticPr fontId="2" type="noConversion"/>
  </si>
  <si>
    <t>A01.16.01</t>
    <phoneticPr fontId="2" type="noConversion"/>
  </si>
  <si>
    <t>A01.16.01.01</t>
    <phoneticPr fontId="2" type="noConversion"/>
  </si>
  <si>
    <t>A01.16.02</t>
    <phoneticPr fontId="2" type="noConversion"/>
  </si>
  <si>
    <t xml:space="preserve">  同业存放利息支出</t>
    <phoneticPr fontId="2" type="noConversion"/>
  </si>
  <si>
    <t xml:space="preserve">    同业存放余额</t>
    <phoneticPr fontId="2" type="noConversion"/>
  </si>
  <si>
    <t xml:space="preserve">    同业存放日均</t>
    <phoneticPr fontId="2" type="noConversion"/>
  </si>
  <si>
    <t xml:space="preserve">    同业存放付息率</t>
    <phoneticPr fontId="2" type="noConversion"/>
  </si>
  <si>
    <t>A01.17</t>
    <phoneticPr fontId="2" type="noConversion"/>
  </si>
  <si>
    <t>A01.17.01</t>
    <phoneticPr fontId="2" type="noConversion"/>
  </si>
  <si>
    <t>A01.17.01.01</t>
    <phoneticPr fontId="2" type="noConversion"/>
  </si>
  <si>
    <t xml:space="preserve">  存款FTP收入</t>
    <phoneticPr fontId="2" type="noConversion"/>
  </si>
  <si>
    <t>A01.17.01.01.01</t>
    <phoneticPr fontId="2" type="noConversion"/>
  </si>
  <si>
    <t>A01.17.02</t>
    <phoneticPr fontId="2" type="noConversion"/>
  </si>
  <si>
    <t xml:space="preserve">  金融机构往来FTP收入</t>
    <phoneticPr fontId="2" type="noConversion"/>
  </si>
  <si>
    <t xml:space="preserve">    同业存放FTP收入</t>
    <phoneticPr fontId="2" type="noConversion"/>
  </si>
  <si>
    <t xml:space="preserve">      同业存放FTP</t>
    <phoneticPr fontId="2" type="noConversion"/>
  </si>
  <si>
    <t>A01.18</t>
    <phoneticPr fontId="2" type="noConversion"/>
  </si>
  <si>
    <t>A01.01</t>
    <phoneticPr fontId="2" type="noConversion"/>
  </si>
  <si>
    <t>A01.01.01</t>
    <phoneticPr fontId="2" type="noConversion"/>
  </si>
  <si>
    <t>A01.01.01.01</t>
    <phoneticPr fontId="2" type="noConversion"/>
  </si>
  <si>
    <t>A01.01.01.02</t>
    <phoneticPr fontId="2" type="noConversion"/>
  </si>
  <si>
    <t>A01.01.02</t>
    <phoneticPr fontId="2" type="noConversion"/>
  </si>
  <si>
    <t>A01.01.03</t>
    <phoneticPr fontId="2" type="noConversion"/>
  </si>
  <si>
    <t>A01.02</t>
    <phoneticPr fontId="2" type="noConversion"/>
  </si>
  <si>
    <t>A01.03</t>
    <phoneticPr fontId="2" type="noConversion"/>
  </si>
  <si>
    <t>A01.04</t>
    <phoneticPr fontId="2" type="noConversion"/>
  </si>
  <si>
    <t>A01.05</t>
    <phoneticPr fontId="2" type="noConversion"/>
  </si>
  <si>
    <t>A01.05.01</t>
    <phoneticPr fontId="2" type="noConversion"/>
  </si>
  <si>
    <t>A01.05.01.01</t>
    <phoneticPr fontId="2" type="noConversion"/>
  </si>
  <si>
    <t>A01.05.01.02</t>
    <phoneticPr fontId="2" type="noConversion"/>
  </si>
  <si>
    <t>A01.05.02</t>
    <phoneticPr fontId="2" type="noConversion"/>
  </si>
  <si>
    <t>A01.05.02.01</t>
    <phoneticPr fontId="2" type="noConversion"/>
  </si>
  <si>
    <t>A01.05.02.02</t>
    <phoneticPr fontId="2" type="noConversion"/>
  </si>
  <si>
    <t>A01.05.03</t>
    <phoneticPr fontId="2" type="noConversion"/>
  </si>
  <si>
    <t>A01.05.03.01</t>
    <phoneticPr fontId="2" type="noConversion"/>
  </si>
  <si>
    <t>A01.05.03.01.01</t>
    <phoneticPr fontId="2" type="noConversion"/>
  </si>
  <si>
    <t>A01.05.03.01.02</t>
    <phoneticPr fontId="2" type="noConversion"/>
  </si>
  <si>
    <t>A01.05.03.02</t>
    <phoneticPr fontId="2" type="noConversion"/>
  </si>
  <si>
    <t>A01.05.03.03</t>
    <phoneticPr fontId="2" type="noConversion"/>
  </si>
  <si>
    <t>A01.05.03.04</t>
    <phoneticPr fontId="2" type="noConversion"/>
  </si>
  <si>
    <t>A01.05.04</t>
    <phoneticPr fontId="2" type="noConversion"/>
  </si>
  <si>
    <t>A01.05.05</t>
    <phoneticPr fontId="2" type="noConversion"/>
  </si>
  <si>
    <t>A01.06</t>
    <phoneticPr fontId="2" type="noConversion"/>
  </si>
  <si>
    <t>A01.07</t>
    <phoneticPr fontId="2" type="noConversion"/>
  </si>
  <si>
    <t>A01.08</t>
    <phoneticPr fontId="2" type="noConversion"/>
  </si>
  <si>
    <t>A01.09</t>
    <phoneticPr fontId="2" type="noConversion"/>
  </si>
  <si>
    <t>A01.10</t>
    <phoneticPr fontId="2" type="noConversion"/>
  </si>
  <si>
    <t>A01.10.01</t>
    <phoneticPr fontId="2" type="noConversion"/>
  </si>
  <si>
    <t>A01.10.01.01</t>
    <phoneticPr fontId="2" type="noConversion"/>
  </si>
  <si>
    <t>A01.10.01.01.01</t>
    <phoneticPr fontId="2" type="noConversion"/>
  </si>
  <si>
    <t>A01.10.02</t>
    <phoneticPr fontId="2" type="noConversion"/>
  </si>
  <si>
    <t>A01.10.03</t>
    <phoneticPr fontId="2" type="noConversion"/>
  </si>
  <si>
    <t>A01.11</t>
    <phoneticPr fontId="2" type="noConversion"/>
  </si>
  <si>
    <t>A01.11.01</t>
    <phoneticPr fontId="2" type="noConversion"/>
  </si>
  <si>
    <t>A01.11.01.01</t>
    <phoneticPr fontId="2" type="noConversion"/>
  </si>
  <si>
    <t>A01.11.01.01.01</t>
    <phoneticPr fontId="2" type="noConversion"/>
  </si>
  <si>
    <t>A01.11.02</t>
    <phoneticPr fontId="2" type="noConversion"/>
  </si>
  <si>
    <t>A01.11.03</t>
    <phoneticPr fontId="2" type="noConversion"/>
  </si>
  <si>
    <t>A01.18.01</t>
    <phoneticPr fontId="2" type="noConversion"/>
  </si>
  <si>
    <t>A01.18.01.01</t>
    <phoneticPr fontId="2" type="noConversion"/>
  </si>
  <si>
    <t>A01.18.01.02</t>
    <phoneticPr fontId="2" type="noConversion"/>
  </si>
  <si>
    <t>A01.18.02</t>
    <phoneticPr fontId="2" type="noConversion"/>
  </si>
  <si>
    <t>A01.18.04</t>
    <phoneticPr fontId="2" type="noConversion"/>
  </si>
  <si>
    <t>A01.18.99</t>
    <phoneticPr fontId="2" type="noConversion"/>
  </si>
  <si>
    <t xml:space="preserve">  微粒贷联贷分成收入</t>
    <phoneticPr fontId="2" type="noConversion"/>
  </si>
  <si>
    <t xml:space="preserve">    微粒贷信托收益</t>
    <phoneticPr fontId="2" type="noConversion"/>
  </si>
  <si>
    <t xml:space="preserve">      微粒贷联贷收益率</t>
    <phoneticPr fontId="2" type="noConversion"/>
  </si>
  <si>
    <t xml:space="preserve">    微粒贷联贷平台费收入</t>
    <phoneticPr fontId="2" type="noConversion"/>
  </si>
  <si>
    <t>A01.19</t>
    <phoneticPr fontId="2" type="noConversion"/>
  </si>
  <si>
    <t>A01.19.01</t>
    <phoneticPr fontId="2" type="noConversion"/>
  </si>
  <si>
    <t>A01.19.02</t>
    <phoneticPr fontId="2" type="noConversion"/>
  </si>
  <si>
    <t>A01.19.03</t>
    <phoneticPr fontId="2" type="noConversion"/>
  </si>
  <si>
    <t>A01.19.04</t>
    <phoneticPr fontId="2" type="noConversion"/>
  </si>
  <si>
    <t>A01.19.06</t>
    <phoneticPr fontId="2" type="noConversion"/>
  </si>
  <si>
    <t xml:space="preserve">  微粒贷联贷腾讯渠道费</t>
    <phoneticPr fontId="2" type="noConversion"/>
  </si>
  <si>
    <t xml:space="preserve">    微粒贷联贷总渠道费率</t>
    <phoneticPr fontId="2" type="noConversion"/>
  </si>
  <si>
    <t>A01.19.06.01</t>
    <phoneticPr fontId="2" type="noConversion"/>
  </si>
  <si>
    <t>A01.19.06.02</t>
    <phoneticPr fontId="2" type="noConversion"/>
  </si>
  <si>
    <t xml:space="preserve">    微粒贷联贷平台费收入渠道费</t>
    <phoneticPr fontId="2" type="noConversion"/>
  </si>
  <si>
    <t xml:space="preserve">      微粒贷联贷渠道费率</t>
    <phoneticPr fontId="2" type="noConversion"/>
  </si>
  <si>
    <t xml:space="preserve">      微粒贷联贷逾期90+占比</t>
    <phoneticPr fontId="2" type="noConversion"/>
  </si>
  <si>
    <t xml:space="preserve">      微粒贷联贷免收渠道费占比</t>
    <phoneticPr fontId="2" type="noConversion"/>
  </si>
  <si>
    <t xml:space="preserve">    微粒贷信托收益渠道费</t>
    <phoneticPr fontId="2" type="noConversion"/>
  </si>
  <si>
    <t xml:space="preserve">      微粒贷联贷平均财务利率</t>
    <phoneticPr fontId="2" type="noConversion"/>
  </si>
  <si>
    <t>A01.19.01.01</t>
    <phoneticPr fontId="2" type="noConversion"/>
  </si>
  <si>
    <t>A01.19.02.01</t>
    <phoneticPr fontId="2" type="noConversion"/>
  </si>
  <si>
    <t>A01.19.03.01</t>
    <phoneticPr fontId="2" type="noConversion"/>
  </si>
  <si>
    <t xml:space="preserve">  微粒贷流转腾讯渠道费</t>
    <phoneticPr fontId="2" type="noConversion"/>
  </si>
  <si>
    <t xml:space="preserve">  微粒贷导流腾讯渠道费</t>
    <phoneticPr fontId="2" type="noConversion"/>
  </si>
  <si>
    <t xml:space="preserve">    微粒贷导流合同渠道费率</t>
    <phoneticPr fontId="2" type="noConversion"/>
  </si>
  <si>
    <t>A01.19.07</t>
    <phoneticPr fontId="2" type="noConversion"/>
  </si>
  <si>
    <t>A01.19.08</t>
    <phoneticPr fontId="2" type="noConversion"/>
  </si>
  <si>
    <t>A01.19.08.01</t>
    <phoneticPr fontId="2" type="noConversion"/>
  </si>
  <si>
    <t>A01.19.08.02</t>
    <phoneticPr fontId="2" type="noConversion"/>
  </si>
  <si>
    <t>A01.19.09</t>
    <phoneticPr fontId="2" type="noConversion"/>
  </si>
  <si>
    <t>A01.19.99</t>
    <phoneticPr fontId="2" type="noConversion"/>
  </si>
  <si>
    <t>A01.20</t>
    <phoneticPr fontId="2" type="noConversion"/>
  </si>
  <si>
    <t>A01.21</t>
    <phoneticPr fontId="2" type="noConversion"/>
  </si>
  <si>
    <t>A02.01</t>
  </si>
  <si>
    <t>A02.01.01</t>
  </si>
  <si>
    <t>A02.01.01.01</t>
  </si>
  <si>
    <t>A02.01.01.02</t>
  </si>
  <si>
    <t>A02.01.02</t>
  </si>
  <si>
    <t>A02.01.03</t>
  </si>
  <si>
    <t>A02.02</t>
  </si>
  <si>
    <t>A02.03</t>
  </si>
  <si>
    <t>A02.04</t>
  </si>
  <si>
    <t>A02.05</t>
  </si>
  <si>
    <t>A02.05.01</t>
  </si>
  <si>
    <t>A02.05.01.01</t>
  </si>
  <si>
    <t>A02.05.01.02</t>
  </si>
  <si>
    <t>A02.05.02</t>
  </si>
  <si>
    <t>A02.05.02.01</t>
  </si>
  <si>
    <t>A02.05.02.02</t>
  </si>
  <si>
    <t>A02.05.03</t>
  </si>
  <si>
    <t>A02.05.03.01</t>
  </si>
  <si>
    <t>A02.05.03.01.01</t>
  </si>
  <si>
    <t>A02.05.03.01.02</t>
  </si>
  <si>
    <t>A02.05.03.02</t>
  </si>
  <si>
    <t>A02.05.03.03</t>
  </si>
  <si>
    <t>A02.05.03.04</t>
  </si>
  <si>
    <t>A02.05.04</t>
  </si>
  <si>
    <t>A02.05.05</t>
  </si>
  <si>
    <t>A02.06</t>
  </si>
  <si>
    <t>A02.07</t>
  </si>
  <si>
    <t>A02.08</t>
  </si>
  <si>
    <t>A02.09</t>
  </si>
  <si>
    <t>其他外部营收</t>
    <phoneticPr fontId="2" type="noConversion"/>
  </si>
  <si>
    <t>A02.12</t>
    <phoneticPr fontId="2" type="noConversion"/>
  </si>
  <si>
    <t>A02.12.01</t>
    <phoneticPr fontId="2" type="noConversion"/>
  </si>
  <si>
    <t>A02.12.01.01</t>
    <phoneticPr fontId="2" type="noConversion"/>
  </si>
  <si>
    <t>A02.1201.02</t>
    <phoneticPr fontId="2" type="noConversion"/>
  </si>
  <si>
    <t>A02.12.02</t>
    <phoneticPr fontId="2" type="noConversion"/>
  </si>
  <si>
    <t>A02.12.03</t>
    <phoneticPr fontId="2" type="noConversion"/>
  </si>
  <si>
    <t>A02.12.04</t>
    <phoneticPr fontId="2" type="noConversion"/>
  </si>
  <si>
    <t>A02.13</t>
    <phoneticPr fontId="2" type="noConversion"/>
  </si>
  <si>
    <t>A02.13.01</t>
    <phoneticPr fontId="2" type="noConversion"/>
  </si>
  <si>
    <t>A02.13.01.01</t>
    <phoneticPr fontId="2" type="noConversion"/>
  </si>
  <si>
    <t>A02.13.01.02</t>
    <phoneticPr fontId="2" type="noConversion"/>
  </si>
  <si>
    <t>A02.13.02</t>
    <phoneticPr fontId="2" type="noConversion"/>
  </si>
  <si>
    <t>A02.13.03</t>
    <phoneticPr fontId="2" type="noConversion"/>
  </si>
  <si>
    <t>A02.13.04</t>
    <phoneticPr fontId="2" type="noConversion"/>
  </si>
  <si>
    <t>A02.14</t>
    <phoneticPr fontId="2" type="noConversion"/>
  </si>
  <si>
    <t>A02.14.02</t>
  </si>
  <si>
    <t xml:space="preserve">  金融机构往来利息收入</t>
    <phoneticPr fontId="2" type="noConversion"/>
  </si>
  <si>
    <t xml:space="preserve">    存放同业利息收入</t>
    <phoneticPr fontId="2" type="noConversion"/>
  </si>
  <si>
    <t xml:space="preserve">      存放同业余额</t>
    <phoneticPr fontId="2" type="noConversion"/>
  </si>
  <si>
    <t xml:space="preserve">      存放同业日均</t>
    <phoneticPr fontId="2" type="noConversion"/>
  </si>
  <si>
    <t xml:space="preserve">      存放同业收息率</t>
    <phoneticPr fontId="2" type="noConversion"/>
  </si>
  <si>
    <t>A02.15</t>
  </si>
  <si>
    <t>A02.15.02</t>
  </si>
  <si>
    <t>三级</t>
  </si>
  <si>
    <t xml:space="preserve">    商户结算便利服务FTP成本</t>
    <phoneticPr fontId="2" type="noConversion"/>
  </si>
  <si>
    <t xml:space="preserve">    数字人民FTP成本</t>
    <phoneticPr fontId="2" type="noConversion"/>
  </si>
  <si>
    <t>A02.16</t>
    <phoneticPr fontId="2" type="noConversion"/>
  </si>
  <si>
    <t>A02.16.01</t>
    <phoneticPr fontId="2" type="noConversion"/>
  </si>
  <si>
    <t>A02.16.02</t>
  </si>
  <si>
    <t>率年化指标</t>
  </si>
  <si>
    <t xml:space="preserve">  存款利息支出</t>
    <phoneticPr fontId="2" type="noConversion"/>
  </si>
  <si>
    <t>A02.16.01.01</t>
  </si>
  <si>
    <t>A02.16.01.02</t>
    <phoneticPr fontId="2" type="noConversion"/>
  </si>
  <si>
    <t>A02.16.01.03</t>
    <phoneticPr fontId="2" type="noConversion"/>
  </si>
  <si>
    <t>A02.16.01.02.01</t>
    <phoneticPr fontId="2" type="noConversion"/>
  </si>
  <si>
    <t>A02.16.01.02.02</t>
    <phoneticPr fontId="2" type="noConversion"/>
  </si>
  <si>
    <t>A02.16.01.02.03</t>
  </si>
  <si>
    <t>A02.16.01.03.01</t>
    <phoneticPr fontId="2" type="noConversion"/>
  </si>
  <si>
    <t>A02.16.01.03.02</t>
    <phoneticPr fontId="2" type="noConversion"/>
  </si>
  <si>
    <t>A02.16.01.03.03</t>
  </si>
  <si>
    <t xml:space="preserve">        微粒贷平均利率（渠道费、清仓回购前）</t>
    <phoneticPr fontId="2" type="noConversion"/>
  </si>
  <si>
    <t xml:space="preserve">        微粒贷平均财务利率</t>
    <phoneticPr fontId="2" type="noConversion"/>
  </si>
  <si>
    <t xml:space="preserve">        微粒贷逾期90+占比</t>
    <phoneticPr fontId="2" type="noConversion"/>
  </si>
  <si>
    <t xml:space="preserve">        微粒贷财务利率调整幅度</t>
    <phoneticPr fontId="2" type="noConversion"/>
  </si>
  <si>
    <t xml:space="preserve">        微粒贷自营联贷差异</t>
    <phoneticPr fontId="2" type="noConversion"/>
  </si>
  <si>
    <t>A01.14.01.01.04</t>
    <phoneticPr fontId="2" type="noConversion"/>
  </si>
  <si>
    <t>A01.14.01.01.05</t>
    <phoneticPr fontId="2" type="noConversion"/>
  </si>
  <si>
    <t>五级</t>
  </si>
  <si>
    <t>五级</t>
    <phoneticPr fontId="2" type="noConversion"/>
  </si>
  <si>
    <t>A01.14.01.01.02.01</t>
  </si>
  <si>
    <t>A01.14.01.01.02.02</t>
  </si>
  <si>
    <t>A01.14.01.01.02.03</t>
  </si>
  <si>
    <t>A01.14.01.01.02.04</t>
  </si>
  <si>
    <t>A01.14.01.01.03.01</t>
  </si>
  <si>
    <t xml:space="preserve">        微粒贷自营腾讯渠道费率</t>
    <phoneticPr fontId="2" type="noConversion"/>
  </si>
  <si>
    <t xml:space="preserve">        微粒贷合同渠道费率</t>
    <phoneticPr fontId="2" type="noConversion"/>
  </si>
  <si>
    <t xml:space="preserve">        微粒贷免收渠道费占比</t>
    <phoneticPr fontId="2" type="noConversion"/>
  </si>
  <si>
    <t xml:space="preserve">        AA+同业存单收益率</t>
    <phoneticPr fontId="2" type="noConversion"/>
  </si>
  <si>
    <t xml:space="preserve">        微粒贷电信分期渠道费率</t>
    <phoneticPr fontId="2" type="noConversion"/>
  </si>
  <si>
    <t>A01.14.01.01.02.05</t>
  </si>
  <si>
    <t>A01.14.01.01.03.02</t>
  </si>
  <si>
    <t>A01.14.01.01.03.03</t>
  </si>
  <si>
    <t>A01.14.01.01.03.04</t>
  </si>
  <si>
    <t>A01.14.01.01.04.01</t>
    <phoneticPr fontId="2" type="noConversion"/>
  </si>
  <si>
    <t>A01.14.01.01.06</t>
    <phoneticPr fontId="2" type="noConversion"/>
  </si>
  <si>
    <t xml:space="preserve">        分付对客利率</t>
    <phoneticPr fontId="2" type="noConversion"/>
  </si>
  <si>
    <t xml:space="preserve">        分付平均利率（渠道费前）</t>
    <phoneticPr fontId="2" type="noConversion"/>
  </si>
  <si>
    <t>A01.14.01.02.02.01</t>
    <phoneticPr fontId="2" type="noConversion"/>
  </si>
  <si>
    <t>A01.14.01.02.02.02</t>
    <phoneticPr fontId="2" type="noConversion"/>
  </si>
  <si>
    <t>A01.14.01.02.03</t>
    <phoneticPr fontId="2" type="noConversion"/>
  </si>
  <si>
    <t>A01.14.01.02.03.01</t>
    <phoneticPr fontId="2" type="noConversion"/>
  </si>
  <si>
    <t>A01.14.01.02.03.02</t>
    <phoneticPr fontId="2" type="noConversion"/>
  </si>
  <si>
    <t>A01.14.01.02.03.03</t>
    <phoneticPr fontId="2" type="noConversion"/>
  </si>
  <si>
    <t xml:space="preserve">        分付腾讯渠道费率</t>
    <phoneticPr fontId="2" type="noConversion"/>
  </si>
  <si>
    <t xml:space="preserve">        分付腾讯合同渠道费率</t>
    <phoneticPr fontId="2" type="noConversion"/>
  </si>
  <si>
    <t xml:space="preserve">        分付实收利息比例</t>
    <phoneticPr fontId="2" type="noConversion"/>
  </si>
  <si>
    <t xml:space="preserve">    微粒贷联贷总收益率</t>
    <phoneticPr fontId="2" type="noConversion"/>
  </si>
  <si>
    <t>A01.18.01.03</t>
    <phoneticPr fontId="2" type="noConversion"/>
  </si>
  <si>
    <t>A01.18.01.02.01</t>
  </si>
  <si>
    <t>A01.18.01.02.02</t>
  </si>
  <si>
    <t>A01.18.01.02.03</t>
  </si>
  <si>
    <t>A01.18.01.02.04</t>
  </si>
  <si>
    <t>A01.19.06.02.01</t>
    <phoneticPr fontId="2" type="noConversion"/>
  </si>
  <si>
    <t>A01.19.06.02.02</t>
    <phoneticPr fontId="2" type="noConversion"/>
  </si>
  <si>
    <t>A01.19.06.02.03</t>
    <phoneticPr fontId="2" type="noConversion"/>
  </si>
  <si>
    <t>A01.19.06.03</t>
    <phoneticPr fontId="2" type="noConversion"/>
  </si>
  <si>
    <t>A02.16.01.01.01</t>
    <phoneticPr fontId="2" type="noConversion"/>
  </si>
  <si>
    <t>A02.16.01.01.02</t>
    <phoneticPr fontId="2" type="noConversion"/>
  </si>
  <si>
    <t>A02.16.01.01.03</t>
    <phoneticPr fontId="2" type="noConversion"/>
  </si>
  <si>
    <t>A02.16.01.01.02.01</t>
    <phoneticPr fontId="2" type="noConversion"/>
  </si>
  <si>
    <t>A02.16.01.01.03.01</t>
    <phoneticPr fontId="2" type="noConversion"/>
  </si>
  <si>
    <t>A02.16.01.01.04</t>
    <phoneticPr fontId="2" type="noConversion"/>
  </si>
  <si>
    <t xml:space="preserve">      经营部分利息支出</t>
    <phoneticPr fontId="2" type="noConversion"/>
  </si>
  <si>
    <t xml:space="preserve">        经营部分付息率</t>
    <phoneticPr fontId="2" type="noConversion"/>
  </si>
  <si>
    <t xml:space="preserve">        经营部分对客利息支出</t>
    <phoneticPr fontId="2" type="noConversion"/>
  </si>
  <si>
    <t xml:space="preserve">        经营部分对客付息率</t>
    <phoneticPr fontId="2" type="noConversion"/>
  </si>
  <si>
    <t xml:space="preserve">        经营部分腾讯渠道费</t>
    <phoneticPr fontId="2" type="noConversion"/>
  </si>
  <si>
    <t xml:space="preserve">        经营部分腾讯渠道费率</t>
    <phoneticPr fontId="2" type="noConversion"/>
  </si>
  <si>
    <t xml:space="preserve">        专项备付付息率</t>
    <phoneticPr fontId="2" type="noConversion"/>
  </si>
  <si>
    <t xml:space="preserve">        专项备付对客利息支出</t>
    <phoneticPr fontId="2" type="noConversion"/>
  </si>
  <si>
    <t xml:space="preserve">        专项备付对客付息率</t>
    <phoneticPr fontId="2" type="noConversion"/>
  </si>
  <si>
    <t xml:space="preserve">        专项备付腾讯渠道费</t>
    <phoneticPr fontId="2" type="noConversion"/>
  </si>
  <si>
    <t xml:space="preserve">        专项备付腾讯渠道费率</t>
    <phoneticPr fontId="2" type="noConversion"/>
  </si>
  <si>
    <t>A02.16.01.01.05</t>
    <phoneticPr fontId="2" type="noConversion"/>
  </si>
  <si>
    <t>A02.16.01.01.04.01</t>
    <phoneticPr fontId="2" type="noConversion"/>
  </si>
  <si>
    <t>A02.16.01.01.04.02</t>
    <phoneticPr fontId="2" type="noConversion"/>
  </si>
  <si>
    <t>A02.16.01.01.04.03</t>
  </si>
  <si>
    <t>A02.16.01.01.04.04</t>
  </si>
  <si>
    <t>A02.16.01.01.04.05</t>
  </si>
  <si>
    <t>A02.16.01.01.05.01</t>
    <phoneticPr fontId="2" type="noConversion"/>
  </si>
  <si>
    <t>A02.16.01.01.05.02</t>
    <phoneticPr fontId="2" type="noConversion"/>
  </si>
  <si>
    <t>A02.16.01.01.05.03</t>
  </si>
  <si>
    <t>A02.16.01.01.05.04</t>
  </si>
  <si>
    <t>A02.16.01.01.05.05</t>
  </si>
  <si>
    <t xml:space="preserve">      流动性专项备付利息支出</t>
    <phoneticPr fontId="2" type="noConversion"/>
  </si>
  <si>
    <t xml:space="preserve">    零钱+利息支出</t>
    <phoneticPr fontId="2" type="noConversion"/>
  </si>
  <si>
    <t xml:space="preserve">      零钱+付息率</t>
    <phoneticPr fontId="2" type="noConversion"/>
  </si>
  <si>
    <t xml:space="preserve">      零钱+腾讯渠道费</t>
    <phoneticPr fontId="2" type="noConversion"/>
  </si>
  <si>
    <t xml:space="preserve">        零钱+腾讯渠道费率</t>
    <phoneticPr fontId="2" type="noConversion"/>
  </si>
  <si>
    <t xml:space="preserve">        零钱+对客付息率</t>
    <phoneticPr fontId="2" type="noConversion"/>
  </si>
  <si>
    <t xml:space="preserve">    WE卡存款利息支出</t>
    <phoneticPr fontId="2" type="noConversion"/>
  </si>
  <si>
    <t xml:space="preserve">      WE卡存款余额</t>
    <phoneticPr fontId="2" type="noConversion"/>
  </si>
  <si>
    <t xml:space="preserve">      WE卡存款日均</t>
    <phoneticPr fontId="2" type="noConversion"/>
  </si>
  <si>
    <t xml:space="preserve">      WE卡存款付息率</t>
    <phoneticPr fontId="2" type="noConversion"/>
  </si>
  <si>
    <t xml:space="preserve">    数字人民币存款利息支出</t>
    <phoneticPr fontId="2" type="noConversion"/>
  </si>
  <si>
    <t xml:space="preserve">      数字人民存款币余额</t>
    <phoneticPr fontId="2" type="noConversion"/>
  </si>
  <si>
    <t xml:space="preserve">      数字人民币存款日均</t>
    <phoneticPr fontId="2" type="noConversion"/>
  </si>
  <si>
    <t xml:space="preserve">      数字人民币存款付息率</t>
    <phoneticPr fontId="2" type="noConversion"/>
  </si>
  <si>
    <t>A01.17.01.02</t>
    <phoneticPr fontId="2" type="noConversion"/>
  </si>
  <si>
    <t>A01.17.01.03</t>
    <phoneticPr fontId="2" type="noConversion"/>
  </si>
  <si>
    <t xml:space="preserve">    零钱+FTP收入</t>
    <phoneticPr fontId="2" type="noConversion"/>
  </si>
  <si>
    <t xml:space="preserve">    WE卡存款FTP收入</t>
    <phoneticPr fontId="2" type="noConversion"/>
  </si>
  <si>
    <t xml:space="preserve">    数字人民币存款FTP收入</t>
    <phoneticPr fontId="2" type="noConversion"/>
  </si>
  <si>
    <t xml:space="preserve">      WE卡存款FTP</t>
    <phoneticPr fontId="2" type="noConversion"/>
  </si>
  <si>
    <t>A01.17.01.02.01</t>
    <phoneticPr fontId="2" type="noConversion"/>
  </si>
  <si>
    <t>A01.17.01.03.01</t>
    <phoneticPr fontId="2" type="noConversion"/>
  </si>
  <si>
    <t xml:space="preserve">      数字人民币存款FTP</t>
    <phoneticPr fontId="2" type="noConversion"/>
  </si>
  <si>
    <t xml:space="preserve">      零钱+FTP</t>
    <phoneticPr fontId="2" type="noConversion"/>
  </si>
  <si>
    <t xml:space="preserve">      零钱+FTP点差</t>
    <phoneticPr fontId="2" type="noConversion"/>
  </si>
  <si>
    <t xml:space="preserve">      经营部分FTP收入</t>
    <phoneticPr fontId="2" type="noConversion"/>
  </si>
  <si>
    <t xml:space="preserve">      流动性专项备付FTP收入</t>
    <phoneticPr fontId="2" type="noConversion"/>
  </si>
  <si>
    <t xml:space="preserve">        经营部分FTP</t>
    <phoneticPr fontId="2" type="noConversion"/>
  </si>
  <si>
    <t xml:space="preserve">        经营部分FTP点差</t>
    <phoneticPr fontId="2" type="noConversion"/>
  </si>
  <si>
    <t xml:space="preserve">        专项备付FTP</t>
    <phoneticPr fontId="2" type="noConversion"/>
  </si>
  <si>
    <t xml:space="preserve">        专项备付FTP点差</t>
    <phoneticPr fontId="2" type="noConversion"/>
  </si>
  <si>
    <t>A01.17.01.01.02</t>
    <phoneticPr fontId="2" type="noConversion"/>
  </si>
  <si>
    <t>A01.17.01.01.03</t>
    <phoneticPr fontId="2" type="noConversion"/>
  </si>
  <si>
    <t>A01.17.01.01.04</t>
    <phoneticPr fontId="2" type="noConversion"/>
  </si>
  <si>
    <t>A01.17.01.01.03.01</t>
    <phoneticPr fontId="2" type="noConversion"/>
  </si>
  <si>
    <t>A01.17.01.01.03.02</t>
    <phoneticPr fontId="2" type="noConversion"/>
  </si>
  <si>
    <t>A01.17.01.01.04.01</t>
    <phoneticPr fontId="2" type="noConversion"/>
  </si>
  <si>
    <t>A01.17.01.01.04.02</t>
    <phoneticPr fontId="2" type="noConversion"/>
  </si>
  <si>
    <t xml:space="preserve">  其他FTP收入</t>
    <phoneticPr fontId="2" type="noConversion"/>
  </si>
  <si>
    <t xml:space="preserve">    商户结算便利应付款FTP收入</t>
    <phoneticPr fontId="2" type="noConversion"/>
  </si>
  <si>
    <t xml:space="preserve">    零钱通净申购款FTP收入</t>
    <phoneticPr fontId="2" type="noConversion"/>
  </si>
  <si>
    <t xml:space="preserve">      商户结算便利应付款FTP</t>
    <phoneticPr fontId="2" type="noConversion"/>
  </si>
  <si>
    <t>A01.15.99</t>
    <phoneticPr fontId="2" type="noConversion"/>
  </si>
  <si>
    <t>A01.15.99.01</t>
    <phoneticPr fontId="2" type="noConversion"/>
  </si>
  <si>
    <t>A02.15.99</t>
    <phoneticPr fontId="2" type="noConversion"/>
  </si>
  <si>
    <t>A02.15.99.01</t>
    <phoneticPr fontId="2" type="noConversion"/>
  </si>
  <si>
    <t>A02.15.99.02</t>
    <phoneticPr fontId="2" type="noConversion"/>
  </si>
  <si>
    <t>A01.17.99</t>
    <phoneticPr fontId="2" type="noConversion"/>
  </si>
  <si>
    <t>A01.17.99.01</t>
    <phoneticPr fontId="2" type="noConversion"/>
  </si>
  <si>
    <t>A01.17.99.01.01</t>
    <phoneticPr fontId="2" type="noConversion"/>
  </si>
  <si>
    <t>A01.17.99.02</t>
    <phoneticPr fontId="2" type="noConversion"/>
  </si>
  <si>
    <t>A02.18</t>
    <phoneticPr fontId="2" type="noConversion"/>
  </si>
  <si>
    <t>A02.18.99</t>
    <phoneticPr fontId="2" type="noConversion"/>
  </si>
  <si>
    <t>A02.19</t>
    <phoneticPr fontId="2" type="noConversion"/>
  </si>
  <si>
    <t>A02.19.99</t>
    <phoneticPr fontId="2" type="noConversion"/>
  </si>
  <si>
    <t xml:space="preserve">    零钱通腾讯渠道费率</t>
    <phoneticPr fontId="2" type="noConversion"/>
  </si>
  <si>
    <t xml:space="preserve">    零钱通收益率</t>
    <phoneticPr fontId="2" type="noConversion"/>
  </si>
  <si>
    <t xml:space="preserve">  零钱通腾讯渠道费</t>
    <phoneticPr fontId="2" type="noConversion"/>
  </si>
  <si>
    <t>A02.20</t>
    <phoneticPr fontId="2" type="noConversion"/>
  </si>
  <si>
    <t>A02.21</t>
    <phoneticPr fontId="2" type="noConversion"/>
  </si>
  <si>
    <t>A02.99</t>
    <phoneticPr fontId="2" type="noConversion"/>
  </si>
  <si>
    <t>A02.99.01</t>
    <phoneticPr fontId="2" type="noConversion"/>
  </si>
  <si>
    <t>A02.99.02</t>
    <phoneticPr fontId="2" type="noConversion"/>
  </si>
  <si>
    <t>A02.99.03</t>
    <phoneticPr fontId="2" type="noConversion"/>
  </si>
  <si>
    <t>A02.99.04</t>
    <phoneticPr fontId="2" type="noConversion"/>
  </si>
  <si>
    <t>A02.99.04.01</t>
    <phoneticPr fontId="2" type="noConversion"/>
  </si>
  <si>
    <t>A02.99.04.02</t>
    <phoneticPr fontId="2" type="noConversion"/>
  </si>
  <si>
    <t>A02.99.05</t>
    <phoneticPr fontId="2" type="noConversion"/>
  </si>
  <si>
    <t>A02.99.06</t>
    <phoneticPr fontId="2" type="noConversion"/>
  </si>
  <si>
    <t>A02.99.07</t>
    <phoneticPr fontId="2" type="noConversion"/>
  </si>
  <si>
    <t>A02.99.08</t>
    <phoneticPr fontId="2" type="noConversion"/>
  </si>
  <si>
    <t>A02.99.09</t>
    <phoneticPr fontId="2" type="noConversion"/>
  </si>
  <si>
    <t xml:space="preserve">  存放同业比例</t>
    <phoneticPr fontId="2" type="noConversion"/>
  </si>
  <si>
    <t xml:space="preserve">  存放同业利率</t>
    <phoneticPr fontId="2" type="noConversion"/>
  </si>
  <si>
    <t xml:space="preserve">  法定存款准备金利率</t>
    <phoneticPr fontId="2" type="noConversion"/>
  </si>
  <si>
    <t xml:space="preserve">  超额存款准备金利率</t>
    <phoneticPr fontId="2" type="noConversion"/>
  </si>
  <si>
    <t xml:space="preserve">  微账户存款对客挂牌利率</t>
    <phoneticPr fontId="2" type="noConversion"/>
  </si>
  <si>
    <t>A03.01</t>
  </si>
  <si>
    <t>A03.01.01</t>
  </si>
  <si>
    <t>A03.01.01.01</t>
  </si>
  <si>
    <t>A03.01.01.02</t>
  </si>
  <si>
    <t>A03.01.02</t>
  </si>
  <si>
    <t>A03.01.03</t>
  </si>
  <si>
    <t>A03.02</t>
  </si>
  <si>
    <t>A03.03</t>
  </si>
  <si>
    <t>A03.04</t>
  </si>
  <si>
    <t>A03.05</t>
  </si>
  <si>
    <t>A03.05.01</t>
  </si>
  <si>
    <t>A03.05.01.01</t>
  </si>
  <si>
    <t>A03.05.01.02</t>
  </si>
  <si>
    <t>A03.05.02</t>
  </si>
  <si>
    <t>A03.05.02.01</t>
  </si>
  <si>
    <t>A03.05.02.02</t>
  </si>
  <si>
    <t>A03.05.03</t>
  </si>
  <si>
    <t>A03.05.03.01</t>
  </si>
  <si>
    <t>A03.05.03.01.01</t>
  </si>
  <si>
    <t>A03.05.03.01.02</t>
  </si>
  <si>
    <t>A03.05.03.02</t>
  </si>
  <si>
    <t>A03.05.03.03</t>
  </si>
  <si>
    <t>A03.05.03.04</t>
  </si>
  <si>
    <t>A03.05.04</t>
  </si>
  <si>
    <t>A03.05.05</t>
  </si>
  <si>
    <t>A03.06</t>
  </si>
  <si>
    <t>A03.07</t>
  </si>
  <si>
    <t>A03.08</t>
  </si>
  <si>
    <t>A03.09</t>
  </si>
  <si>
    <t xml:space="preserve">  商户结算便利应付款腾讯渠道费</t>
    <phoneticPr fontId="2" type="noConversion"/>
  </si>
  <si>
    <t>A03.10</t>
    <phoneticPr fontId="2" type="noConversion"/>
  </si>
  <si>
    <t>A03.10.01</t>
    <phoneticPr fontId="2" type="noConversion"/>
  </si>
  <si>
    <t>A03.10.02</t>
    <phoneticPr fontId="2" type="noConversion"/>
  </si>
  <si>
    <t>A03.10.03</t>
    <phoneticPr fontId="2" type="noConversion"/>
  </si>
  <si>
    <t>A03.11</t>
    <phoneticPr fontId="2" type="noConversion"/>
  </si>
  <si>
    <t>A03.11.01</t>
    <phoneticPr fontId="2" type="noConversion"/>
  </si>
  <si>
    <t>A03.11.02</t>
    <phoneticPr fontId="2" type="noConversion"/>
  </si>
  <si>
    <t>A03.11.03</t>
    <phoneticPr fontId="2" type="noConversion"/>
  </si>
  <si>
    <t>A03.14</t>
    <phoneticPr fontId="2" type="noConversion"/>
  </si>
  <si>
    <t>A03.14.01</t>
    <phoneticPr fontId="2" type="noConversion"/>
  </si>
  <si>
    <t>A04.15</t>
  </si>
  <si>
    <t>A04.15.01</t>
    <phoneticPr fontId="2" type="noConversion"/>
  </si>
  <si>
    <t>A04.15.99</t>
  </si>
  <si>
    <t>A04.15.99.01</t>
  </si>
  <si>
    <t xml:space="preserve">    流动性备付FTP成本</t>
    <phoneticPr fontId="2" type="noConversion"/>
  </si>
  <si>
    <t xml:space="preserve">    贷款收息率</t>
    <phoneticPr fontId="2" type="noConversion"/>
  </si>
  <si>
    <t>A03.14.01.01</t>
    <phoneticPr fontId="2" type="noConversion"/>
  </si>
  <si>
    <t>A04.15.01.01</t>
    <phoneticPr fontId="2" type="noConversion"/>
  </si>
  <si>
    <t xml:space="preserve">    贷款FTP</t>
    <phoneticPr fontId="2" type="noConversion"/>
  </si>
  <si>
    <t xml:space="preserve">    存款付息率</t>
    <phoneticPr fontId="2" type="noConversion"/>
  </si>
  <si>
    <t xml:space="preserve">  金融机构往来利息支出</t>
    <phoneticPr fontId="2" type="noConversion"/>
  </si>
  <si>
    <t xml:space="preserve">    同业存放利息支出</t>
    <phoneticPr fontId="2" type="noConversion"/>
  </si>
  <si>
    <t xml:space="preserve">      同业存放余额</t>
    <phoneticPr fontId="2" type="noConversion"/>
  </si>
  <si>
    <t xml:space="preserve">      同业存放日均</t>
    <phoneticPr fontId="2" type="noConversion"/>
  </si>
  <si>
    <t xml:space="preserve">      同业存放付息率</t>
    <phoneticPr fontId="2" type="noConversion"/>
  </si>
  <si>
    <t>A03.17</t>
  </si>
  <si>
    <t>A03.17.01</t>
  </si>
  <si>
    <t>A03.17.01.01</t>
  </si>
  <si>
    <t>A03.17.02</t>
  </si>
  <si>
    <t xml:space="preserve">    存款FTP</t>
    <phoneticPr fontId="2" type="noConversion"/>
  </si>
  <si>
    <t>A03.17.99</t>
    <phoneticPr fontId="2" type="noConversion"/>
  </si>
  <si>
    <t>A03.17.99.01</t>
    <phoneticPr fontId="2" type="noConversion"/>
  </si>
  <si>
    <t xml:space="preserve">    应付款FTP收入</t>
    <phoneticPr fontId="2" type="noConversion"/>
  </si>
  <si>
    <t>A03.17.99.01.01</t>
    <phoneticPr fontId="2" type="noConversion"/>
  </si>
  <si>
    <t>A03.17.99.01.02</t>
    <phoneticPr fontId="2" type="noConversion"/>
  </si>
  <si>
    <t>A03.17.99.01.03</t>
  </si>
  <si>
    <t xml:space="preserve">      应付款余额</t>
    <phoneticPr fontId="2" type="noConversion"/>
  </si>
  <si>
    <t xml:space="preserve">      应付款日均</t>
    <phoneticPr fontId="2" type="noConversion"/>
  </si>
  <si>
    <t xml:space="preserve">      应付款FTP</t>
    <phoneticPr fontId="2" type="noConversion"/>
  </si>
  <si>
    <t>A03.18</t>
    <phoneticPr fontId="2" type="noConversion"/>
  </si>
  <si>
    <t>A03.18.01</t>
    <phoneticPr fontId="2" type="noConversion"/>
  </si>
  <si>
    <t>A03.18.99</t>
    <phoneticPr fontId="2" type="noConversion"/>
  </si>
  <si>
    <t>A03.18.01.01</t>
    <phoneticPr fontId="2" type="noConversion"/>
  </si>
  <si>
    <t xml:space="preserve">    联贷收益率</t>
    <phoneticPr fontId="2" type="noConversion"/>
  </si>
  <si>
    <t>A03.19</t>
    <phoneticPr fontId="2" type="noConversion"/>
  </si>
  <si>
    <t>A03.19.01</t>
    <phoneticPr fontId="2" type="noConversion"/>
  </si>
  <si>
    <t>A03.19.02</t>
    <phoneticPr fontId="2" type="noConversion"/>
  </si>
  <si>
    <t>A03.19.03</t>
    <phoneticPr fontId="2" type="noConversion"/>
  </si>
  <si>
    <t>A03.19.01.01</t>
    <phoneticPr fontId="2" type="noConversion"/>
  </si>
  <si>
    <t>A03.19.02.01</t>
    <phoneticPr fontId="2" type="noConversion"/>
  </si>
  <si>
    <t>A03.19.03.01</t>
    <phoneticPr fontId="2" type="noConversion"/>
  </si>
  <si>
    <t xml:space="preserve">  微粒贷资产流转收入</t>
    <phoneticPr fontId="2" type="noConversion"/>
  </si>
  <si>
    <t xml:space="preserve">  微粒贷导流收入</t>
    <phoneticPr fontId="2" type="noConversion"/>
  </si>
  <si>
    <t xml:space="preserve">  微粒贷同业催收费收入</t>
    <phoneticPr fontId="2" type="noConversion"/>
  </si>
  <si>
    <t xml:space="preserve">  微粒贷电信分期渠道费</t>
    <phoneticPr fontId="2" type="noConversion"/>
  </si>
  <si>
    <t>A03.19.99</t>
    <phoneticPr fontId="2" type="noConversion"/>
  </si>
  <si>
    <t xml:space="preserve">    自持渠道费</t>
    <phoneticPr fontId="2" type="noConversion"/>
  </si>
  <si>
    <t xml:space="preserve">      自持渠道费率</t>
    <phoneticPr fontId="2" type="noConversion"/>
  </si>
  <si>
    <t xml:space="preserve">    联贷渠道费</t>
    <phoneticPr fontId="2" type="noConversion"/>
  </si>
  <si>
    <t xml:space="preserve">      联贷渠道费率</t>
    <phoneticPr fontId="2" type="noConversion"/>
  </si>
  <si>
    <t>A03.20</t>
    <phoneticPr fontId="2" type="noConversion"/>
  </si>
  <si>
    <t>A03.21</t>
    <phoneticPr fontId="2" type="noConversion"/>
  </si>
  <si>
    <t>A04.01</t>
  </si>
  <si>
    <t>A04.01.01</t>
  </si>
  <si>
    <t>A04.01.01.01</t>
  </si>
  <si>
    <t>A04.01.01.02</t>
  </si>
  <si>
    <t>A04.01.02</t>
  </si>
  <si>
    <t>A04.01.03</t>
  </si>
  <si>
    <t>A04.02</t>
  </si>
  <si>
    <t>A04.03</t>
  </si>
  <si>
    <t>A04.04</t>
  </si>
  <si>
    <t>A04.05</t>
  </si>
  <si>
    <t>A04.05.01</t>
  </si>
  <si>
    <t>A04.05.01.01</t>
  </si>
  <si>
    <t>A04.05.01.02</t>
  </si>
  <si>
    <t>A04.05.02</t>
  </si>
  <si>
    <t>A04.05.02.01</t>
  </si>
  <si>
    <t>A04.05.02.02</t>
  </si>
  <si>
    <t>A04.05.03</t>
  </si>
  <si>
    <t>A04.05.03.01</t>
  </si>
  <si>
    <t>A04.05.03.01.01</t>
  </si>
  <si>
    <t>A04.05.03.01.02</t>
  </si>
  <si>
    <t>A04.05.03.02</t>
  </si>
  <si>
    <t>A04.05.03.03</t>
  </si>
  <si>
    <t>A04.05.03.04</t>
  </si>
  <si>
    <t>A04.05.04</t>
  </si>
  <si>
    <t>A04.05.05</t>
  </si>
  <si>
    <t>A04.06</t>
  </si>
  <si>
    <t>A04.07</t>
  </si>
  <si>
    <t>A04.08</t>
  </si>
  <si>
    <t>A04.09</t>
  </si>
  <si>
    <t>A04.10</t>
  </si>
  <si>
    <t>A04.10.02</t>
  </si>
  <si>
    <t>A04.10.03</t>
  </si>
  <si>
    <t>A04.11</t>
  </si>
  <si>
    <t>A04.11.02</t>
  </si>
  <si>
    <t>A04.11.03</t>
  </si>
  <si>
    <t>A04.12</t>
    <phoneticPr fontId="2" type="noConversion"/>
  </si>
  <si>
    <t>A04.12.01</t>
    <phoneticPr fontId="2" type="noConversion"/>
  </si>
  <si>
    <t>A04.12.02</t>
    <phoneticPr fontId="2" type="noConversion"/>
  </si>
  <si>
    <t>A04.13</t>
    <phoneticPr fontId="2" type="noConversion"/>
  </si>
  <si>
    <t>A04.13.01</t>
    <phoneticPr fontId="2" type="noConversion"/>
  </si>
  <si>
    <t>A04.13.02</t>
    <phoneticPr fontId="2" type="noConversion"/>
  </si>
  <si>
    <t>A04.12.01.01</t>
    <phoneticPr fontId="2" type="noConversion"/>
  </si>
  <si>
    <t>A04.12.01.02</t>
    <phoneticPr fontId="2" type="noConversion"/>
  </si>
  <si>
    <t xml:space="preserve">    活期</t>
    <phoneticPr fontId="2" type="noConversion"/>
  </si>
  <si>
    <t xml:space="preserve">    定期</t>
    <phoneticPr fontId="2" type="noConversion"/>
  </si>
  <si>
    <t>A04.13.01.01</t>
    <phoneticPr fontId="2" type="noConversion"/>
  </si>
  <si>
    <t>A04.13.01.02</t>
    <phoneticPr fontId="2" type="noConversion"/>
  </si>
  <si>
    <t>A04.14.02</t>
  </si>
  <si>
    <t>A04.15.02</t>
  </si>
  <si>
    <t>A04.17</t>
  </si>
  <si>
    <t>A04.17.01</t>
    <phoneticPr fontId="2" type="noConversion"/>
  </si>
  <si>
    <t>A04.17.01.01</t>
    <phoneticPr fontId="2" type="noConversion"/>
  </si>
  <si>
    <t>A04.17.01.02</t>
    <phoneticPr fontId="2" type="noConversion"/>
  </si>
  <si>
    <t xml:space="preserve">    个人活存利息支出</t>
    <phoneticPr fontId="2" type="noConversion"/>
  </si>
  <si>
    <t>A04.17.01.02.01</t>
    <phoneticPr fontId="2" type="noConversion"/>
  </si>
  <si>
    <t xml:space="preserve">      个人活存付息率</t>
    <phoneticPr fontId="2" type="noConversion"/>
  </si>
  <si>
    <t>A04.17.01.03</t>
    <phoneticPr fontId="2" type="noConversion"/>
  </si>
  <si>
    <t>A04.17.01.03.01</t>
    <phoneticPr fontId="2" type="noConversion"/>
  </si>
  <si>
    <t xml:space="preserve">    个人定存利息支出</t>
    <phoneticPr fontId="2" type="noConversion"/>
  </si>
  <si>
    <t xml:space="preserve">      个人定存付息率</t>
    <phoneticPr fontId="2" type="noConversion"/>
  </si>
  <si>
    <t>A04.16.02</t>
  </si>
  <si>
    <t>A03.15</t>
  </si>
  <si>
    <t>A03.15.01</t>
  </si>
  <si>
    <t>A03.15.01.01</t>
  </si>
  <si>
    <t>A03.15.99</t>
  </si>
  <si>
    <t>A03.15.99.01</t>
  </si>
  <si>
    <t>A03.16</t>
  </si>
  <si>
    <t>A03.16.01</t>
  </si>
  <si>
    <t>A03.16.02</t>
  </si>
  <si>
    <t>A04.16</t>
  </si>
  <si>
    <t>A04.16.01</t>
  </si>
  <si>
    <t>A04.16.01.01</t>
  </si>
  <si>
    <t>A04.16.01.02</t>
  </si>
  <si>
    <t>A04.16.01.02.01</t>
  </si>
  <si>
    <t>A04.16.01.03</t>
  </si>
  <si>
    <t>A04.16.01.03.01</t>
  </si>
  <si>
    <t>A04.17.02</t>
  </si>
  <si>
    <t>A04.17.99</t>
  </si>
  <si>
    <t>A04.17.99.01</t>
  </si>
  <si>
    <t xml:space="preserve">    个人活存FTP收入</t>
    <phoneticPr fontId="2" type="noConversion"/>
  </si>
  <si>
    <t xml:space="preserve">    个人定存FTP收入</t>
    <phoneticPr fontId="2" type="noConversion"/>
  </si>
  <si>
    <t xml:space="preserve">      个人活存FTP</t>
    <phoneticPr fontId="2" type="noConversion"/>
  </si>
  <si>
    <t xml:space="preserve">      个人定存FTP</t>
    <phoneticPr fontId="2" type="noConversion"/>
  </si>
  <si>
    <t>A04.18</t>
    <phoneticPr fontId="2" type="noConversion"/>
  </si>
  <si>
    <t>A04.18.99</t>
    <phoneticPr fontId="2" type="noConversion"/>
  </si>
  <si>
    <t>A04.19</t>
    <phoneticPr fontId="2" type="noConversion"/>
  </si>
  <si>
    <t>A04.19.99</t>
    <phoneticPr fontId="2" type="noConversion"/>
  </si>
  <si>
    <t>A04.20</t>
    <phoneticPr fontId="2" type="noConversion"/>
  </si>
  <si>
    <t>A04.21</t>
    <phoneticPr fontId="2" type="noConversion"/>
  </si>
  <si>
    <t>A05.01</t>
  </si>
  <si>
    <t>A05.01.01</t>
  </si>
  <si>
    <t>A05.01.01.01</t>
  </si>
  <si>
    <t>A05.01.01.02</t>
  </si>
  <si>
    <t>A05.01.02</t>
  </si>
  <si>
    <t>A05.01.03</t>
  </si>
  <si>
    <t>A05.02</t>
  </si>
  <si>
    <t>A05.03</t>
  </si>
  <si>
    <t>A05.04</t>
  </si>
  <si>
    <t>A05.05</t>
  </si>
  <si>
    <t>A05.05.01</t>
  </si>
  <si>
    <t>A05.05.01.01</t>
  </si>
  <si>
    <t>A05.05.01.02</t>
  </si>
  <si>
    <t>A05.05.02</t>
  </si>
  <si>
    <t>A05.05.02.01</t>
  </si>
  <si>
    <t>A05.05.02.02</t>
  </si>
  <si>
    <t>A05.05.03</t>
  </si>
  <si>
    <t>A05.05.03.01</t>
  </si>
  <si>
    <t>A05.05.03.01.01</t>
  </si>
  <si>
    <t>A05.05.03.01.02</t>
  </si>
  <si>
    <t>A05.05.03.02</t>
  </si>
  <si>
    <t>A05.05.03.03</t>
  </si>
  <si>
    <t>A05.05.03.04</t>
  </si>
  <si>
    <t>A05.05.04</t>
  </si>
  <si>
    <t>A05.05.05</t>
  </si>
  <si>
    <t>A05.06</t>
  </si>
  <si>
    <t>A05.07</t>
  </si>
  <si>
    <t>A05.08</t>
  </si>
  <si>
    <t>A05.09</t>
  </si>
  <si>
    <t>A05.10</t>
    <phoneticPr fontId="2" type="noConversion"/>
  </si>
  <si>
    <t>A05.10.01</t>
    <phoneticPr fontId="2" type="noConversion"/>
  </si>
  <si>
    <t>A05.10.02</t>
    <phoneticPr fontId="2" type="noConversion"/>
  </si>
  <si>
    <t>A05.10.03</t>
    <phoneticPr fontId="2" type="noConversion"/>
  </si>
  <si>
    <t>A05.11</t>
    <phoneticPr fontId="2" type="noConversion"/>
  </si>
  <si>
    <t>A05.11.01</t>
    <phoneticPr fontId="2" type="noConversion"/>
  </si>
  <si>
    <t>A05.11.02</t>
    <phoneticPr fontId="2" type="noConversion"/>
  </si>
  <si>
    <t>A05.11.03</t>
    <phoneticPr fontId="2" type="noConversion"/>
  </si>
  <si>
    <t>A05.14</t>
    <phoneticPr fontId="2" type="noConversion"/>
  </si>
  <si>
    <t>A05.14.01</t>
    <phoneticPr fontId="2" type="noConversion"/>
  </si>
  <si>
    <t>A05.14.01.01</t>
    <phoneticPr fontId="2" type="noConversion"/>
  </si>
  <si>
    <t>A05.15</t>
    <phoneticPr fontId="2" type="noConversion"/>
  </si>
  <si>
    <t>A05.15.01</t>
    <phoneticPr fontId="2" type="noConversion"/>
  </si>
  <si>
    <t>A05.15.01.01</t>
    <phoneticPr fontId="2" type="noConversion"/>
  </si>
  <si>
    <t>A05.15.99</t>
    <phoneticPr fontId="2" type="noConversion"/>
  </si>
  <si>
    <t>A05.15.99.01</t>
    <phoneticPr fontId="2" type="noConversion"/>
  </si>
  <si>
    <t>A05.16</t>
    <phoneticPr fontId="2" type="noConversion"/>
  </si>
  <si>
    <t>A05.16.01</t>
    <phoneticPr fontId="2" type="noConversion"/>
  </si>
  <si>
    <t>A05.16.01.01</t>
    <phoneticPr fontId="2" type="noConversion"/>
  </si>
  <si>
    <t>A05.17</t>
    <phoneticPr fontId="2" type="noConversion"/>
  </si>
  <si>
    <t>A05.17.01</t>
    <phoneticPr fontId="2" type="noConversion"/>
  </si>
  <si>
    <t>A05.17.01.01</t>
    <phoneticPr fontId="2" type="noConversion"/>
  </si>
  <si>
    <t>A05.18</t>
    <phoneticPr fontId="2" type="noConversion"/>
  </si>
  <si>
    <t>A05.19</t>
    <phoneticPr fontId="2" type="noConversion"/>
  </si>
  <si>
    <t>A05.19.01</t>
    <phoneticPr fontId="2" type="noConversion"/>
  </si>
  <si>
    <t>A05.19.02</t>
    <phoneticPr fontId="2" type="noConversion"/>
  </si>
  <si>
    <t>A05.19.03</t>
    <phoneticPr fontId="2" type="noConversion"/>
  </si>
  <si>
    <t>A05.19.99</t>
    <phoneticPr fontId="2" type="noConversion"/>
  </si>
  <si>
    <t>A05.19.01.01</t>
    <phoneticPr fontId="2" type="noConversion"/>
  </si>
  <si>
    <t>A05.19.02.01</t>
    <phoneticPr fontId="2" type="noConversion"/>
  </si>
  <si>
    <t>A05.19.03.01</t>
    <phoneticPr fontId="2" type="noConversion"/>
  </si>
  <si>
    <t>A05.20</t>
    <phoneticPr fontId="2" type="noConversion"/>
  </si>
  <si>
    <t>A05.21</t>
    <phoneticPr fontId="2" type="noConversion"/>
  </si>
  <si>
    <t>B01.01</t>
  </si>
  <si>
    <t>B01.01.01</t>
  </si>
  <si>
    <t>B01.01.01.01</t>
  </si>
  <si>
    <t>B01.01.01.02</t>
  </si>
  <si>
    <t>B01.01.02</t>
  </si>
  <si>
    <t>B01.01.03</t>
  </si>
  <si>
    <t>B01.02</t>
  </si>
  <si>
    <t>B01.03</t>
  </si>
  <si>
    <t>B01.04</t>
  </si>
  <si>
    <t>B01.05</t>
  </si>
  <si>
    <t>B01.05.01</t>
  </si>
  <si>
    <t>B01.05.01.01</t>
  </si>
  <si>
    <t>B01.05.01.02</t>
  </si>
  <si>
    <t>B01.05.02</t>
  </si>
  <si>
    <t>B01.05.02.01</t>
  </si>
  <si>
    <t>B01.05.02.02</t>
  </si>
  <si>
    <t>B01.05.03</t>
  </si>
  <si>
    <t>B01.05.03.01</t>
  </si>
  <si>
    <t>B01.05.03.01.01</t>
  </si>
  <si>
    <t>B01.05.03.01.02</t>
  </si>
  <si>
    <t>B01.05.03.02</t>
  </si>
  <si>
    <t>B01.05.03.03</t>
  </si>
  <si>
    <t>B01.05.03.04</t>
  </si>
  <si>
    <t>B01.05.04</t>
  </si>
  <si>
    <t>B01.05.05</t>
  </si>
  <si>
    <t>B01.06</t>
  </si>
  <si>
    <t>B01.07</t>
  </si>
  <si>
    <t>B01.08</t>
  </si>
  <si>
    <t>B01.09</t>
  </si>
  <si>
    <t>B01.10</t>
    <phoneticPr fontId="2" type="noConversion"/>
  </si>
  <si>
    <t>B01.10.01</t>
    <phoneticPr fontId="2" type="noConversion"/>
  </si>
  <si>
    <t>B01.10.02</t>
    <phoneticPr fontId="2" type="noConversion"/>
  </si>
  <si>
    <t>B01.10.03</t>
    <phoneticPr fontId="2" type="noConversion"/>
  </si>
  <si>
    <t>B01.10.03.01</t>
    <phoneticPr fontId="2" type="noConversion"/>
  </si>
  <si>
    <t>B01.10.03.02</t>
    <phoneticPr fontId="2" type="noConversion"/>
  </si>
  <si>
    <t>B01.10.03.03</t>
    <phoneticPr fontId="2" type="noConversion"/>
  </si>
  <si>
    <t>B01.10.04</t>
    <phoneticPr fontId="2" type="noConversion"/>
  </si>
  <si>
    <t>B01.10.01.01</t>
    <phoneticPr fontId="2" type="noConversion"/>
  </si>
  <si>
    <t>B01.10.01.02</t>
    <phoneticPr fontId="2" type="noConversion"/>
  </si>
  <si>
    <t>B01.11</t>
    <phoneticPr fontId="2" type="noConversion"/>
  </si>
  <si>
    <t>B01.11.01</t>
    <phoneticPr fontId="2" type="noConversion"/>
  </si>
  <si>
    <t>B01.11.02</t>
    <phoneticPr fontId="2" type="noConversion"/>
  </si>
  <si>
    <t>B01.11.03</t>
    <phoneticPr fontId="2" type="noConversion"/>
  </si>
  <si>
    <t>B01.11.03.01</t>
    <phoneticPr fontId="2" type="noConversion"/>
  </si>
  <si>
    <t>B01.11.03.02</t>
    <phoneticPr fontId="2" type="noConversion"/>
  </si>
  <si>
    <t>B01.11.03.03</t>
    <phoneticPr fontId="2" type="noConversion"/>
  </si>
  <si>
    <t>B01.11.04</t>
    <phoneticPr fontId="2" type="noConversion"/>
  </si>
  <si>
    <t>B01.11.01.01</t>
    <phoneticPr fontId="2" type="noConversion"/>
  </si>
  <si>
    <t>B01.11.01.02</t>
    <phoneticPr fontId="2" type="noConversion"/>
  </si>
  <si>
    <t>B01.14</t>
    <phoneticPr fontId="2" type="noConversion"/>
  </si>
  <si>
    <t>B01.14.01</t>
    <phoneticPr fontId="2" type="noConversion"/>
  </si>
  <si>
    <t xml:space="preserve">    一般贷款利息收入</t>
    <phoneticPr fontId="2" type="noConversion"/>
  </si>
  <si>
    <t xml:space="preserve">    票据贴现利息收入</t>
    <phoneticPr fontId="2" type="noConversion"/>
  </si>
  <si>
    <t xml:space="preserve">    贸易融资利息收入</t>
    <phoneticPr fontId="2" type="noConversion"/>
  </si>
  <si>
    <t xml:space="preserve">    贷款账面收息率</t>
    <phoneticPr fontId="2" type="noConversion"/>
  </si>
  <si>
    <t xml:space="preserve">    贷款还原收息率</t>
    <phoneticPr fontId="2" type="noConversion"/>
  </si>
  <si>
    <t>B01.14.01.01</t>
    <phoneticPr fontId="2" type="noConversion"/>
  </si>
  <si>
    <t>B01.14.01.02</t>
    <phoneticPr fontId="2" type="noConversion"/>
  </si>
  <si>
    <t>B01.14.01.03</t>
    <phoneticPr fontId="2" type="noConversion"/>
  </si>
  <si>
    <t>B01.14.01.04</t>
    <phoneticPr fontId="2" type="noConversion"/>
  </si>
  <si>
    <t>B01.14.01.05</t>
    <phoneticPr fontId="2" type="noConversion"/>
  </si>
  <si>
    <t xml:space="preserve">      票据贴现收息率</t>
    <phoneticPr fontId="2" type="noConversion"/>
  </si>
  <si>
    <t xml:space="preserve">      贸易融资收息率</t>
    <phoneticPr fontId="2" type="noConversion"/>
  </si>
  <si>
    <t>B01.14.01.04.01</t>
    <phoneticPr fontId="2" type="noConversion"/>
  </si>
  <si>
    <t>B01.14.01.05.01</t>
    <phoneticPr fontId="2" type="noConversion"/>
  </si>
  <si>
    <t xml:space="preserve">      常规部分</t>
    <phoneticPr fontId="2" type="noConversion"/>
  </si>
  <si>
    <t xml:space="preserve">      战略部分</t>
    <phoneticPr fontId="2" type="noConversion"/>
  </si>
  <si>
    <t>B01.10.01.01.01</t>
    <phoneticPr fontId="2" type="noConversion"/>
  </si>
  <si>
    <t>B01.10.01.01.02</t>
    <phoneticPr fontId="2" type="noConversion"/>
  </si>
  <si>
    <t>B01.11.01.01.01</t>
    <phoneticPr fontId="2" type="noConversion"/>
  </si>
  <si>
    <t>B01.11.01.01.02</t>
    <phoneticPr fontId="2" type="noConversion"/>
  </si>
  <si>
    <t xml:space="preserve">      一般贷款账面收息率</t>
    <phoneticPr fontId="2" type="noConversion"/>
  </si>
  <si>
    <t xml:space="preserve">      一般贷款还原收息率</t>
    <phoneticPr fontId="2" type="noConversion"/>
  </si>
  <si>
    <t>B01.14.01.03.01</t>
    <phoneticPr fontId="2" type="noConversion"/>
  </si>
  <si>
    <t>B01.14.01.03.02</t>
    <phoneticPr fontId="2" type="noConversion"/>
  </si>
  <si>
    <t xml:space="preserve">      常规部分利息收入</t>
    <phoneticPr fontId="2" type="noConversion"/>
  </si>
  <si>
    <t xml:space="preserve">        常规账面收息率</t>
    <phoneticPr fontId="2" type="noConversion"/>
  </si>
  <si>
    <t xml:space="preserve">        常规还原收息率</t>
    <phoneticPr fontId="2" type="noConversion"/>
  </si>
  <si>
    <t xml:space="preserve">        清仓回购利息收入</t>
    <phoneticPr fontId="2" type="noConversion"/>
  </si>
  <si>
    <t xml:space="preserve">        渠道费抵减利息收入</t>
    <phoneticPr fontId="2" type="noConversion"/>
  </si>
  <si>
    <t xml:space="preserve">        增值税回冲</t>
    <phoneticPr fontId="2" type="noConversion"/>
  </si>
  <si>
    <t xml:space="preserve">      战略部分利息收入</t>
    <phoneticPr fontId="2" type="noConversion"/>
  </si>
  <si>
    <t xml:space="preserve">        战略账面收息率</t>
    <phoneticPr fontId="2" type="noConversion"/>
  </si>
  <si>
    <t xml:space="preserve">        战略还原收息率</t>
    <phoneticPr fontId="2" type="noConversion"/>
  </si>
  <si>
    <t>B01.14.01.03.03</t>
    <phoneticPr fontId="2" type="noConversion"/>
  </si>
  <si>
    <t>B01.14.01.03.04</t>
    <phoneticPr fontId="2" type="noConversion"/>
  </si>
  <si>
    <t>B01.14.01.03.03.01</t>
    <phoneticPr fontId="2" type="noConversion"/>
  </si>
  <si>
    <t>B01.14.01.03.03.02</t>
    <phoneticPr fontId="2" type="noConversion"/>
  </si>
  <si>
    <t>B01.14.01.03.03.03</t>
  </si>
  <si>
    <t>B01.14.01.03.03.04</t>
  </si>
  <si>
    <t>B01.14.01.03.03.05</t>
  </si>
  <si>
    <t>B01.14.01.03.04.01</t>
    <phoneticPr fontId="2" type="noConversion"/>
  </si>
  <si>
    <t>B01.14.01.03.04.02</t>
    <phoneticPr fontId="2" type="noConversion"/>
  </si>
  <si>
    <t>B01.14.01.03.04.03</t>
  </si>
  <si>
    <t>B01.14.01.03.04.04</t>
  </si>
  <si>
    <t>B01.14.01.03.04.05</t>
  </si>
  <si>
    <t xml:space="preserve">        常规还原利息收入</t>
    <phoneticPr fontId="2" type="noConversion"/>
  </si>
  <si>
    <t>B01.14.01.03.03.06</t>
  </si>
  <si>
    <t>B01.14.01.03.04.06</t>
  </si>
  <si>
    <t xml:space="preserve">        战略还原利息收入</t>
    <phoneticPr fontId="2" type="noConversion"/>
  </si>
  <si>
    <t>B01.14.02</t>
    <phoneticPr fontId="2" type="noConversion"/>
  </si>
  <si>
    <t>B01.14.03</t>
    <phoneticPr fontId="2" type="noConversion"/>
  </si>
  <si>
    <t xml:space="preserve">    买入返售利息收入</t>
    <phoneticPr fontId="2" type="noConversion"/>
  </si>
  <si>
    <t xml:space="preserve">      买入返售余额</t>
    <phoneticPr fontId="2" type="noConversion"/>
  </si>
  <si>
    <t xml:space="preserve">      买入返售日均</t>
    <phoneticPr fontId="2" type="noConversion"/>
  </si>
  <si>
    <t xml:space="preserve">      买入返售收息率</t>
    <phoneticPr fontId="2" type="noConversion"/>
  </si>
  <si>
    <t xml:space="preserve">  ABS投资利息收入</t>
    <phoneticPr fontId="2" type="noConversion"/>
  </si>
  <si>
    <t xml:space="preserve">    ABS余额</t>
    <phoneticPr fontId="2" type="noConversion"/>
  </si>
  <si>
    <t xml:space="preserve">    ABS日均</t>
    <phoneticPr fontId="2" type="noConversion"/>
  </si>
  <si>
    <t xml:space="preserve">    ABS收息率</t>
    <phoneticPr fontId="2" type="noConversion"/>
  </si>
  <si>
    <t>B01.15</t>
    <phoneticPr fontId="2" type="noConversion"/>
  </si>
  <si>
    <t xml:space="preserve">  投资FTP成本</t>
    <phoneticPr fontId="2" type="noConversion"/>
  </si>
  <si>
    <t>B01.15.01</t>
    <phoneticPr fontId="2" type="noConversion"/>
  </si>
  <si>
    <t>B01.15.02</t>
    <phoneticPr fontId="2" type="noConversion"/>
  </si>
  <si>
    <t>B01.15.03</t>
    <phoneticPr fontId="2" type="noConversion"/>
  </si>
  <si>
    <t>A01.14.02.02</t>
    <phoneticPr fontId="2" type="noConversion"/>
  </si>
  <si>
    <t>A01.14.02.02.01</t>
    <phoneticPr fontId="2" type="noConversion"/>
  </si>
  <si>
    <t>A01.14.02.02.02</t>
    <phoneticPr fontId="2" type="noConversion"/>
  </si>
  <si>
    <t>A01.14.02.02.03</t>
    <phoneticPr fontId="2" type="noConversion"/>
  </si>
  <si>
    <t>A01.15.02.02</t>
    <phoneticPr fontId="2" type="noConversion"/>
  </si>
  <si>
    <t>A01.15.02.02.01</t>
    <phoneticPr fontId="2" type="noConversion"/>
  </si>
  <si>
    <t>A01.16.02.02</t>
  </si>
  <si>
    <t>A01.16.02.02.01</t>
  </si>
  <si>
    <t>A01.16.02.02.02</t>
  </si>
  <si>
    <t>A01.16.02.02.03</t>
  </si>
  <si>
    <t>A01.17.02.02</t>
  </si>
  <si>
    <t>A01.17.02.02.01</t>
  </si>
  <si>
    <t>A02.14.02.02</t>
  </si>
  <si>
    <t>A02.14.02.02.01</t>
  </si>
  <si>
    <t>A02.14.02.02.02</t>
  </si>
  <si>
    <t>A02.14.02.02.03</t>
  </si>
  <si>
    <t>A02.15.02.02</t>
  </si>
  <si>
    <t>A02.15.02.02.01</t>
  </si>
  <si>
    <t>A02.16.02.02</t>
  </si>
  <si>
    <t>A02.16.02.02.01</t>
  </si>
  <si>
    <t>A02.16.02.02.02</t>
  </si>
  <si>
    <t>A02.16.02.02.03</t>
  </si>
  <si>
    <t>A01.17.02.02</t>
    <phoneticPr fontId="2" type="noConversion"/>
  </si>
  <si>
    <t>A01.17.02.02.01</t>
    <phoneticPr fontId="2" type="noConversion"/>
  </si>
  <si>
    <t>A03.16.02.02</t>
  </si>
  <si>
    <t>A03.16.02.02.01</t>
  </si>
  <si>
    <t>A03.16.02.02.02</t>
  </si>
  <si>
    <t>A03.16.02.02.03</t>
  </si>
  <si>
    <t>A03.17.02.02</t>
    <phoneticPr fontId="2" type="noConversion"/>
  </si>
  <si>
    <t>A03.17.02.02.01</t>
    <phoneticPr fontId="2" type="noConversion"/>
  </si>
  <si>
    <t>A04.14.02.02</t>
  </si>
  <si>
    <t>A04.14.02.02.01</t>
  </si>
  <si>
    <t>A04.14.02.02.02</t>
  </si>
  <si>
    <t>A04.14.02.02.03</t>
  </si>
  <si>
    <t>A04.15.02.02</t>
    <phoneticPr fontId="2" type="noConversion"/>
  </si>
  <si>
    <t>A04.15.02.02.01</t>
    <phoneticPr fontId="2" type="noConversion"/>
  </si>
  <si>
    <t>A04.16.02.02</t>
  </si>
  <si>
    <t>A04.16.02.02.01</t>
  </si>
  <si>
    <t>A04.16.02.02.02</t>
  </si>
  <si>
    <t>A04.16.02.02.03</t>
  </si>
  <si>
    <t>A04.17.02.02</t>
    <phoneticPr fontId="2" type="noConversion"/>
  </si>
  <si>
    <t>A04.17.02.02.01</t>
    <phoneticPr fontId="2" type="noConversion"/>
  </si>
  <si>
    <t>B01.14.02.02</t>
  </si>
  <si>
    <t>B01.14.02.02.01</t>
  </si>
  <si>
    <t>B01.14.02.02.02</t>
  </si>
  <si>
    <t>B01.14.02.02.03</t>
  </si>
  <si>
    <t>B01.14.02.04</t>
  </si>
  <si>
    <t>B01.14.02.04.01</t>
  </si>
  <si>
    <t>B01.14.02.04.02</t>
  </si>
  <si>
    <t>B01.14.02.04.03</t>
  </si>
  <si>
    <t>B01.14.03.09</t>
  </si>
  <si>
    <t>B01.14.03.09.01</t>
  </si>
  <si>
    <t>B01.14.03.09.02</t>
  </si>
  <si>
    <t>B01.14.03.09.03</t>
  </si>
  <si>
    <t>B01.15.02.02</t>
    <phoneticPr fontId="2" type="noConversion"/>
  </si>
  <si>
    <t>B01.15.02.02.01</t>
    <phoneticPr fontId="2" type="noConversion"/>
  </si>
  <si>
    <t>B01.15.03.09</t>
    <phoneticPr fontId="2" type="noConversion"/>
  </si>
  <si>
    <t>B01.15.03.09.01</t>
    <phoneticPr fontId="2" type="noConversion"/>
  </si>
  <si>
    <t xml:space="preserve">    ABS投资FTP成本</t>
    <phoneticPr fontId="2" type="noConversion"/>
  </si>
  <si>
    <t xml:space="preserve">      ABS投资FTP</t>
    <phoneticPr fontId="2" type="noConversion"/>
  </si>
  <si>
    <t>B01.15.02.04</t>
    <phoneticPr fontId="2" type="noConversion"/>
  </si>
  <si>
    <t>B01.15.02.04.01</t>
    <phoneticPr fontId="2" type="noConversion"/>
  </si>
  <si>
    <t xml:space="preserve">    买入返售FTP成本</t>
    <phoneticPr fontId="2" type="noConversion"/>
  </si>
  <si>
    <t xml:space="preserve">      买入返售FTP</t>
    <phoneticPr fontId="2" type="noConversion"/>
  </si>
  <si>
    <t xml:space="preserve">    一般贷款FTP成本</t>
    <phoneticPr fontId="2" type="noConversion"/>
  </si>
  <si>
    <t>B01.15.01.01</t>
    <phoneticPr fontId="2" type="noConversion"/>
  </si>
  <si>
    <t>B01.15.01.02</t>
    <phoneticPr fontId="2" type="noConversion"/>
  </si>
  <si>
    <t xml:space="preserve">    票据贴现FTP成本</t>
    <phoneticPr fontId="2" type="noConversion"/>
  </si>
  <si>
    <t>B01.15.01.02.01</t>
    <phoneticPr fontId="2" type="noConversion"/>
  </si>
  <si>
    <t xml:space="preserve">      票据贴现FTP</t>
    <phoneticPr fontId="2" type="noConversion"/>
  </si>
  <si>
    <t>B01.15.01.03</t>
    <phoneticPr fontId="2" type="noConversion"/>
  </si>
  <si>
    <t>B01.15.01.03.01</t>
    <phoneticPr fontId="2" type="noConversion"/>
  </si>
  <si>
    <t xml:space="preserve">    贸易融资FTP成本</t>
    <phoneticPr fontId="2" type="noConversion"/>
  </si>
  <si>
    <t xml:space="preserve">      贸易融资FTP</t>
    <phoneticPr fontId="2" type="noConversion"/>
  </si>
  <si>
    <t xml:space="preserve">      一般贷款FTP</t>
    <phoneticPr fontId="2" type="noConversion"/>
  </si>
  <si>
    <t>B01.15.01.01.01</t>
    <phoneticPr fontId="2" type="noConversion"/>
  </si>
  <si>
    <t xml:space="preserve">      常规部分FTP成本</t>
    <phoneticPr fontId="2" type="noConversion"/>
  </si>
  <si>
    <t xml:space="preserve">        常规部分FTP</t>
    <phoneticPr fontId="2" type="noConversion"/>
  </si>
  <si>
    <t xml:space="preserve">      战略部分FTP成本</t>
    <phoneticPr fontId="2" type="noConversion"/>
  </si>
  <si>
    <t xml:space="preserve">        战略部分FTP</t>
    <phoneticPr fontId="2" type="noConversion"/>
  </si>
  <si>
    <t>B01.15.01.01.02</t>
    <phoneticPr fontId="2" type="noConversion"/>
  </si>
  <si>
    <t>B01.15.01.01.03</t>
    <phoneticPr fontId="2" type="noConversion"/>
  </si>
  <si>
    <t>B01.15.01.01.02.01</t>
    <phoneticPr fontId="2" type="noConversion"/>
  </si>
  <si>
    <t>B01.15.01.01.03.01</t>
    <phoneticPr fontId="2" type="noConversion"/>
  </si>
  <si>
    <t>B01.16</t>
    <phoneticPr fontId="2" type="noConversion"/>
  </si>
  <si>
    <t>B01.16.01</t>
    <phoneticPr fontId="2" type="noConversion"/>
  </si>
  <si>
    <t>B01.16.01.01</t>
    <phoneticPr fontId="2" type="noConversion"/>
  </si>
  <si>
    <t>B01.16.01.02</t>
    <phoneticPr fontId="2" type="noConversion"/>
  </si>
  <si>
    <t>B01.16.01.03</t>
    <phoneticPr fontId="2" type="noConversion"/>
  </si>
  <si>
    <t xml:space="preserve">  存款余额</t>
    <phoneticPr fontId="2" type="noConversion"/>
  </si>
  <si>
    <t xml:space="preserve">  存款日均</t>
    <phoneticPr fontId="2" type="noConversion"/>
  </si>
  <si>
    <t>A01.12</t>
    <phoneticPr fontId="2" type="noConversion"/>
  </si>
  <si>
    <t>A01.13</t>
    <phoneticPr fontId="2" type="noConversion"/>
  </si>
  <si>
    <t>A01.12.01</t>
    <phoneticPr fontId="2" type="noConversion"/>
  </si>
  <si>
    <t>A01.13.01</t>
    <phoneticPr fontId="2" type="noConversion"/>
  </si>
  <si>
    <t>A03.12</t>
  </si>
  <si>
    <t>A03.12.01</t>
  </si>
  <si>
    <t>A03.13</t>
  </si>
  <si>
    <t>A03.13.01</t>
  </si>
  <si>
    <t>A03.16.01.01</t>
    <phoneticPr fontId="2" type="noConversion"/>
  </si>
  <si>
    <t>A04.12</t>
  </si>
  <si>
    <t>A04.12.01</t>
  </si>
  <si>
    <t>A04.13</t>
  </si>
  <si>
    <t>A04.13.01</t>
  </si>
  <si>
    <t>B01.12</t>
    <phoneticPr fontId="2" type="noConversion"/>
  </si>
  <si>
    <t>B01.12.01</t>
    <phoneticPr fontId="2" type="noConversion"/>
  </si>
  <si>
    <t>B01.13</t>
    <phoneticPr fontId="2" type="noConversion"/>
  </si>
  <si>
    <t>B01.13.01</t>
    <phoneticPr fontId="2" type="noConversion"/>
  </si>
  <si>
    <t xml:space="preserve">  代销理财</t>
    <phoneticPr fontId="2" type="noConversion"/>
  </si>
  <si>
    <t>B01.12.02</t>
    <phoneticPr fontId="2" type="noConversion"/>
  </si>
  <si>
    <t>B01.13.02</t>
    <phoneticPr fontId="2" type="noConversion"/>
  </si>
  <si>
    <t xml:space="preserve">  代销理财日均</t>
    <phoneticPr fontId="2" type="noConversion"/>
  </si>
  <si>
    <t xml:space="preserve">    银承保函保证金</t>
    <phoneticPr fontId="2" type="noConversion"/>
  </si>
  <si>
    <t>B01.12.01.01</t>
    <phoneticPr fontId="2" type="noConversion"/>
  </si>
  <si>
    <t>B01.12.01.02</t>
    <phoneticPr fontId="2" type="noConversion"/>
  </si>
  <si>
    <t>B01.13.01.01</t>
    <phoneticPr fontId="2" type="noConversion"/>
  </si>
  <si>
    <t>B01.13.01.02</t>
    <phoneticPr fontId="2" type="noConversion"/>
  </si>
  <si>
    <t xml:space="preserve">    常规存款</t>
    <phoneticPr fontId="2" type="noConversion"/>
  </si>
  <si>
    <t xml:space="preserve">    常规存款利息支出</t>
    <phoneticPr fontId="2" type="noConversion"/>
  </si>
  <si>
    <t xml:space="preserve">      常规存款付息率</t>
    <phoneticPr fontId="2" type="noConversion"/>
  </si>
  <si>
    <t xml:space="preserve">    保证金存款利息支出</t>
    <phoneticPr fontId="2" type="noConversion"/>
  </si>
  <si>
    <t xml:space="preserve">      保证金存款付息率</t>
    <phoneticPr fontId="2" type="noConversion"/>
  </si>
  <si>
    <t>B01.16.01.02.01</t>
    <phoneticPr fontId="2" type="noConversion"/>
  </si>
  <si>
    <t>B01.16.01.03.01</t>
    <phoneticPr fontId="2" type="noConversion"/>
  </si>
  <si>
    <t>B01.16.02</t>
    <phoneticPr fontId="2" type="noConversion"/>
  </si>
  <si>
    <t>B01.16.02.02</t>
    <phoneticPr fontId="2" type="noConversion"/>
  </si>
  <si>
    <t xml:space="preserve">    同业存放</t>
    <phoneticPr fontId="2" type="noConversion"/>
  </si>
  <si>
    <t>B01.16.02.02.01</t>
    <phoneticPr fontId="2" type="noConversion"/>
  </si>
  <si>
    <t>B01.16.02.02.02</t>
    <phoneticPr fontId="2" type="noConversion"/>
  </si>
  <si>
    <t>B01.16.02.02.03</t>
    <phoneticPr fontId="2" type="noConversion"/>
  </si>
  <si>
    <t>B01.16.02.05</t>
    <phoneticPr fontId="2" type="noConversion"/>
  </si>
  <si>
    <t>B01.16.02.05.01</t>
    <phoneticPr fontId="2" type="noConversion"/>
  </si>
  <si>
    <t>B01.16.02.05.02</t>
    <phoneticPr fontId="2" type="noConversion"/>
  </si>
  <si>
    <t>B01.16.02.05.03</t>
    <phoneticPr fontId="2" type="noConversion"/>
  </si>
  <si>
    <t xml:space="preserve">    卖出回购利息支出</t>
    <phoneticPr fontId="2" type="noConversion"/>
  </si>
  <si>
    <t xml:space="preserve">      卖出回购余额</t>
    <phoneticPr fontId="2" type="noConversion"/>
  </si>
  <si>
    <t xml:space="preserve">      卖出回购日均</t>
    <phoneticPr fontId="2" type="noConversion"/>
  </si>
  <si>
    <t xml:space="preserve">      卖出回购付息率</t>
    <phoneticPr fontId="2" type="noConversion"/>
  </si>
  <si>
    <t>B01.15.99</t>
    <phoneticPr fontId="2" type="noConversion"/>
  </si>
  <si>
    <t>B01.15.99.01</t>
    <phoneticPr fontId="2" type="noConversion"/>
  </si>
  <si>
    <t>B01.17</t>
    <phoneticPr fontId="2" type="noConversion"/>
  </si>
  <si>
    <t xml:space="preserve">    常规存款FTP收入</t>
    <phoneticPr fontId="2" type="noConversion"/>
  </si>
  <si>
    <t xml:space="preserve">      常规存款FTP</t>
    <phoneticPr fontId="2" type="noConversion"/>
  </si>
  <si>
    <t xml:space="preserve">    保证金存款FTP收入</t>
    <phoneticPr fontId="2" type="noConversion"/>
  </si>
  <si>
    <t xml:space="preserve">      保证金存款FTP</t>
    <phoneticPr fontId="2" type="noConversion"/>
  </si>
  <si>
    <t>B01.17.01</t>
    <phoneticPr fontId="2" type="noConversion"/>
  </si>
  <si>
    <t>B01.17.01.01</t>
    <phoneticPr fontId="2" type="noConversion"/>
  </si>
  <si>
    <t>B01.17.01.02</t>
    <phoneticPr fontId="2" type="noConversion"/>
  </si>
  <si>
    <t>B01.17.01.03</t>
    <phoneticPr fontId="2" type="noConversion"/>
  </si>
  <si>
    <t>B01.17.01.02.01</t>
    <phoneticPr fontId="2" type="noConversion"/>
  </si>
  <si>
    <t>B01.17.01.03.01</t>
    <phoneticPr fontId="2" type="noConversion"/>
  </si>
  <si>
    <t>B01.17.02</t>
    <phoneticPr fontId="2" type="noConversion"/>
  </si>
  <si>
    <t>B01.17.02.02</t>
    <phoneticPr fontId="2" type="noConversion"/>
  </si>
  <si>
    <t xml:space="preserve">    卖出回购FTP收入</t>
    <phoneticPr fontId="2" type="noConversion"/>
  </si>
  <si>
    <t xml:space="preserve">      卖出回购FTP</t>
    <phoneticPr fontId="2" type="noConversion"/>
  </si>
  <si>
    <t>B01.17.02.05</t>
    <phoneticPr fontId="2" type="noConversion"/>
  </si>
  <si>
    <t>B01.17.02.02.01</t>
    <phoneticPr fontId="2" type="noConversion"/>
  </si>
  <si>
    <t>B01.17.02.05.01</t>
    <phoneticPr fontId="2" type="noConversion"/>
  </si>
  <si>
    <t>B01.17.99</t>
    <phoneticPr fontId="2" type="noConversion"/>
  </si>
  <si>
    <t>B01.17.99.01</t>
    <phoneticPr fontId="2" type="noConversion"/>
  </si>
  <si>
    <t>B01.18</t>
    <phoneticPr fontId="2" type="noConversion"/>
  </si>
  <si>
    <t>B01.18.01</t>
    <phoneticPr fontId="2" type="noConversion"/>
  </si>
  <si>
    <t>B01.18.02</t>
    <phoneticPr fontId="2" type="noConversion"/>
  </si>
  <si>
    <t>B01.18.03</t>
    <phoneticPr fontId="2" type="noConversion"/>
  </si>
  <si>
    <t>B01.18.04</t>
    <phoneticPr fontId="2" type="noConversion"/>
  </si>
  <si>
    <t>B01.18.08</t>
    <phoneticPr fontId="2" type="noConversion"/>
  </si>
  <si>
    <t>B01.18.99</t>
    <phoneticPr fontId="2" type="noConversion"/>
  </si>
  <si>
    <t>B01.18.01.01</t>
    <phoneticPr fontId="2" type="noConversion"/>
  </si>
  <si>
    <t>B01.18.01.02</t>
    <phoneticPr fontId="2" type="noConversion"/>
  </si>
  <si>
    <t>B01.18.01.03</t>
    <phoneticPr fontId="2" type="noConversion"/>
  </si>
  <si>
    <t>B01.18.01.02.01</t>
    <phoneticPr fontId="2" type="noConversion"/>
  </si>
  <si>
    <t xml:space="preserve">      小微银银收益率</t>
    <phoneticPr fontId="2" type="noConversion"/>
  </si>
  <si>
    <t>B01.19</t>
    <phoneticPr fontId="2" type="noConversion"/>
  </si>
  <si>
    <t>B01.19.01</t>
    <phoneticPr fontId="2" type="noConversion"/>
  </si>
  <si>
    <t>B01.19.02</t>
    <phoneticPr fontId="2" type="noConversion"/>
  </si>
  <si>
    <t>B01.19.03</t>
    <phoneticPr fontId="2" type="noConversion"/>
  </si>
  <si>
    <t>B01.19.04</t>
    <phoneticPr fontId="2" type="noConversion"/>
  </si>
  <si>
    <t>B01.19.05</t>
    <phoneticPr fontId="2" type="noConversion"/>
  </si>
  <si>
    <t>B01.19.99</t>
    <phoneticPr fontId="2" type="noConversion"/>
  </si>
  <si>
    <t>B01.20</t>
    <phoneticPr fontId="2" type="noConversion"/>
  </si>
  <si>
    <t>B01.21</t>
    <phoneticPr fontId="2" type="noConversion"/>
  </si>
  <si>
    <t>B01.20.01</t>
    <phoneticPr fontId="2" type="noConversion"/>
  </si>
  <si>
    <t>B01.20.02</t>
    <phoneticPr fontId="2" type="noConversion"/>
  </si>
  <si>
    <t>B02.01.01</t>
  </si>
  <si>
    <t>B02.01.01.01</t>
  </si>
  <si>
    <t>B02.01.01.02</t>
  </si>
  <si>
    <t>B02.01.02</t>
  </si>
  <si>
    <t>B02.01.03</t>
  </si>
  <si>
    <t>B02.02</t>
  </si>
  <si>
    <t>B02.03</t>
  </si>
  <si>
    <t>B02.04</t>
  </si>
  <si>
    <t>B02.05</t>
  </si>
  <si>
    <t>B02.05.01</t>
  </si>
  <si>
    <t>B02.05.01.01</t>
  </si>
  <si>
    <t>B02.05.01.02</t>
  </si>
  <si>
    <t>B02.05.02</t>
  </si>
  <si>
    <t>B02.05.02.01</t>
  </si>
  <si>
    <t>B02.05.02.02</t>
  </si>
  <si>
    <t>B02.05.03</t>
  </si>
  <si>
    <t>B02.05.03.01</t>
  </si>
  <si>
    <t>B02.05.03.01.01</t>
  </si>
  <si>
    <t>B02.05.03.01.02</t>
  </si>
  <si>
    <t>B02.05.03.02</t>
  </si>
  <si>
    <t>B02.05.03.03</t>
  </si>
  <si>
    <t>B02.05.03.04</t>
  </si>
  <si>
    <t>B02.05.04</t>
  </si>
  <si>
    <t>B02.05.05</t>
  </si>
  <si>
    <t>B02.06</t>
  </si>
  <si>
    <t>B02.07</t>
  </si>
  <si>
    <t>B02.08</t>
  </si>
  <si>
    <t>B02.09</t>
  </si>
  <si>
    <t>B02.10</t>
    <phoneticPr fontId="2" type="noConversion"/>
  </si>
  <si>
    <t>B02.10.01</t>
    <phoneticPr fontId="2" type="noConversion"/>
  </si>
  <si>
    <t>B02.11</t>
    <phoneticPr fontId="2" type="noConversion"/>
  </si>
  <si>
    <t>B02.11.01</t>
    <phoneticPr fontId="2" type="noConversion"/>
  </si>
  <si>
    <t>A01.10.01.01.02</t>
    <phoneticPr fontId="2" type="noConversion"/>
  </si>
  <si>
    <t>A01.10.01.01.01.01</t>
    <phoneticPr fontId="2" type="noConversion"/>
  </si>
  <si>
    <t>A01.11.01.01.01.01</t>
    <phoneticPr fontId="2" type="noConversion"/>
  </si>
  <si>
    <t>A01.11.01.01.02</t>
    <phoneticPr fontId="2" type="noConversion"/>
  </si>
  <si>
    <t>A03.10.01.01</t>
    <phoneticPr fontId="2" type="noConversion"/>
  </si>
  <si>
    <t>A03.11.01.01</t>
    <phoneticPr fontId="2" type="noConversion"/>
  </si>
  <si>
    <t>A04.10.01</t>
    <phoneticPr fontId="2" type="noConversion"/>
  </si>
  <si>
    <t>A04.10.01.01</t>
    <phoneticPr fontId="2" type="noConversion"/>
  </si>
  <si>
    <t>A04.11.01</t>
    <phoneticPr fontId="2" type="noConversion"/>
  </si>
  <si>
    <t>A04.11.01.01</t>
    <phoneticPr fontId="2" type="noConversion"/>
  </si>
  <si>
    <t>A05.10.01.01</t>
    <phoneticPr fontId="2" type="noConversion"/>
  </si>
  <si>
    <t>A05.11.01.01</t>
    <phoneticPr fontId="2" type="noConversion"/>
  </si>
  <si>
    <t>B01.10.01.02.01</t>
    <phoneticPr fontId="2" type="noConversion"/>
  </si>
  <si>
    <t>B01.10.01.02.02</t>
    <phoneticPr fontId="2" type="noConversion"/>
  </si>
  <si>
    <t xml:space="preserve">    票据融资</t>
    <phoneticPr fontId="2" type="noConversion"/>
  </si>
  <si>
    <t xml:space="preserve">        其中：分期</t>
    <phoneticPr fontId="2" type="noConversion"/>
  </si>
  <si>
    <t>B01.11.01.02.01</t>
    <phoneticPr fontId="2" type="noConversion"/>
  </si>
  <si>
    <t>B01.11.01.02.02</t>
    <phoneticPr fontId="2" type="noConversion"/>
  </si>
  <si>
    <t>B02.10.01.02</t>
    <phoneticPr fontId="2" type="noConversion"/>
  </si>
  <si>
    <t>B02.11.01.02</t>
    <phoneticPr fontId="2" type="noConversion"/>
  </si>
  <si>
    <t>B02.14</t>
    <phoneticPr fontId="2" type="noConversion"/>
  </si>
  <si>
    <t>B02.14.01</t>
    <phoneticPr fontId="2" type="noConversion"/>
  </si>
  <si>
    <t>B02.14.01.01</t>
    <phoneticPr fontId="2" type="noConversion"/>
  </si>
  <si>
    <t>B02.14.02</t>
    <phoneticPr fontId="2" type="noConversion"/>
  </si>
  <si>
    <t xml:space="preserve">      收息率</t>
    <phoneticPr fontId="2" type="noConversion"/>
  </si>
  <si>
    <t>B02.14.02.01</t>
    <phoneticPr fontId="2" type="noConversion"/>
  </si>
  <si>
    <t>B02.14.02.01.01</t>
    <phoneticPr fontId="2" type="noConversion"/>
  </si>
  <si>
    <t>B02.14.02.01.02</t>
    <phoneticPr fontId="2" type="noConversion"/>
  </si>
  <si>
    <t>B02.14.02.01.03</t>
    <phoneticPr fontId="2" type="noConversion"/>
  </si>
  <si>
    <t xml:space="preserve">    存放同业</t>
    <phoneticPr fontId="2" type="noConversion"/>
  </si>
  <si>
    <t xml:space="preserve">    拆放同业</t>
    <phoneticPr fontId="2" type="noConversion"/>
  </si>
  <si>
    <t xml:space="preserve">    买入返售</t>
    <phoneticPr fontId="2" type="noConversion"/>
  </si>
  <si>
    <t xml:space="preserve">    同业存单投资</t>
    <phoneticPr fontId="2" type="noConversion"/>
  </si>
  <si>
    <t>B02.14.02.02</t>
  </si>
  <si>
    <t>B02.14.02.02.01</t>
  </si>
  <si>
    <t>B02.14.02.02.02</t>
  </si>
  <si>
    <t>B02.14.02.02.03</t>
  </si>
  <si>
    <t>B02.14.02.03</t>
  </si>
  <si>
    <t>B02.14.02.03.01</t>
  </si>
  <si>
    <t>B02.14.02.03.02</t>
  </si>
  <si>
    <t>B02.14.02.03.03</t>
  </si>
  <si>
    <t>B02.14.02.04</t>
  </si>
  <si>
    <t>B02.14.02.04.01</t>
  </si>
  <si>
    <t>B02.14.02.04.02</t>
  </si>
  <si>
    <t>B02.14.02.04.03</t>
  </si>
  <si>
    <t>B02.14.02.05</t>
  </si>
  <si>
    <t>B02.14.02.05.01</t>
  </si>
  <si>
    <t>B02.14.02.05.02</t>
  </si>
  <si>
    <t>B02.14.02.05.03</t>
  </si>
  <si>
    <t>B02.14.03</t>
    <phoneticPr fontId="2" type="noConversion"/>
  </si>
  <si>
    <t xml:space="preserve">  投资利息收入</t>
    <phoneticPr fontId="2" type="noConversion"/>
  </si>
  <si>
    <t>B02.14.03.01</t>
    <phoneticPr fontId="2" type="noConversion"/>
  </si>
  <si>
    <t xml:space="preserve">    ABS投资</t>
    <phoneticPr fontId="2" type="noConversion"/>
  </si>
  <si>
    <t>B02.14.03.01.01</t>
    <phoneticPr fontId="2" type="noConversion"/>
  </si>
  <si>
    <t>B02.14.03.01.02</t>
    <phoneticPr fontId="2" type="noConversion"/>
  </si>
  <si>
    <t>B02.14.03.01.03</t>
  </si>
  <si>
    <t>B02.14.03.02</t>
  </si>
  <si>
    <t>B02.14.03.02.01</t>
  </si>
  <si>
    <t>B02.14.03.02.02</t>
  </si>
  <si>
    <t>B02.14.03.02.03</t>
  </si>
  <si>
    <t>B02.14.03.03</t>
  </si>
  <si>
    <t>B02.14.03.03.01</t>
  </si>
  <si>
    <t>B02.14.03.03.02</t>
  </si>
  <si>
    <t>B02.14.03.03.03</t>
  </si>
  <si>
    <t>B02.14.03.04</t>
  </si>
  <si>
    <t>B02.14.03.04.01</t>
  </si>
  <si>
    <t>B02.14.03.04.02</t>
  </si>
  <si>
    <t>B02.14.03.04.03</t>
  </si>
  <si>
    <t>B02.14.03.05</t>
  </si>
  <si>
    <t>B02.14.03.05.01</t>
  </si>
  <si>
    <t>B02.14.03.05.02</t>
  </si>
  <si>
    <t>B02.14.03.05.03</t>
  </si>
  <si>
    <t>B02.14.03.06</t>
  </si>
  <si>
    <t>B02.14.03.06.01</t>
  </si>
  <si>
    <t>B02.14.03.06.02</t>
  </si>
  <si>
    <t>B02.14.03.06.03</t>
  </si>
  <si>
    <t>B02.14.03.07</t>
  </si>
  <si>
    <t>B02.14.03.07.01</t>
  </si>
  <si>
    <t>B02.14.03.07.02</t>
  </si>
  <si>
    <t>B02.14.03.07.03</t>
  </si>
  <si>
    <t>B02.14.03.08</t>
  </si>
  <si>
    <t>B02.14.03.08.01</t>
  </si>
  <si>
    <t>B02.14.03.08.02</t>
  </si>
  <si>
    <t>B02.14.03.08.03</t>
  </si>
  <si>
    <t>B02.14.03.09</t>
  </si>
  <si>
    <t>B02.14.03.09.01</t>
  </si>
  <si>
    <t>B02.14.03.09.02</t>
  </si>
  <si>
    <t>B02.14.03.09.03</t>
  </si>
  <si>
    <t>B02.14.03.10</t>
  </si>
  <si>
    <t>B02.14.03.10.01</t>
  </si>
  <si>
    <t>B02.14.03.10.02</t>
  </si>
  <si>
    <t>B02.14.03.10.03</t>
  </si>
  <si>
    <t>B02.15</t>
    <phoneticPr fontId="2" type="noConversion"/>
  </si>
  <si>
    <t>B02.15.01</t>
    <phoneticPr fontId="2" type="noConversion"/>
  </si>
  <si>
    <t>B02.15.01.01</t>
    <phoneticPr fontId="2" type="noConversion"/>
  </si>
  <si>
    <t>B02.15.02</t>
    <phoneticPr fontId="2" type="noConversion"/>
  </si>
  <si>
    <t>B02.15.02.01</t>
    <phoneticPr fontId="2" type="noConversion"/>
  </si>
  <si>
    <t>B02.15.02.01.01</t>
    <phoneticPr fontId="2" type="noConversion"/>
  </si>
  <si>
    <t>B02.15.02.02</t>
  </si>
  <si>
    <t>B02.15.02.02.01</t>
  </si>
  <si>
    <t>B02.15.02.03</t>
  </si>
  <si>
    <t>B02.15.02.03.01</t>
  </si>
  <si>
    <t>B02.15.02.04</t>
  </si>
  <si>
    <t>B02.15.02.04.01</t>
  </si>
  <si>
    <t>B02.15.02.05</t>
  </si>
  <si>
    <t>B02.15.02.05.01</t>
  </si>
  <si>
    <t>B02.15.03</t>
    <phoneticPr fontId="2" type="noConversion"/>
  </si>
  <si>
    <t>B02.15.03.01</t>
    <phoneticPr fontId="2" type="noConversion"/>
  </si>
  <si>
    <t>B02.15.03.01.01</t>
    <phoneticPr fontId="2" type="noConversion"/>
  </si>
  <si>
    <t>B02.15.03.02</t>
  </si>
  <si>
    <t>B02.15.03.02.01</t>
  </si>
  <si>
    <t>B02.15.03.03</t>
  </si>
  <si>
    <t>B02.15.03.03.01</t>
  </si>
  <si>
    <t>B02.15.03.04</t>
  </si>
  <si>
    <t>B02.15.03.04.01</t>
  </si>
  <si>
    <t>B02.15.03.05</t>
  </si>
  <si>
    <t>B02.15.03.05.01</t>
  </si>
  <si>
    <t>B02.15.03.06</t>
  </si>
  <si>
    <t>B02.15.03.06.01</t>
  </si>
  <si>
    <t>B02.15.03.07</t>
  </si>
  <si>
    <t>B02.15.03.07.01</t>
  </si>
  <si>
    <t>B02.15.03.08</t>
  </si>
  <si>
    <t>B02.15.03.08.01</t>
  </si>
  <si>
    <t>B02.15.03.09</t>
  </si>
  <si>
    <t>B02.15.03.09.01</t>
  </si>
  <si>
    <t>B02.15.03.10.01</t>
  </si>
  <si>
    <t>B02.16</t>
    <phoneticPr fontId="2" type="noConversion"/>
  </si>
  <si>
    <t>B02.16.02</t>
    <phoneticPr fontId="2" type="noConversion"/>
  </si>
  <si>
    <t>B02.16.02.02</t>
    <phoneticPr fontId="2" type="noConversion"/>
  </si>
  <si>
    <t>B02.16.02.02.01</t>
    <phoneticPr fontId="2" type="noConversion"/>
  </si>
  <si>
    <t>B02.16.02.02.02</t>
    <phoneticPr fontId="2" type="noConversion"/>
  </si>
  <si>
    <t>B02.16.02.02.03</t>
    <phoneticPr fontId="2" type="noConversion"/>
  </si>
  <si>
    <t>B02.16.02.03</t>
  </si>
  <si>
    <t>B02.16.02.03.01</t>
  </si>
  <si>
    <t>B02.16.02.03.02</t>
  </si>
  <si>
    <t>B02.16.02.03.03</t>
  </si>
  <si>
    <t>B02.16.02.04</t>
  </si>
  <si>
    <t>B02.16.02.04.01</t>
  </si>
  <si>
    <t>B02.16.02.04.02</t>
  </si>
  <si>
    <t>B02.16.02.04.03</t>
  </si>
  <si>
    <t>B02.16.02.05</t>
  </si>
  <si>
    <t>B02.16.02.05.01</t>
  </si>
  <si>
    <t>B02.16.02.05.02</t>
  </si>
  <si>
    <t>B02.16.02.05.03</t>
  </si>
  <si>
    <t>B02.16.02.06</t>
  </si>
  <si>
    <t>B02.16.02.06.01</t>
  </si>
  <si>
    <t>B02.16.02.06.02</t>
  </si>
  <si>
    <t>B02.16.02.06.03</t>
  </si>
  <si>
    <t>B02.17</t>
    <phoneticPr fontId="2" type="noConversion"/>
  </si>
  <si>
    <t>B02.17.02</t>
    <phoneticPr fontId="2" type="noConversion"/>
  </si>
  <si>
    <t>B02.17.02.01</t>
    <phoneticPr fontId="2" type="noConversion"/>
  </si>
  <si>
    <t>B02.17.02.01.01</t>
    <phoneticPr fontId="2" type="noConversion"/>
  </si>
  <si>
    <t xml:space="preserve">    同业拆入</t>
    <phoneticPr fontId="2" type="noConversion"/>
  </si>
  <si>
    <t>B02.18</t>
    <phoneticPr fontId="2" type="noConversion"/>
  </si>
  <si>
    <t>B02.18.99</t>
    <phoneticPr fontId="2" type="noConversion"/>
  </si>
  <si>
    <t>B02.19</t>
    <phoneticPr fontId="2" type="noConversion"/>
  </si>
  <si>
    <t>B02.19.99</t>
    <phoneticPr fontId="2" type="noConversion"/>
  </si>
  <si>
    <t>B02.20</t>
    <phoneticPr fontId="2" type="noConversion"/>
  </si>
  <si>
    <t>B02.20.01</t>
    <phoneticPr fontId="2" type="noConversion"/>
  </si>
  <si>
    <t>B02.20.02</t>
    <phoneticPr fontId="2" type="noConversion"/>
  </si>
  <si>
    <t>B02.20.03</t>
    <phoneticPr fontId="2" type="noConversion"/>
  </si>
  <si>
    <t>B02.20.04</t>
    <phoneticPr fontId="2" type="noConversion"/>
  </si>
  <si>
    <t>B02.20.05</t>
    <phoneticPr fontId="2" type="noConversion"/>
  </si>
  <si>
    <t>B02.20.06</t>
    <phoneticPr fontId="2" type="noConversion"/>
  </si>
  <si>
    <t>B02.21</t>
    <phoneticPr fontId="2" type="noConversion"/>
  </si>
  <si>
    <t>B02.01</t>
    <phoneticPr fontId="2" type="noConversion"/>
  </si>
  <si>
    <t>横向汇总</t>
    <phoneticPr fontId="2" type="noConversion"/>
  </si>
  <si>
    <t>纵向汇总</t>
    <phoneticPr fontId="2" type="noConversion"/>
  </si>
  <si>
    <t>逻辑码</t>
    <phoneticPr fontId="2" type="noConversion"/>
  </si>
  <si>
    <t>B02.20.02.01</t>
    <phoneticPr fontId="2" type="noConversion"/>
  </si>
  <si>
    <t>B02.20.02.02</t>
    <phoneticPr fontId="2" type="noConversion"/>
  </si>
  <si>
    <t>B02.20.03.01</t>
    <phoneticPr fontId="2" type="noConversion"/>
  </si>
  <si>
    <t>B02.20.03.02</t>
    <phoneticPr fontId="2" type="noConversion"/>
  </si>
  <si>
    <t>B02.20.04.01</t>
    <phoneticPr fontId="2" type="noConversion"/>
  </si>
  <si>
    <t>B02.20.04.02</t>
    <phoneticPr fontId="2" type="noConversion"/>
  </si>
  <si>
    <t>B02.20.04.03</t>
    <phoneticPr fontId="2" type="noConversion"/>
  </si>
  <si>
    <t>B02.20.05.01</t>
    <phoneticPr fontId="2" type="noConversion"/>
  </si>
  <si>
    <t>B02.20.05.02</t>
    <phoneticPr fontId="2" type="noConversion"/>
  </si>
  <si>
    <t xml:space="preserve">  PL债券投资利息收入</t>
    <phoneticPr fontId="2" type="noConversion"/>
  </si>
  <si>
    <t xml:space="preserve">  PL同业存单投资利息收入</t>
    <phoneticPr fontId="2" type="noConversion"/>
  </si>
  <si>
    <t xml:space="preserve">    债券价差</t>
    <phoneticPr fontId="2" type="noConversion"/>
  </si>
  <si>
    <t xml:space="preserve">    债券公允价值变动</t>
    <phoneticPr fontId="2" type="noConversion"/>
  </si>
  <si>
    <t xml:space="preserve">    同业存单价差</t>
    <phoneticPr fontId="2" type="noConversion"/>
  </si>
  <si>
    <t xml:space="preserve">    同业存单公允价值变动</t>
    <phoneticPr fontId="2" type="noConversion"/>
  </si>
  <si>
    <t xml:space="preserve">    交易性金融负债价差</t>
    <phoneticPr fontId="2" type="noConversion"/>
  </si>
  <si>
    <t xml:space="preserve">    交易性金融负债公允价值变动</t>
    <phoneticPr fontId="2" type="noConversion"/>
  </si>
  <si>
    <t>B02.20.01.01</t>
    <phoneticPr fontId="2" type="noConversion"/>
  </si>
  <si>
    <t>B02.20.01.02</t>
    <phoneticPr fontId="2" type="noConversion"/>
  </si>
  <si>
    <t>B02.20.01.03</t>
  </si>
  <si>
    <t>B02.20.01.04</t>
  </si>
  <si>
    <t>B02.20.01.05</t>
  </si>
  <si>
    <t>B02.20.01.06</t>
  </si>
  <si>
    <t>B02.20.99</t>
    <phoneticPr fontId="2" type="noConversion"/>
  </si>
  <si>
    <t>B02.20.99.01</t>
    <phoneticPr fontId="2" type="noConversion"/>
  </si>
  <si>
    <t>B02.20.99.02</t>
    <phoneticPr fontId="2" type="noConversion"/>
  </si>
  <si>
    <t>B02.20.05.03</t>
    <phoneticPr fontId="2" type="noConversion"/>
  </si>
  <si>
    <t>B02.20.06.01</t>
    <phoneticPr fontId="2" type="noConversion"/>
  </si>
  <si>
    <t>B02.20.06.02</t>
    <phoneticPr fontId="2" type="noConversion"/>
  </si>
  <si>
    <t>B02.20.06.03</t>
    <phoneticPr fontId="2" type="noConversion"/>
  </si>
  <si>
    <t>B02.20.01.99</t>
    <phoneticPr fontId="2" type="noConversion"/>
  </si>
  <si>
    <t>B02.20.02.03</t>
  </si>
  <si>
    <t>B02.20.03.03</t>
  </si>
  <si>
    <t>B02.20.99.01.01</t>
    <phoneticPr fontId="2" type="noConversion"/>
  </si>
  <si>
    <t>B02.20.99.01.02</t>
    <phoneticPr fontId="2" type="noConversion"/>
  </si>
  <si>
    <t>B02.20.99.01.03</t>
  </si>
  <si>
    <t>B02.20.99.01.04</t>
  </si>
  <si>
    <t>B02.20.99.02.01</t>
    <phoneticPr fontId="2" type="noConversion"/>
  </si>
  <si>
    <t>B02.20.99.02.02</t>
    <phoneticPr fontId="2" type="noConversion"/>
  </si>
  <si>
    <t>B02.20.99.02.03</t>
  </si>
  <si>
    <t>B02.20.99.02.04</t>
  </si>
  <si>
    <t>B02.15.03.10</t>
    <phoneticPr fontId="2" type="noConversion"/>
  </si>
  <si>
    <t>B02.15.03.11</t>
    <phoneticPr fontId="2" type="noConversion"/>
  </si>
  <si>
    <t>B02.15.03.11.01</t>
    <phoneticPr fontId="2" type="noConversion"/>
  </si>
  <si>
    <t>B02.15.03.12</t>
    <phoneticPr fontId="2" type="noConversion"/>
  </si>
  <si>
    <t>B02.15.03.12.01</t>
    <phoneticPr fontId="2" type="noConversion"/>
  </si>
  <si>
    <t xml:space="preserve">    货基</t>
    <phoneticPr fontId="2" type="noConversion"/>
  </si>
  <si>
    <t xml:space="preserve">    债基</t>
    <phoneticPr fontId="2" type="noConversion"/>
  </si>
  <si>
    <t>B02.17.02.02</t>
  </si>
  <si>
    <t>B02.17.02.02.01</t>
  </si>
  <si>
    <t>B02.17.02.03</t>
  </si>
  <si>
    <t>B02.17.02.03.01</t>
  </si>
  <si>
    <t>B02.17.02.04</t>
  </si>
  <si>
    <t>B02.17.02.04.01</t>
  </si>
  <si>
    <t>B02.17.02.05</t>
  </si>
  <si>
    <t>B02.17.02.05.01</t>
  </si>
  <si>
    <t>B02.17.02.06</t>
  </si>
  <si>
    <t>B02.17.02.06.01</t>
  </si>
  <si>
    <t>A01.18.06</t>
    <phoneticPr fontId="2" type="noConversion"/>
  </si>
  <si>
    <t>A01.18.06.01</t>
    <phoneticPr fontId="2" type="noConversion"/>
  </si>
  <si>
    <t>A01.18.06.02.01</t>
    <phoneticPr fontId="2" type="noConversion"/>
  </si>
  <si>
    <t>A01.18.06.02.02</t>
    <phoneticPr fontId="2" type="noConversion"/>
  </si>
  <si>
    <t>A02.18.05</t>
    <phoneticPr fontId="2" type="noConversion"/>
  </si>
  <si>
    <t>A02.18.05.01</t>
    <phoneticPr fontId="2" type="noConversion"/>
  </si>
  <si>
    <t>A02.19.10</t>
    <phoneticPr fontId="2" type="noConversion"/>
  </si>
  <si>
    <t>A02.19.10.01</t>
    <phoneticPr fontId="2" type="noConversion"/>
  </si>
  <si>
    <t>A02.19.11</t>
    <phoneticPr fontId="2" type="noConversion"/>
  </si>
  <si>
    <t>A03.18.07</t>
    <phoneticPr fontId="2" type="noConversion"/>
  </si>
  <si>
    <t>A03.19.12</t>
    <phoneticPr fontId="2" type="noConversion"/>
  </si>
  <si>
    <t>A03.19.12.01</t>
  </si>
  <si>
    <t>A03.19.12.01.01</t>
  </si>
  <si>
    <t>A04.18.05</t>
    <phoneticPr fontId="2" type="noConversion"/>
  </si>
  <si>
    <t>A04.18.05.01</t>
    <phoneticPr fontId="2" type="noConversion"/>
  </si>
  <si>
    <t>A04.19.03</t>
    <phoneticPr fontId="2" type="noConversion"/>
  </si>
  <si>
    <t>A04.19.03.01</t>
    <phoneticPr fontId="2" type="noConversion"/>
  </si>
  <si>
    <t>A04.19.15</t>
    <phoneticPr fontId="2" type="noConversion"/>
  </si>
  <si>
    <t>A04.19.15.01</t>
    <phoneticPr fontId="2" type="noConversion"/>
  </si>
  <si>
    <t>A05.18.99</t>
    <phoneticPr fontId="2" type="noConversion"/>
  </si>
  <si>
    <t>A05.19.13</t>
    <phoneticPr fontId="2" type="noConversion"/>
  </si>
  <si>
    <t>A05.19.13.01</t>
    <phoneticPr fontId="2" type="noConversion"/>
  </si>
  <si>
    <t xml:space="preserve">  企金代销收入</t>
    <phoneticPr fontId="2" type="noConversion"/>
  </si>
  <si>
    <t xml:space="preserve">    代销理财</t>
    <phoneticPr fontId="2" type="noConversion"/>
  </si>
  <si>
    <t xml:space="preserve">    代销保险</t>
    <phoneticPr fontId="2" type="noConversion"/>
  </si>
  <si>
    <t>B01.18.05</t>
    <phoneticPr fontId="2" type="noConversion"/>
  </si>
  <si>
    <t>B01.18.05.01</t>
    <phoneticPr fontId="2" type="noConversion"/>
  </si>
  <si>
    <t>B01.18.05.02</t>
    <phoneticPr fontId="2" type="noConversion"/>
  </si>
  <si>
    <t>B01.18.06</t>
    <phoneticPr fontId="2" type="noConversion"/>
  </si>
  <si>
    <t>B01.19.01.01</t>
    <phoneticPr fontId="2" type="noConversion"/>
  </si>
  <si>
    <t>B01.19.02.01</t>
    <phoneticPr fontId="2" type="noConversion"/>
  </si>
  <si>
    <t>B01.19.03.01</t>
    <phoneticPr fontId="2" type="noConversion"/>
  </si>
  <si>
    <t>B01.19.14</t>
    <phoneticPr fontId="2" type="noConversion"/>
  </si>
  <si>
    <t>B01.19.14.01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</si>
</sst>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9" fontId="4" fillId="3" borderId="0" xfId="0" applyNumberFormat="1" applyFont="1" applyFill="1" applyAlignment="1">
      <alignment vertical="center"/>
    </xf>
    <xf numFmtId="49" fontId="4" fillId="2" borderId="0" xfId="0" applyNumberFormat="1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49" fontId="4" fillId="0" borderId="0" xfId="0" applyNumberFormat="1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49" fontId="4" fillId="4" borderId="0" xfId="0" applyNumberFormat="1" applyFont="1" applyFill="1" applyAlignment="1">
      <alignment vertical="center"/>
    </xf>
    <xf numFmtId="0" fontId="4" fillId="4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F3F56-9528-419E-B86C-50BF09064151}">
  <dimension ref="A1:H129"/>
  <sheetViews>
    <sheetView topLeftCell="A115" workbookViewId="0">
      <selection activeCell="G127" sqref="G127"/>
    </sheetView>
  </sheetViews>
  <sheetFormatPr defaultColWidth="8.6640625" defaultRowHeight="15" customHeight="1" x14ac:dyDescent="0.25"/>
  <cols>
    <col min="1" max="2" width="8.6640625" style="5"/>
    <col min="3" max="3" width="16.77734375" style="5" bestFit="1" customWidth="1"/>
    <col min="4" max="5" width="8.6640625" style="5"/>
    <col min="6" max="8" width="8.6640625" style="9"/>
    <col min="9" max="16384" width="8.6640625" style="5"/>
  </cols>
  <sheetData>
    <row r="1" spans="1:8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ht="15" customHeight="1" x14ac:dyDescent="0.25">
      <c r="A2" s="3" t="s">
        <v>6</v>
      </c>
      <c r="B2" s="3" t="s">
        <v>1</v>
      </c>
      <c r="C2" s="3" t="s">
        <v>7</v>
      </c>
      <c r="D2" s="4" t="s">
        <v>8</v>
      </c>
    </row>
    <row r="3" spans="1:8" ht="15" customHeight="1" x14ac:dyDescent="0.25">
      <c r="A3" s="3" t="s">
        <v>9</v>
      </c>
      <c r="B3" s="3" t="s">
        <v>1</v>
      </c>
      <c r="C3" s="3" t="s">
        <v>10</v>
      </c>
      <c r="D3" s="4" t="s">
        <v>11</v>
      </c>
    </row>
    <row r="4" spans="1:8" ht="15" customHeight="1" x14ac:dyDescent="0.25">
      <c r="A4" s="2" t="s">
        <v>12</v>
      </c>
      <c r="B4" s="5" t="s">
        <v>1</v>
      </c>
      <c r="C4" s="2" t="s">
        <v>13</v>
      </c>
      <c r="D4" s="6" t="s">
        <v>14</v>
      </c>
    </row>
    <row r="5" spans="1:8" ht="15" customHeight="1" x14ac:dyDescent="0.25">
      <c r="A5" s="2" t="s">
        <v>12</v>
      </c>
      <c r="B5" s="5" t="s">
        <v>15</v>
      </c>
      <c r="C5" s="2" t="s">
        <v>16</v>
      </c>
      <c r="D5" s="6" t="s">
        <v>14</v>
      </c>
    </row>
    <row r="6" spans="1:8" ht="15" customHeight="1" x14ac:dyDescent="0.25">
      <c r="A6" s="3" t="s">
        <v>9</v>
      </c>
      <c r="B6" s="3" t="s">
        <v>1</v>
      </c>
      <c r="C6" s="3" t="s">
        <v>17</v>
      </c>
      <c r="D6" s="4" t="s">
        <v>18</v>
      </c>
    </row>
    <row r="7" spans="1:8" ht="15" customHeight="1" x14ac:dyDescent="0.25">
      <c r="A7" s="2" t="s">
        <v>12</v>
      </c>
      <c r="B7" s="5" t="s">
        <v>1</v>
      </c>
      <c r="C7" s="2" t="s">
        <v>19</v>
      </c>
      <c r="D7" s="6" t="s">
        <v>20</v>
      </c>
    </row>
    <row r="8" spans="1:8" ht="15" customHeight="1" x14ac:dyDescent="0.25">
      <c r="A8" s="2" t="s">
        <v>12</v>
      </c>
      <c r="B8" s="5" t="s">
        <v>15</v>
      </c>
      <c r="C8" s="2" t="s">
        <v>21</v>
      </c>
      <c r="D8" s="6" t="s">
        <v>22</v>
      </c>
    </row>
    <row r="9" spans="1:8" ht="15" customHeight="1" x14ac:dyDescent="0.25">
      <c r="A9" s="3" t="s">
        <v>9</v>
      </c>
      <c r="B9" s="3" t="s">
        <v>1</v>
      </c>
      <c r="C9" s="3" t="s">
        <v>23</v>
      </c>
      <c r="D9" s="4" t="s">
        <v>24</v>
      </c>
    </row>
    <row r="10" spans="1:8" ht="15" customHeight="1" x14ac:dyDescent="0.25">
      <c r="A10" s="3" t="s">
        <v>6</v>
      </c>
      <c r="B10" s="3" t="s">
        <v>15</v>
      </c>
      <c r="C10" s="3" t="s">
        <v>25</v>
      </c>
      <c r="D10" s="4" t="s">
        <v>26</v>
      </c>
    </row>
    <row r="11" spans="1:8" ht="15" customHeight="1" x14ac:dyDescent="0.25">
      <c r="A11" s="3" t="s">
        <v>9</v>
      </c>
      <c r="B11" s="3" t="s">
        <v>15</v>
      </c>
      <c r="C11" s="3" t="s">
        <v>27</v>
      </c>
      <c r="D11" s="4" t="s">
        <v>28</v>
      </c>
    </row>
    <row r="12" spans="1:8" ht="15" customHeight="1" x14ac:dyDescent="0.25">
      <c r="A12" s="5" t="s">
        <v>12</v>
      </c>
      <c r="B12" s="5" t="s">
        <v>15</v>
      </c>
      <c r="C12" s="5" t="s">
        <v>29</v>
      </c>
      <c r="D12" s="7" t="s">
        <v>30</v>
      </c>
    </row>
    <row r="13" spans="1:8" ht="15" customHeight="1" x14ac:dyDescent="0.25">
      <c r="A13" s="5" t="s">
        <v>12</v>
      </c>
      <c r="B13" s="5" t="s">
        <v>15</v>
      </c>
      <c r="C13" s="5" t="s">
        <v>31</v>
      </c>
      <c r="D13" s="7" t="s">
        <v>32</v>
      </c>
    </row>
    <row r="14" spans="1:8" ht="15" customHeight="1" x14ac:dyDescent="0.25">
      <c r="A14" s="3" t="s">
        <v>9</v>
      </c>
      <c r="B14" s="3" t="s">
        <v>15</v>
      </c>
      <c r="C14" s="3" t="s">
        <v>33</v>
      </c>
      <c r="D14" s="4" t="s">
        <v>34</v>
      </c>
    </row>
    <row r="15" spans="1:8" ht="15" customHeight="1" x14ac:dyDescent="0.25">
      <c r="A15" s="3" t="s">
        <v>6</v>
      </c>
      <c r="B15" s="3" t="s">
        <v>1</v>
      </c>
      <c r="C15" s="3" t="s">
        <v>35</v>
      </c>
      <c r="D15" s="4" t="s">
        <v>36</v>
      </c>
    </row>
    <row r="16" spans="1:8" ht="15" customHeight="1" x14ac:dyDescent="0.25">
      <c r="A16" s="3" t="s">
        <v>6</v>
      </c>
      <c r="B16" s="3" t="s">
        <v>15</v>
      </c>
      <c r="C16" s="3" t="s">
        <v>37</v>
      </c>
      <c r="D16" s="4" t="s">
        <v>38</v>
      </c>
    </row>
    <row r="17" spans="1:4" ht="15" customHeight="1" x14ac:dyDescent="0.25">
      <c r="A17" s="3" t="s">
        <v>6</v>
      </c>
      <c r="B17" s="3" t="s">
        <v>15</v>
      </c>
      <c r="C17" s="3" t="s">
        <v>39</v>
      </c>
      <c r="D17" s="4" t="s">
        <v>40</v>
      </c>
    </row>
    <row r="18" spans="1:4" ht="15" customHeight="1" x14ac:dyDescent="0.25">
      <c r="A18" s="3" t="s">
        <v>9</v>
      </c>
      <c r="B18" s="3" t="s">
        <v>15</v>
      </c>
      <c r="C18" s="3" t="s">
        <v>41</v>
      </c>
      <c r="D18" s="3" t="s">
        <v>42</v>
      </c>
    </row>
    <row r="19" spans="1:4" ht="15" customHeight="1" x14ac:dyDescent="0.25">
      <c r="A19" s="2" t="s">
        <v>12</v>
      </c>
      <c r="B19" s="2" t="s">
        <v>15</v>
      </c>
      <c r="C19" s="2" t="s">
        <v>43</v>
      </c>
      <c r="D19" s="2" t="s">
        <v>44</v>
      </c>
    </row>
    <row r="20" spans="1:4" ht="15" customHeight="1" x14ac:dyDescent="0.25">
      <c r="A20" s="2" t="s">
        <v>12</v>
      </c>
      <c r="B20" s="2" t="s">
        <v>15</v>
      </c>
      <c r="C20" s="2" t="s">
        <v>45</v>
      </c>
      <c r="D20" s="2" t="s">
        <v>46</v>
      </c>
    </row>
    <row r="21" spans="1:4" ht="15" customHeight="1" x14ac:dyDescent="0.25">
      <c r="A21" s="2" t="s">
        <v>12</v>
      </c>
      <c r="B21" s="2" t="s">
        <v>15</v>
      </c>
      <c r="C21" s="2" t="s">
        <v>47</v>
      </c>
      <c r="D21" s="2" t="s">
        <v>48</v>
      </c>
    </row>
    <row r="22" spans="1:4" ht="15" customHeight="1" x14ac:dyDescent="0.25">
      <c r="A22" s="3" t="s">
        <v>9</v>
      </c>
      <c r="B22" s="3" t="s">
        <v>15</v>
      </c>
      <c r="C22" s="3" t="s">
        <v>49</v>
      </c>
      <c r="D22" s="3" t="s">
        <v>50</v>
      </c>
    </row>
    <row r="23" spans="1:4" ht="15" customHeight="1" x14ac:dyDescent="0.25">
      <c r="A23" s="2" t="s">
        <v>12</v>
      </c>
      <c r="B23" s="2" t="s">
        <v>15</v>
      </c>
      <c r="C23" s="2" t="s">
        <v>51</v>
      </c>
      <c r="D23" s="2" t="s">
        <v>52</v>
      </c>
    </row>
    <row r="24" spans="1:4" ht="15" customHeight="1" x14ac:dyDescent="0.25">
      <c r="A24" s="2" t="s">
        <v>12</v>
      </c>
      <c r="B24" s="2" t="s">
        <v>15</v>
      </c>
      <c r="C24" s="2" t="s">
        <v>53</v>
      </c>
      <c r="D24" s="2" t="s">
        <v>54</v>
      </c>
    </row>
    <row r="25" spans="1:4" ht="15" customHeight="1" x14ac:dyDescent="0.25">
      <c r="A25" s="3" t="s">
        <v>9</v>
      </c>
      <c r="B25" s="3" t="s">
        <v>15</v>
      </c>
      <c r="C25" s="3" t="s">
        <v>55</v>
      </c>
      <c r="D25" s="3" t="s">
        <v>56</v>
      </c>
    </row>
    <row r="26" spans="1:4" ht="15" customHeight="1" x14ac:dyDescent="0.25">
      <c r="A26" s="3" t="s">
        <v>9</v>
      </c>
      <c r="B26" s="3" t="s">
        <v>15</v>
      </c>
      <c r="C26" s="3" t="s">
        <v>57</v>
      </c>
      <c r="D26" s="3" t="s">
        <v>58</v>
      </c>
    </row>
    <row r="27" spans="1:4" ht="15" customHeight="1" x14ac:dyDescent="0.25">
      <c r="A27" s="3" t="s">
        <v>6</v>
      </c>
      <c r="B27" s="3" t="s">
        <v>1</v>
      </c>
      <c r="C27" s="3" t="s">
        <v>59</v>
      </c>
      <c r="D27" s="3" t="s">
        <v>60</v>
      </c>
    </row>
    <row r="28" spans="1:4" ht="15" customHeight="1" x14ac:dyDescent="0.25">
      <c r="A28" s="3" t="s">
        <v>6</v>
      </c>
      <c r="B28" s="3" t="s">
        <v>517</v>
      </c>
      <c r="C28" s="3" t="s">
        <v>61</v>
      </c>
      <c r="D28" s="3" t="s">
        <v>62</v>
      </c>
    </row>
    <row r="29" spans="1:4" ht="15" customHeight="1" x14ac:dyDescent="0.25">
      <c r="A29" s="3" t="s">
        <v>6</v>
      </c>
      <c r="B29" s="3" t="s">
        <v>15</v>
      </c>
      <c r="C29" s="3" t="s">
        <v>63</v>
      </c>
      <c r="D29" s="3" t="s">
        <v>64</v>
      </c>
    </row>
    <row r="30" spans="1:4" ht="15" customHeight="1" x14ac:dyDescent="0.25">
      <c r="A30" s="3" t="s">
        <v>6</v>
      </c>
      <c r="B30" s="3" t="s">
        <v>517</v>
      </c>
      <c r="C30" s="3" t="s">
        <v>65</v>
      </c>
      <c r="D30" s="3" t="s">
        <v>66</v>
      </c>
    </row>
    <row r="31" spans="1:4" ht="15" customHeight="1" x14ac:dyDescent="0.25">
      <c r="A31" s="3"/>
      <c r="B31" s="3"/>
      <c r="C31" s="3"/>
      <c r="D31" s="3"/>
    </row>
    <row r="32" spans="1:4" ht="15" customHeight="1" x14ac:dyDescent="0.25">
      <c r="A32" s="3" t="s">
        <v>6</v>
      </c>
      <c r="B32" s="3" t="s">
        <v>67</v>
      </c>
      <c r="C32" s="3" t="s">
        <v>68</v>
      </c>
      <c r="D32" s="3" t="s">
        <v>69</v>
      </c>
    </row>
    <row r="33" spans="1:4" ht="15" customHeight="1" x14ac:dyDescent="0.25">
      <c r="A33" s="3" t="s">
        <v>9</v>
      </c>
      <c r="B33" s="3" t="s">
        <v>67</v>
      </c>
      <c r="C33" s="3" t="s">
        <v>70</v>
      </c>
      <c r="D33" s="3" t="s">
        <v>71</v>
      </c>
    </row>
    <row r="34" spans="1:4" ht="15" customHeight="1" x14ac:dyDescent="0.25">
      <c r="A34" s="2" t="s">
        <v>12</v>
      </c>
      <c r="B34" s="3" t="s">
        <v>67</v>
      </c>
      <c r="C34" s="2" t="s">
        <v>72</v>
      </c>
      <c r="D34" s="2" t="s">
        <v>73</v>
      </c>
    </row>
    <row r="35" spans="1:4" ht="15" customHeight="1" x14ac:dyDescent="0.25">
      <c r="A35" s="2" t="s">
        <v>74</v>
      </c>
      <c r="B35" s="3" t="s">
        <v>67</v>
      </c>
      <c r="C35" s="2" t="s">
        <v>75</v>
      </c>
      <c r="D35" s="2" t="s">
        <v>76</v>
      </c>
    </row>
    <row r="36" spans="1:4" ht="15" customHeight="1" x14ac:dyDescent="0.25">
      <c r="A36" s="2" t="s">
        <v>74</v>
      </c>
      <c r="B36" s="3" t="s">
        <v>67</v>
      </c>
      <c r="C36" s="2" t="s">
        <v>77</v>
      </c>
      <c r="D36" s="2" t="s">
        <v>78</v>
      </c>
    </row>
    <row r="37" spans="1:4" ht="15" customHeight="1" x14ac:dyDescent="0.25">
      <c r="A37" s="2" t="s">
        <v>12</v>
      </c>
      <c r="B37" s="3" t="s">
        <v>67</v>
      </c>
      <c r="C37" s="2" t="s">
        <v>79</v>
      </c>
      <c r="D37" s="2" t="s">
        <v>80</v>
      </c>
    </row>
    <row r="38" spans="1:4" ht="15" customHeight="1" x14ac:dyDescent="0.25">
      <c r="A38" s="2" t="s">
        <v>12</v>
      </c>
      <c r="B38" s="3" t="s">
        <v>67</v>
      </c>
      <c r="C38" s="2" t="s">
        <v>81</v>
      </c>
      <c r="D38" s="2" t="s">
        <v>82</v>
      </c>
    </row>
    <row r="39" spans="1:4" ht="15" customHeight="1" x14ac:dyDescent="0.25">
      <c r="A39" s="2" t="s">
        <v>12</v>
      </c>
      <c r="B39" s="3" t="s">
        <v>67</v>
      </c>
      <c r="C39" s="2" t="s">
        <v>83</v>
      </c>
      <c r="D39" s="2" t="s">
        <v>84</v>
      </c>
    </row>
    <row r="40" spans="1:4" ht="15" customHeight="1" x14ac:dyDescent="0.25">
      <c r="A40" s="2" t="s">
        <v>12</v>
      </c>
      <c r="B40" s="3" t="s">
        <v>67</v>
      </c>
      <c r="C40" s="2" t="s">
        <v>85</v>
      </c>
      <c r="D40" s="2" t="s">
        <v>86</v>
      </c>
    </row>
    <row r="41" spans="1:4" ht="15" customHeight="1" x14ac:dyDescent="0.25">
      <c r="A41" s="2" t="s">
        <v>74</v>
      </c>
      <c r="B41" s="3" t="s">
        <v>67</v>
      </c>
      <c r="C41" s="2" t="s">
        <v>87</v>
      </c>
      <c r="D41" s="2" t="s">
        <v>88</v>
      </c>
    </row>
    <row r="42" spans="1:4" ht="15" customHeight="1" x14ac:dyDescent="0.25">
      <c r="A42" s="2" t="s">
        <v>74</v>
      </c>
      <c r="B42" s="3" t="s">
        <v>67</v>
      </c>
      <c r="C42" s="2" t="s">
        <v>89</v>
      </c>
      <c r="D42" s="2" t="s">
        <v>90</v>
      </c>
    </row>
    <row r="43" spans="1:4" ht="15" customHeight="1" x14ac:dyDescent="0.25">
      <c r="A43" s="5" t="s">
        <v>12</v>
      </c>
      <c r="B43" s="3" t="s">
        <v>67</v>
      </c>
      <c r="C43" s="5" t="s">
        <v>91</v>
      </c>
      <c r="D43" s="2" t="s">
        <v>92</v>
      </c>
    </row>
    <row r="44" spans="1:4" ht="15" customHeight="1" x14ac:dyDescent="0.25">
      <c r="A44" s="3" t="s">
        <v>9</v>
      </c>
      <c r="B44" s="3" t="s">
        <v>67</v>
      </c>
      <c r="C44" s="3" t="s">
        <v>93</v>
      </c>
      <c r="D44" s="2" t="s">
        <v>94</v>
      </c>
    </row>
    <row r="45" spans="1:4" ht="15" customHeight="1" x14ac:dyDescent="0.25">
      <c r="A45" s="2" t="s">
        <v>12</v>
      </c>
      <c r="B45" s="3" t="s">
        <v>67</v>
      </c>
      <c r="C45" s="2" t="s">
        <v>95</v>
      </c>
      <c r="D45" s="2" t="s">
        <v>96</v>
      </c>
    </row>
    <row r="46" spans="1:4" ht="15" customHeight="1" x14ac:dyDescent="0.25">
      <c r="A46" s="2" t="s">
        <v>12</v>
      </c>
      <c r="B46" s="3" t="s">
        <v>67</v>
      </c>
      <c r="C46" s="2" t="s">
        <v>97</v>
      </c>
      <c r="D46" s="2" t="s">
        <v>98</v>
      </c>
    </row>
    <row r="47" spans="1:4" ht="15" customHeight="1" x14ac:dyDescent="0.25">
      <c r="A47" s="2" t="s">
        <v>12</v>
      </c>
      <c r="B47" s="3" t="s">
        <v>67</v>
      </c>
      <c r="C47" s="2" t="s">
        <v>99</v>
      </c>
      <c r="D47" s="2" t="s">
        <v>100</v>
      </c>
    </row>
    <row r="48" spans="1:4" ht="15" customHeight="1" x14ac:dyDescent="0.25">
      <c r="A48" s="2" t="s">
        <v>12</v>
      </c>
      <c r="B48" s="3" t="s">
        <v>67</v>
      </c>
      <c r="C48" s="2" t="s">
        <v>101</v>
      </c>
      <c r="D48" s="2" t="s">
        <v>102</v>
      </c>
    </row>
    <row r="49" spans="1:4" ht="15" customHeight="1" x14ac:dyDescent="0.25">
      <c r="A49" s="2" t="s">
        <v>74</v>
      </c>
      <c r="B49" s="3" t="s">
        <v>67</v>
      </c>
      <c r="C49" s="2" t="s">
        <v>103</v>
      </c>
      <c r="D49" s="2" t="s">
        <v>104</v>
      </c>
    </row>
    <row r="50" spans="1:4" ht="15" customHeight="1" x14ac:dyDescent="0.25">
      <c r="A50" s="2" t="s">
        <v>74</v>
      </c>
      <c r="B50" s="3" t="s">
        <v>67</v>
      </c>
      <c r="C50" s="2" t="s">
        <v>105</v>
      </c>
      <c r="D50" s="2" t="s">
        <v>106</v>
      </c>
    </row>
    <row r="51" spans="1:4" ht="15" customHeight="1" x14ac:dyDescent="0.25">
      <c r="A51" s="3" t="s">
        <v>9</v>
      </c>
      <c r="B51" s="3" t="s">
        <v>67</v>
      </c>
      <c r="C51" s="3" t="s">
        <v>107</v>
      </c>
      <c r="D51" s="5" t="s">
        <v>108</v>
      </c>
    </row>
    <row r="52" spans="1:4" ht="15" customHeight="1" x14ac:dyDescent="0.25">
      <c r="A52" s="3" t="s">
        <v>9</v>
      </c>
      <c r="B52" s="3" t="s">
        <v>67</v>
      </c>
      <c r="C52" s="3" t="s">
        <v>109</v>
      </c>
      <c r="D52" s="5" t="s">
        <v>110</v>
      </c>
    </row>
    <row r="53" spans="1:4" ht="15" customHeight="1" x14ac:dyDescent="0.25">
      <c r="A53" s="3" t="s">
        <v>6</v>
      </c>
      <c r="B53" s="5" t="s">
        <v>111</v>
      </c>
      <c r="C53" s="3" t="s">
        <v>112</v>
      </c>
      <c r="D53" s="2" t="s">
        <v>113</v>
      </c>
    </row>
    <row r="54" spans="1:4" ht="15" customHeight="1" x14ac:dyDescent="0.25">
      <c r="A54" s="3" t="s">
        <v>9</v>
      </c>
      <c r="B54" s="5" t="s">
        <v>111</v>
      </c>
      <c r="C54" s="3" t="s">
        <v>114</v>
      </c>
      <c r="D54" s="2" t="s">
        <v>115</v>
      </c>
    </row>
    <row r="55" spans="1:4" ht="15" customHeight="1" x14ac:dyDescent="0.25">
      <c r="A55" s="5" t="s">
        <v>12</v>
      </c>
      <c r="B55" s="5" t="s">
        <v>111</v>
      </c>
      <c r="C55" s="5" t="s">
        <v>116</v>
      </c>
      <c r="D55" s="2" t="s">
        <v>117</v>
      </c>
    </row>
    <row r="56" spans="1:4" ht="15" customHeight="1" x14ac:dyDescent="0.25">
      <c r="A56" s="5" t="s">
        <v>12</v>
      </c>
      <c r="B56" s="5" t="s">
        <v>111</v>
      </c>
      <c r="C56" s="5" t="s">
        <v>79</v>
      </c>
      <c r="D56" s="2" t="s">
        <v>118</v>
      </c>
    </row>
    <row r="57" spans="1:4" ht="15" customHeight="1" x14ac:dyDescent="0.25">
      <c r="A57" s="5" t="s">
        <v>12</v>
      </c>
      <c r="B57" s="5" t="s">
        <v>111</v>
      </c>
      <c r="C57" s="5" t="s">
        <v>81</v>
      </c>
      <c r="D57" s="2" t="s">
        <v>119</v>
      </c>
    </row>
    <row r="58" spans="1:4" ht="15" customHeight="1" x14ac:dyDescent="0.25">
      <c r="A58" s="5" t="s">
        <v>12</v>
      </c>
      <c r="B58" s="5" t="s">
        <v>111</v>
      </c>
      <c r="C58" s="5" t="s">
        <v>85</v>
      </c>
      <c r="D58" s="2" t="s">
        <v>120</v>
      </c>
    </row>
    <row r="59" spans="1:4" ht="15" customHeight="1" x14ac:dyDescent="0.25">
      <c r="A59" s="5" t="s">
        <v>12</v>
      </c>
      <c r="B59" s="5" t="s">
        <v>111</v>
      </c>
      <c r="C59" s="5" t="s">
        <v>101</v>
      </c>
      <c r="D59" s="2" t="s">
        <v>121</v>
      </c>
    </row>
    <row r="60" spans="1:4" ht="15" customHeight="1" x14ac:dyDescent="0.25">
      <c r="A60" s="3" t="s">
        <v>9</v>
      </c>
      <c r="B60" s="5" t="s">
        <v>111</v>
      </c>
      <c r="C60" s="3" t="s">
        <v>122</v>
      </c>
      <c r="D60" s="2" t="s">
        <v>123</v>
      </c>
    </row>
    <row r="61" spans="1:4" ht="15" customHeight="1" x14ac:dyDescent="0.25">
      <c r="A61" s="3" t="s">
        <v>9</v>
      </c>
      <c r="B61" s="5" t="s">
        <v>111</v>
      </c>
      <c r="C61" s="3" t="s">
        <v>124</v>
      </c>
      <c r="D61" s="2" t="s">
        <v>125</v>
      </c>
    </row>
    <row r="62" spans="1:4" ht="15" customHeight="1" x14ac:dyDescent="0.25">
      <c r="A62" s="3" t="s">
        <v>9</v>
      </c>
      <c r="B62" s="5" t="s">
        <v>111</v>
      </c>
      <c r="C62" s="3" t="s">
        <v>126</v>
      </c>
      <c r="D62" s="2" t="s">
        <v>127</v>
      </c>
    </row>
    <row r="63" spans="1:4" ht="15" customHeight="1" x14ac:dyDescent="0.25">
      <c r="A63" s="3" t="s">
        <v>6</v>
      </c>
      <c r="B63" s="5" t="s">
        <v>111</v>
      </c>
      <c r="C63" s="3" t="s">
        <v>128</v>
      </c>
      <c r="D63" s="2" t="s">
        <v>129</v>
      </c>
    </row>
    <row r="64" spans="1:4" ht="15" customHeight="1" x14ac:dyDescent="0.25">
      <c r="A64" s="2"/>
      <c r="B64" s="2"/>
      <c r="C64" s="2"/>
      <c r="D64" s="2"/>
    </row>
    <row r="65" spans="1:4" ht="15" customHeight="1" x14ac:dyDescent="0.25">
      <c r="A65" s="3" t="s">
        <v>6</v>
      </c>
      <c r="B65" s="3" t="s">
        <v>67</v>
      </c>
      <c r="C65" s="3" t="s">
        <v>130</v>
      </c>
      <c r="D65" s="2" t="s">
        <v>131</v>
      </c>
    </row>
    <row r="66" spans="1:4" ht="15" customHeight="1" x14ac:dyDescent="0.25">
      <c r="A66" s="3" t="s">
        <v>9</v>
      </c>
      <c r="B66" s="3" t="s">
        <v>67</v>
      </c>
      <c r="C66" s="3" t="s">
        <v>132</v>
      </c>
      <c r="D66" s="2" t="s">
        <v>133</v>
      </c>
    </row>
    <row r="67" spans="1:4" ht="15" customHeight="1" x14ac:dyDescent="0.25">
      <c r="A67" s="2" t="s">
        <v>12</v>
      </c>
      <c r="B67" s="3" t="s">
        <v>67</v>
      </c>
      <c r="C67" s="2" t="s">
        <v>72</v>
      </c>
      <c r="D67" s="2" t="s">
        <v>134</v>
      </c>
    </row>
    <row r="68" spans="1:4" ht="15" customHeight="1" x14ac:dyDescent="0.25">
      <c r="A68" s="2" t="s">
        <v>74</v>
      </c>
      <c r="B68" s="3" t="s">
        <v>67</v>
      </c>
      <c r="C68" s="2" t="s">
        <v>75</v>
      </c>
      <c r="D68" s="2" t="s">
        <v>135</v>
      </c>
    </row>
    <row r="69" spans="1:4" ht="15" customHeight="1" x14ac:dyDescent="0.25">
      <c r="A69" s="2" t="s">
        <v>74</v>
      </c>
      <c r="B69" s="3" t="s">
        <v>67</v>
      </c>
      <c r="C69" s="2" t="s">
        <v>77</v>
      </c>
      <c r="D69" s="2" t="s">
        <v>136</v>
      </c>
    </row>
    <row r="70" spans="1:4" ht="15" customHeight="1" x14ac:dyDescent="0.25">
      <c r="A70" s="2" t="s">
        <v>12</v>
      </c>
      <c r="B70" s="3" t="s">
        <v>67</v>
      </c>
      <c r="C70" s="2" t="s">
        <v>79</v>
      </c>
      <c r="D70" s="2" t="s">
        <v>137</v>
      </c>
    </row>
    <row r="71" spans="1:4" ht="15" customHeight="1" x14ac:dyDescent="0.25">
      <c r="A71" s="2" t="s">
        <v>12</v>
      </c>
      <c r="B71" s="3" t="s">
        <v>67</v>
      </c>
      <c r="C71" s="2" t="s">
        <v>81</v>
      </c>
      <c r="D71" s="2" t="s">
        <v>138</v>
      </c>
    </row>
    <row r="72" spans="1:4" ht="15" customHeight="1" x14ac:dyDescent="0.25">
      <c r="A72" s="2" t="s">
        <v>12</v>
      </c>
      <c r="B72" s="3" t="s">
        <v>67</v>
      </c>
      <c r="C72" s="2" t="s">
        <v>83</v>
      </c>
      <c r="D72" s="2" t="s">
        <v>139</v>
      </c>
    </row>
    <row r="73" spans="1:4" ht="15" customHeight="1" x14ac:dyDescent="0.25">
      <c r="A73" s="3" t="s">
        <v>9</v>
      </c>
      <c r="B73" s="3" t="s">
        <v>67</v>
      </c>
      <c r="C73" s="3" t="s">
        <v>140</v>
      </c>
      <c r="D73" s="2" t="s">
        <v>141</v>
      </c>
    </row>
    <row r="74" spans="1:4" ht="15" customHeight="1" x14ac:dyDescent="0.25">
      <c r="A74" s="2" t="s">
        <v>12</v>
      </c>
      <c r="B74" s="3" t="s">
        <v>67</v>
      </c>
      <c r="C74" s="2" t="s">
        <v>142</v>
      </c>
      <c r="D74" s="2" t="s">
        <v>143</v>
      </c>
    </row>
    <row r="75" spans="1:4" ht="15" customHeight="1" x14ac:dyDescent="0.25">
      <c r="A75" s="2" t="s">
        <v>12</v>
      </c>
      <c r="B75" s="3" t="s">
        <v>67</v>
      </c>
      <c r="C75" s="2" t="s">
        <v>144</v>
      </c>
      <c r="D75" s="2" t="s">
        <v>145</v>
      </c>
    </row>
    <row r="76" spans="1:4" ht="15" customHeight="1" x14ac:dyDescent="0.25">
      <c r="A76" s="3" t="s">
        <v>9</v>
      </c>
      <c r="B76" s="3" t="s">
        <v>67</v>
      </c>
      <c r="C76" s="3" t="s">
        <v>146</v>
      </c>
      <c r="D76" s="2" t="s">
        <v>147</v>
      </c>
    </row>
    <row r="77" spans="1:4" ht="15" customHeight="1" x14ac:dyDescent="0.25">
      <c r="A77" s="2"/>
      <c r="B77" s="2"/>
      <c r="C77" s="3"/>
      <c r="D77" s="2"/>
    </row>
    <row r="78" spans="1:4" ht="15" customHeight="1" x14ac:dyDescent="0.25">
      <c r="A78" s="3" t="s">
        <v>6</v>
      </c>
      <c r="B78" s="3" t="s">
        <v>111</v>
      </c>
      <c r="C78" s="3" t="s">
        <v>148</v>
      </c>
      <c r="D78" s="2" t="s">
        <v>149</v>
      </c>
    </row>
    <row r="79" spans="1:4" ht="15" customHeight="1" x14ac:dyDescent="0.25">
      <c r="A79" s="3" t="s">
        <v>9</v>
      </c>
      <c r="B79" s="3" t="s">
        <v>111</v>
      </c>
      <c r="C79" s="3" t="s">
        <v>150</v>
      </c>
      <c r="D79" s="2" t="s">
        <v>151</v>
      </c>
    </row>
    <row r="80" spans="1:4" ht="15" customHeight="1" x14ac:dyDescent="0.25">
      <c r="A80" s="2" t="s">
        <v>12</v>
      </c>
      <c r="B80" s="3" t="s">
        <v>111</v>
      </c>
      <c r="C80" s="2" t="s">
        <v>116</v>
      </c>
      <c r="D80" s="2" t="s">
        <v>152</v>
      </c>
    </row>
    <row r="81" spans="1:4" ht="15" customHeight="1" x14ac:dyDescent="0.25">
      <c r="A81" s="2" t="s">
        <v>12</v>
      </c>
      <c r="B81" s="3" t="s">
        <v>111</v>
      </c>
      <c r="C81" s="2" t="s">
        <v>81</v>
      </c>
      <c r="D81" s="2" t="s">
        <v>153</v>
      </c>
    </row>
    <row r="82" spans="1:4" ht="15" customHeight="1" x14ac:dyDescent="0.25">
      <c r="A82" s="2" t="s">
        <v>12</v>
      </c>
      <c r="B82" s="3" t="s">
        <v>111</v>
      </c>
      <c r="C82" s="2" t="s">
        <v>101</v>
      </c>
      <c r="D82" s="2" t="s">
        <v>154</v>
      </c>
    </row>
    <row r="83" spans="1:4" ht="15" customHeight="1" x14ac:dyDescent="0.25">
      <c r="A83" s="3" t="s">
        <v>9</v>
      </c>
      <c r="B83" s="3" t="s">
        <v>111</v>
      </c>
      <c r="C83" s="3" t="s">
        <v>155</v>
      </c>
      <c r="D83" s="2" t="s">
        <v>156</v>
      </c>
    </row>
    <row r="84" spans="1:4" ht="15" customHeight="1" x14ac:dyDescent="0.25">
      <c r="A84" s="2" t="s">
        <v>12</v>
      </c>
      <c r="B84" s="3" t="s">
        <v>111</v>
      </c>
      <c r="C84" s="2" t="s">
        <v>157</v>
      </c>
      <c r="D84" s="2" t="s">
        <v>158</v>
      </c>
    </row>
    <row r="85" spans="1:4" ht="15" customHeight="1" x14ac:dyDescent="0.25">
      <c r="A85" s="2" t="s">
        <v>12</v>
      </c>
      <c r="B85" s="3" t="s">
        <v>111</v>
      </c>
      <c r="C85" s="2" t="s">
        <v>81</v>
      </c>
      <c r="D85" s="2" t="s">
        <v>159</v>
      </c>
    </row>
    <row r="86" spans="1:4" ht="15" customHeight="1" x14ac:dyDescent="0.25">
      <c r="A86" s="3" t="s">
        <v>9</v>
      </c>
      <c r="B86" s="3" t="s">
        <v>111</v>
      </c>
      <c r="C86" s="3" t="s">
        <v>160</v>
      </c>
      <c r="D86" s="2" t="s">
        <v>161</v>
      </c>
    </row>
    <row r="87" spans="1:4" ht="15" customHeight="1" x14ac:dyDescent="0.25">
      <c r="A87" s="3"/>
      <c r="B87" s="3"/>
      <c r="C87" s="3"/>
      <c r="D87" s="2"/>
    </row>
    <row r="88" spans="1:4" ht="15" customHeight="1" x14ac:dyDescent="0.25">
      <c r="A88" s="3" t="s">
        <v>6</v>
      </c>
      <c r="B88" s="3"/>
      <c r="C88" s="3" t="s">
        <v>162</v>
      </c>
      <c r="D88" s="2" t="s">
        <v>163</v>
      </c>
    </row>
    <row r="89" spans="1:4" ht="15" customHeight="1" x14ac:dyDescent="0.25">
      <c r="A89" s="3" t="s">
        <v>6</v>
      </c>
      <c r="B89" s="3" t="s">
        <v>67</v>
      </c>
      <c r="C89" s="3" t="s">
        <v>164</v>
      </c>
      <c r="D89" s="2" t="s">
        <v>165</v>
      </c>
    </row>
    <row r="90" spans="1:4" ht="15" customHeight="1" x14ac:dyDescent="0.25">
      <c r="A90" s="2" t="s">
        <v>9</v>
      </c>
      <c r="B90" s="3" t="s">
        <v>67</v>
      </c>
      <c r="C90" s="2" t="s">
        <v>166</v>
      </c>
      <c r="D90" s="2" t="s">
        <v>167</v>
      </c>
    </row>
    <row r="91" spans="1:4" ht="15" customHeight="1" x14ac:dyDescent="0.25">
      <c r="A91" s="2" t="s">
        <v>12</v>
      </c>
      <c r="B91" s="3" t="s">
        <v>67</v>
      </c>
      <c r="C91" s="2" t="s">
        <v>168</v>
      </c>
      <c r="D91" s="2" t="s">
        <v>169</v>
      </c>
    </row>
    <row r="92" spans="1:4" ht="15" customHeight="1" x14ac:dyDescent="0.25">
      <c r="A92" s="2" t="s">
        <v>12</v>
      </c>
      <c r="B92" s="3" t="s">
        <v>67</v>
      </c>
      <c r="C92" s="2" t="s">
        <v>170</v>
      </c>
      <c r="D92" s="2" t="s">
        <v>171</v>
      </c>
    </row>
    <row r="93" spans="1:4" ht="15" customHeight="1" x14ac:dyDescent="0.25">
      <c r="A93" s="2" t="s">
        <v>9</v>
      </c>
      <c r="B93" s="3" t="s">
        <v>67</v>
      </c>
      <c r="C93" s="2" t="s">
        <v>172</v>
      </c>
      <c r="D93" s="2" t="s">
        <v>173</v>
      </c>
    </row>
    <row r="94" spans="1:4" ht="15" customHeight="1" x14ac:dyDescent="0.25">
      <c r="A94" s="2" t="s">
        <v>9</v>
      </c>
      <c r="B94" s="3" t="s">
        <v>67</v>
      </c>
      <c r="C94" s="2" t="s">
        <v>174</v>
      </c>
      <c r="D94" s="2" t="s">
        <v>175</v>
      </c>
    </row>
    <row r="95" spans="1:4" ht="15" customHeight="1" x14ac:dyDescent="0.25">
      <c r="A95" s="2" t="s">
        <v>9</v>
      </c>
      <c r="B95" s="3" t="s">
        <v>67</v>
      </c>
      <c r="C95" s="2" t="s">
        <v>176</v>
      </c>
      <c r="D95" s="2" t="s">
        <v>177</v>
      </c>
    </row>
    <row r="96" spans="1:4" ht="15" customHeight="1" x14ac:dyDescent="0.25">
      <c r="A96" s="2" t="s">
        <v>9</v>
      </c>
      <c r="B96" s="3" t="s">
        <v>67</v>
      </c>
      <c r="C96" s="2" t="s">
        <v>178</v>
      </c>
      <c r="D96" s="2" t="s">
        <v>179</v>
      </c>
    </row>
    <row r="97" spans="1:4" ht="15" customHeight="1" x14ac:dyDescent="0.25">
      <c r="A97" s="3" t="s">
        <v>6</v>
      </c>
      <c r="B97" s="3" t="s">
        <v>15</v>
      </c>
      <c r="C97" s="3" t="s">
        <v>180</v>
      </c>
      <c r="D97" s="2" t="s">
        <v>181</v>
      </c>
    </row>
    <row r="98" spans="1:4" ht="15" customHeight="1" x14ac:dyDescent="0.25">
      <c r="A98" s="3" t="s">
        <v>6</v>
      </c>
      <c r="B98" s="3" t="s">
        <v>15</v>
      </c>
      <c r="C98" s="3" t="s">
        <v>182</v>
      </c>
      <c r="D98" s="2" t="s">
        <v>183</v>
      </c>
    </row>
    <row r="99" spans="1:4" ht="15" customHeight="1" x14ac:dyDescent="0.25">
      <c r="A99" s="2" t="s">
        <v>9</v>
      </c>
      <c r="B99" s="3" t="s">
        <v>15</v>
      </c>
      <c r="C99" s="2" t="s">
        <v>166</v>
      </c>
      <c r="D99" s="2" t="s">
        <v>184</v>
      </c>
    </row>
    <row r="100" spans="1:4" ht="15" customHeight="1" x14ac:dyDescent="0.25">
      <c r="A100" s="2" t="s">
        <v>12</v>
      </c>
      <c r="B100" s="3" t="s">
        <v>15</v>
      </c>
      <c r="C100" s="2" t="s">
        <v>168</v>
      </c>
      <c r="D100" s="2" t="s">
        <v>185</v>
      </c>
    </row>
    <row r="101" spans="1:4" ht="15" customHeight="1" x14ac:dyDescent="0.25">
      <c r="A101" s="2" t="s">
        <v>12</v>
      </c>
      <c r="B101" s="3" t="s">
        <v>15</v>
      </c>
      <c r="C101" s="2" t="s">
        <v>170</v>
      </c>
      <c r="D101" s="2" t="s">
        <v>186</v>
      </c>
    </row>
    <row r="102" spans="1:4" ht="15" customHeight="1" x14ac:dyDescent="0.25">
      <c r="A102" s="2" t="s">
        <v>9</v>
      </c>
      <c r="B102" s="3" t="s">
        <v>15</v>
      </c>
      <c r="C102" s="2" t="s">
        <v>172</v>
      </c>
      <c r="D102" s="2" t="s">
        <v>187</v>
      </c>
    </row>
    <row r="103" spans="1:4" ht="15" customHeight="1" x14ac:dyDescent="0.25">
      <c r="A103" s="2" t="s">
        <v>9</v>
      </c>
      <c r="B103" s="3" t="s">
        <v>15</v>
      </c>
      <c r="C103" s="2" t="s">
        <v>174</v>
      </c>
      <c r="D103" s="2" t="s">
        <v>188</v>
      </c>
    </row>
    <row r="104" spans="1:4" ht="15" customHeight="1" x14ac:dyDescent="0.25">
      <c r="A104" s="2" t="s">
        <v>9</v>
      </c>
      <c r="B104" s="3" t="s">
        <v>15</v>
      </c>
      <c r="C104" s="2" t="s">
        <v>176</v>
      </c>
      <c r="D104" s="2" t="s">
        <v>189</v>
      </c>
    </row>
    <row r="105" spans="1:4" ht="15" customHeight="1" x14ac:dyDescent="0.25">
      <c r="A105" s="2" t="s">
        <v>9</v>
      </c>
      <c r="B105" s="3" t="s">
        <v>15</v>
      </c>
      <c r="C105" s="2" t="s">
        <v>178</v>
      </c>
      <c r="D105" s="2" t="s">
        <v>190</v>
      </c>
    </row>
    <row r="106" spans="1:4" ht="15" customHeight="1" x14ac:dyDescent="0.25">
      <c r="A106" s="3" t="s">
        <v>6</v>
      </c>
      <c r="B106" s="3" t="s">
        <v>518</v>
      </c>
      <c r="C106" s="3" t="s">
        <v>191</v>
      </c>
      <c r="D106" s="2" t="s">
        <v>192</v>
      </c>
    </row>
    <row r="107" spans="1:4" ht="15" customHeight="1" x14ac:dyDescent="0.25">
      <c r="A107" s="2" t="s">
        <v>9</v>
      </c>
      <c r="B107" s="2" t="s">
        <v>519</v>
      </c>
      <c r="C107" s="2" t="s">
        <v>166</v>
      </c>
      <c r="D107" s="2" t="s">
        <v>193</v>
      </c>
    </row>
    <row r="108" spans="1:4" ht="15" customHeight="1" x14ac:dyDescent="0.25">
      <c r="A108" s="2" t="s">
        <v>12</v>
      </c>
      <c r="B108" s="2" t="s">
        <v>519</v>
      </c>
      <c r="C108" s="2" t="s">
        <v>168</v>
      </c>
      <c r="D108" s="2" t="s">
        <v>194</v>
      </c>
    </row>
    <row r="109" spans="1:4" ht="15" customHeight="1" x14ac:dyDescent="0.25">
      <c r="A109" s="2" t="s">
        <v>12</v>
      </c>
      <c r="B109" s="2" t="s">
        <v>519</v>
      </c>
      <c r="C109" s="2" t="s">
        <v>170</v>
      </c>
      <c r="D109" s="2" t="s">
        <v>195</v>
      </c>
    </row>
    <row r="110" spans="1:4" ht="15" customHeight="1" x14ac:dyDescent="0.25">
      <c r="A110" s="2" t="s">
        <v>9</v>
      </c>
      <c r="B110" s="2" t="s">
        <v>519</v>
      </c>
      <c r="C110" s="2" t="s">
        <v>172</v>
      </c>
      <c r="D110" s="2" t="s">
        <v>196</v>
      </c>
    </row>
    <row r="111" spans="1:4" ht="15" customHeight="1" x14ac:dyDescent="0.25">
      <c r="A111" s="2" t="s">
        <v>9</v>
      </c>
      <c r="B111" s="2" t="s">
        <v>519</v>
      </c>
      <c r="C111" s="2" t="s">
        <v>174</v>
      </c>
      <c r="D111" s="2" t="s">
        <v>197</v>
      </c>
    </row>
    <row r="112" spans="1:4" ht="15" customHeight="1" x14ac:dyDescent="0.25">
      <c r="A112" s="2" t="s">
        <v>9</v>
      </c>
      <c r="B112" s="2" t="s">
        <v>519</v>
      </c>
      <c r="C112" s="2" t="s">
        <v>176</v>
      </c>
      <c r="D112" s="2" t="s">
        <v>198</v>
      </c>
    </row>
    <row r="113" spans="1:4" ht="15" customHeight="1" x14ac:dyDescent="0.25">
      <c r="A113" s="2" t="s">
        <v>9</v>
      </c>
      <c r="B113" s="2" t="s">
        <v>519</v>
      </c>
      <c r="C113" s="2" t="s">
        <v>178</v>
      </c>
      <c r="D113" s="2" t="s">
        <v>199</v>
      </c>
    </row>
    <row r="114" spans="1:4" ht="15" customHeight="1" x14ac:dyDescent="0.25">
      <c r="A114" s="3" t="s">
        <v>6</v>
      </c>
      <c r="B114" s="3" t="s">
        <v>519</v>
      </c>
      <c r="C114" s="3" t="s">
        <v>200</v>
      </c>
      <c r="D114" s="2" t="s">
        <v>201</v>
      </c>
    </row>
    <row r="115" spans="1:4" ht="15" customHeight="1" x14ac:dyDescent="0.25">
      <c r="A115" s="3" t="s">
        <v>6</v>
      </c>
      <c r="B115" s="3" t="s">
        <v>519</v>
      </c>
      <c r="C115" s="3" t="s">
        <v>202</v>
      </c>
      <c r="D115" s="2" t="s">
        <v>203</v>
      </c>
    </row>
    <row r="116" spans="1:4" ht="15" customHeight="1" x14ac:dyDescent="0.25">
      <c r="A116" s="3" t="s">
        <v>6</v>
      </c>
      <c r="B116" s="3" t="s">
        <v>67</v>
      </c>
      <c r="C116" s="3" t="s">
        <v>204</v>
      </c>
      <c r="D116" s="2" t="s">
        <v>205</v>
      </c>
    </row>
    <row r="117" spans="1:4" ht="15" customHeight="1" x14ac:dyDescent="0.25">
      <c r="A117" s="2" t="s">
        <v>9</v>
      </c>
      <c r="B117" s="2" t="s">
        <v>67</v>
      </c>
      <c r="C117" s="2" t="s">
        <v>206</v>
      </c>
      <c r="D117" s="2" t="s">
        <v>207</v>
      </c>
    </row>
    <row r="118" spans="1:4" ht="15" customHeight="1" x14ac:dyDescent="0.25">
      <c r="A118" s="2" t="s">
        <v>12</v>
      </c>
      <c r="B118" s="2" t="s">
        <v>67</v>
      </c>
      <c r="C118" s="2" t="s">
        <v>31</v>
      </c>
      <c r="D118" s="2" t="s">
        <v>208</v>
      </c>
    </row>
    <row r="119" spans="1:4" ht="15" customHeight="1" x14ac:dyDescent="0.25">
      <c r="A119" s="2" t="s">
        <v>9</v>
      </c>
      <c r="B119" s="2" t="s">
        <v>67</v>
      </c>
      <c r="C119" s="2" t="s">
        <v>209</v>
      </c>
      <c r="D119" s="2" t="s">
        <v>210</v>
      </c>
    </row>
    <row r="120" spans="1:4" ht="15" customHeight="1" x14ac:dyDescent="0.25">
      <c r="A120" s="3" t="s">
        <v>6</v>
      </c>
      <c r="B120" s="3" t="s">
        <v>519</v>
      </c>
      <c r="C120" s="3" t="s">
        <v>211</v>
      </c>
      <c r="D120" s="2" t="s">
        <v>212</v>
      </c>
    </row>
    <row r="121" spans="1:4" ht="15" customHeight="1" x14ac:dyDescent="0.25">
      <c r="A121" s="2" t="s">
        <v>9</v>
      </c>
      <c r="B121" s="2" t="s">
        <v>519</v>
      </c>
      <c r="C121" s="2" t="s">
        <v>213</v>
      </c>
      <c r="D121" s="2" t="s">
        <v>214</v>
      </c>
    </row>
    <row r="122" spans="1:4" ht="15" customHeight="1" x14ac:dyDescent="0.25">
      <c r="A122" s="2" t="s">
        <v>9</v>
      </c>
      <c r="B122" s="2" t="s">
        <v>519</v>
      </c>
      <c r="C122" s="2" t="s">
        <v>215</v>
      </c>
      <c r="D122" s="2" t="s">
        <v>216</v>
      </c>
    </row>
    <row r="123" spans="1:4" ht="15" customHeight="1" x14ac:dyDescent="0.25">
      <c r="A123" s="2"/>
      <c r="B123" s="2"/>
      <c r="C123" s="2"/>
      <c r="D123" s="2"/>
    </row>
    <row r="124" spans="1:4" ht="15" customHeight="1" x14ac:dyDescent="0.25">
      <c r="A124" s="2" t="s">
        <v>6</v>
      </c>
      <c r="B124" s="2" t="s">
        <v>519</v>
      </c>
      <c r="C124" s="2" t="s">
        <v>217</v>
      </c>
      <c r="D124" s="2" t="s">
        <v>218</v>
      </c>
    </row>
    <row r="125" spans="1:4" ht="15" customHeight="1" x14ac:dyDescent="0.25">
      <c r="A125" s="2" t="s">
        <v>9</v>
      </c>
      <c r="B125" s="2" t="s">
        <v>519</v>
      </c>
      <c r="C125" s="2" t="s">
        <v>219</v>
      </c>
      <c r="D125" s="2" t="s">
        <v>220</v>
      </c>
    </row>
    <row r="126" spans="1:4" ht="15" customHeight="1" x14ac:dyDescent="0.25">
      <c r="A126" s="2" t="s">
        <v>9</v>
      </c>
      <c r="B126" s="2" t="s">
        <v>519</v>
      </c>
      <c r="C126" s="2" t="s">
        <v>221</v>
      </c>
      <c r="D126" s="2" t="s">
        <v>222</v>
      </c>
    </row>
    <row r="127" spans="1:4" ht="15" customHeight="1" x14ac:dyDescent="0.25">
      <c r="A127" s="2" t="s">
        <v>9</v>
      </c>
      <c r="B127" s="2" t="s">
        <v>519</v>
      </c>
      <c r="C127" s="2" t="s">
        <v>223</v>
      </c>
      <c r="D127" s="2" t="s">
        <v>224</v>
      </c>
    </row>
    <row r="128" spans="1:4" ht="15" customHeight="1" x14ac:dyDescent="0.25">
      <c r="A128" s="2" t="s">
        <v>9</v>
      </c>
      <c r="B128" s="2" t="s">
        <v>519</v>
      </c>
      <c r="C128" s="2" t="s">
        <v>225</v>
      </c>
      <c r="D128" s="2" t="s">
        <v>226</v>
      </c>
    </row>
    <row r="129" spans="1:4" ht="15" customHeight="1" x14ac:dyDescent="0.25">
      <c r="A129" s="2" t="s">
        <v>9</v>
      </c>
      <c r="B129" s="2" t="s">
        <v>519</v>
      </c>
      <c r="C129" s="2" t="s">
        <v>227</v>
      </c>
      <c r="D129" s="2" t="s">
        <v>228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4A3A9-EE37-4A6D-91A1-A0419AC254AB}">
  <dimension ref="A1:H30"/>
  <sheetViews>
    <sheetView workbookViewId="0">
      <selection activeCell="F6" sqref="F6"/>
    </sheetView>
  </sheetViews>
  <sheetFormatPr defaultRowHeight="13.8" x14ac:dyDescent="0.25"/>
  <cols>
    <col min="3" max="3" width="13.44140625" bestFit="1" customWidth="1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x14ac:dyDescent="0.25">
      <c r="A2" s="3" t="s">
        <v>6</v>
      </c>
      <c r="B2" s="3" t="s">
        <v>1</v>
      </c>
      <c r="C2" s="3" t="s">
        <v>7</v>
      </c>
      <c r="D2" s="4" t="s">
        <v>233</v>
      </c>
    </row>
    <row r="3" spans="1:8" x14ac:dyDescent="0.25">
      <c r="A3" s="3" t="s">
        <v>9</v>
      </c>
      <c r="B3" s="3" t="s">
        <v>1</v>
      </c>
      <c r="C3" s="3" t="s">
        <v>10</v>
      </c>
      <c r="D3" s="4" t="s">
        <v>234</v>
      </c>
    </row>
    <row r="4" spans="1:8" x14ac:dyDescent="0.25">
      <c r="A4" s="2" t="s">
        <v>12</v>
      </c>
      <c r="B4" s="5" t="s">
        <v>1</v>
      </c>
      <c r="C4" s="2" t="s">
        <v>13</v>
      </c>
      <c r="D4" s="6" t="s">
        <v>235</v>
      </c>
    </row>
    <row r="5" spans="1:8" x14ac:dyDescent="0.25">
      <c r="A5" s="2" t="s">
        <v>12</v>
      </c>
      <c r="B5" s="5" t="s">
        <v>15</v>
      </c>
      <c r="C5" s="2" t="s">
        <v>16</v>
      </c>
      <c r="D5" s="6" t="s">
        <v>235</v>
      </c>
    </row>
    <row r="6" spans="1:8" x14ac:dyDescent="0.25">
      <c r="A6" s="3" t="s">
        <v>9</v>
      </c>
      <c r="B6" s="3" t="s">
        <v>1</v>
      </c>
      <c r="C6" s="3" t="s">
        <v>17</v>
      </c>
      <c r="D6" s="4" t="s">
        <v>236</v>
      </c>
    </row>
    <row r="7" spans="1:8" x14ac:dyDescent="0.25">
      <c r="A7" s="2" t="s">
        <v>12</v>
      </c>
      <c r="B7" s="5" t="s">
        <v>1</v>
      </c>
      <c r="C7" s="2" t="s">
        <v>19</v>
      </c>
      <c r="D7" s="6" t="s">
        <v>237</v>
      </c>
    </row>
    <row r="8" spans="1:8" x14ac:dyDescent="0.25">
      <c r="A8" s="2" t="s">
        <v>12</v>
      </c>
      <c r="B8" s="5" t="s">
        <v>15</v>
      </c>
      <c r="C8" s="2" t="s">
        <v>21</v>
      </c>
      <c r="D8" s="6" t="s">
        <v>238</v>
      </c>
    </row>
    <row r="9" spans="1:8" x14ac:dyDescent="0.25">
      <c r="A9" s="3" t="s">
        <v>9</v>
      </c>
      <c r="B9" s="3" t="s">
        <v>1</v>
      </c>
      <c r="C9" s="3" t="s">
        <v>23</v>
      </c>
      <c r="D9" s="4" t="s">
        <v>239</v>
      </c>
    </row>
    <row r="10" spans="1:8" x14ac:dyDescent="0.25">
      <c r="A10" s="3" t="s">
        <v>6</v>
      </c>
      <c r="B10" s="3" t="s">
        <v>15</v>
      </c>
      <c r="C10" s="3" t="s">
        <v>25</v>
      </c>
      <c r="D10" s="4" t="s">
        <v>240</v>
      </c>
    </row>
    <row r="11" spans="1:8" x14ac:dyDescent="0.25">
      <c r="A11" s="3" t="s">
        <v>9</v>
      </c>
      <c r="B11" s="3" t="s">
        <v>15</v>
      </c>
      <c r="C11" s="3" t="s">
        <v>27</v>
      </c>
      <c r="D11" s="4" t="s">
        <v>241</v>
      </c>
    </row>
    <row r="12" spans="1:8" x14ac:dyDescent="0.25">
      <c r="A12" s="5" t="s">
        <v>12</v>
      </c>
      <c r="B12" s="5" t="s">
        <v>15</v>
      </c>
      <c r="C12" s="5" t="s">
        <v>29</v>
      </c>
      <c r="D12" s="7" t="s">
        <v>242</v>
      </c>
    </row>
    <row r="13" spans="1:8" x14ac:dyDescent="0.25">
      <c r="A13" s="5" t="s">
        <v>12</v>
      </c>
      <c r="B13" s="5" t="s">
        <v>15</v>
      </c>
      <c r="C13" s="5" t="s">
        <v>31</v>
      </c>
      <c r="D13" s="7" t="s">
        <v>243</v>
      </c>
    </row>
    <row r="14" spans="1:8" x14ac:dyDescent="0.25">
      <c r="A14" s="3" t="s">
        <v>9</v>
      </c>
      <c r="B14" s="3" t="s">
        <v>15</v>
      </c>
      <c r="C14" s="3" t="s">
        <v>33</v>
      </c>
      <c r="D14" s="4" t="s">
        <v>244</v>
      </c>
    </row>
    <row r="15" spans="1:8" x14ac:dyDescent="0.25">
      <c r="A15" s="3" t="s">
        <v>6</v>
      </c>
      <c r="B15" s="3" t="s">
        <v>1</v>
      </c>
      <c r="C15" s="3" t="s">
        <v>35</v>
      </c>
      <c r="D15" s="4" t="s">
        <v>245</v>
      </c>
    </row>
    <row r="16" spans="1:8" x14ac:dyDescent="0.25">
      <c r="A16" s="3" t="s">
        <v>6</v>
      </c>
      <c r="B16" s="3" t="s">
        <v>15</v>
      </c>
      <c r="C16" s="3" t="s">
        <v>37</v>
      </c>
      <c r="D16" s="4" t="s">
        <v>246</v>
      </c>
    </row>
    <row r="17" spans="1:4" x14ac:dyDescent="0.25">
      <c r="A17" s="3" t="s">
        <v>6</v>
      </c>
      <c r="B17" s="3" t="s">
        <v>15</v>
      </c>
      <c r="C17" s="3" t="s">
        <v>39</v>
      </c>
      <c r="D17" s="4" t="s">
        <v>247</v>
      </c>
    </row>
    <row r="18" spans="1:4" x14ac:dyDescent="0.25">
      <c r="A18" s="3" t="s">
        <v>9</v>
      </c>
      <c r="B18" s="3" t="s">
        <v>15</v>
      </c>
      <c r="C18" s="3" t="s">
        <v>41</v>
      </c>
      <c r="D18" s="3" t="s">
        <v>248</v>
      </c>
    </row>
    <row r="19" spans="1:4" x14ac:dyDescent="0.25">
      <c r="A19" s="2" t="s">
        <v>12</v>
      </c>
      <c r="B19" s="2" t="s">
        <v>15</v>
      </c>
      <c r="C19" s="2" t="s">
        <v>43</v>
      </c>
      <c r="D19" s="2" t="s">
        <v>249</v>
      </c>
    </row>
    <row r="20" spans="1:4" x14ac:dyDescent="0.25">
      <c r="A20" s="2" t="s">
        <v>12</v>
      </c>
      <c r="B20" s="2" t="s">
        <v>15</v>
      </c>
      <c r="C20" s="2" t="s">
        <v>45</v>
      </c>
      <c r="D20" s="2" t="s">
        <v>250</v>
      </c>
    </row>
    <row r="21" spans="1:4" x14ac:dyDescent="0.25">
      <c r="A21" s="2" t="s">
        <v>12</v>
      </c>
      <c r="B21" s="2" t="s">
        <v>15</v>
      </c>
      <c r="C21" s="2" t="s">
        <v>47</v>
      </c>
      <c r="D21" s="2" t="s">
        <v>251</v>
      </c>
    </row>
    <row r="22" spans="1:4" x14ac:dyDescent="0.25">
      <c r="A22" s="3" t="s">
        <v>9</v>
      </c>
      <c r="B22" s="3" t="s">
        <v>15</v>
      </c>
      <c r="C22" s="3" t="s">
        <v>49</v>
      </c>
      <c r="D22" s="3" t="s">
        <v>252</v>
      </c>
    </row>
    <row r="23" spans="1:4" x14ac:dyDescent="0.25">
      <c r="A23" s="2" t="s">
        <v>12</v>
      </c>
      <c r="B23" s="2" t="s">
        <v>15</v>
      </c>
      <c r="C23" s="2" t="s">
        <v>51</v>
      </c>
      <c r="D23" s="2" t="s">
        <v>253</v>
      </c>
    </row>
    <row r="24" spans="1:4" x14ac:dyDescent="0.25">
      <c r="A24" s="2" t="s">
        <v>12</v>
      </c>
      <c r="B24" s="2" t="s">
        <v>15</v>
      </c>
      <c r="C24" s="2" t="s">
        <v>53</v>
      </c>
      <c r="D24" s="2" t="s">
        <v>254</v>
      </c>
    </row>
    <row r="25" spans="1:4" x14ac:dyDescent="0.25">
      <c r="A25" s="3" t="s">
        <v>9</v>
      </c>
      <c r="B25" s="3" t="s">
        <v>15</v>
      </c>
      <c r="C25" s="3" t="s">
        <v>55</v>
      </c>
      <c r="D25" s="3" t="s">
        <v>255</v>
      </c>
    </row>
    <row r="26" spans="1:4" x14ac:dyDescent="0.25">
      <c r="A26" s="3" t="s">
        <v>9</v>
      </c>
      <c r="B26" s="3" t="s">
        <v>15</v>
      </c>
      <c r="C26" s="3" t="s">
        <v>57</v>
      </c>
      <c r="D26" s="3" t="s">
        <v>256</v>
      </c>
    </row>
    <row r="27" spans="1:4" x14ac:dyDescent="0.25">
      <c r="A27" s="3" t="s">
        <v>6</v>
      </c>
      <c r="B27" s="3" t="s">
        <v>1</v>
      </c>
      <c r="C27" s="3" t="s">
        <v>59</v>
      </c>
      <c r="D27" s="3" t="s">
        <v>257</v>
      </c>
    </row>
    <row r="28" spans="1:4" x14ac:dyDescent="0.25">
      <c r="A28" s="3" t="s">
        <v>6</v>
      </c>
      <c r="B28" s="3" t="s">
        <v>517</v>
      </c>
      <c r="C28" s="3" t="s">
        <v>61</v>
      </c>
      <c r="D28" s="3" t="s">
        <v>258</v>
      </c>
    </row>
    <row r="29" spans="1:4" x14ac:dyDescent="0.25">
      <c r="A29" s="3" t="s">
        <v>6</v>
      </c>
      <c r="B29" s="3" t="s">
        <v>15</v>
      </c>
      <c r="C29" s="3" t="s">
        <v>63</v>
      </c>
      <c r="D29" s="3" t="s">
        <v>259</v>
      </c>
    </row>
    <row r="30" spans="1:4" x14ac:dyDescent="0.25">
      <c r="A30" s="3" t="s">
        <v>6</v>
      </c>
      <c r="B30" s="3" t="s">
        <v>517</v>
      </c>
      <c r="C30" s="3" t="s">
        <v>65</v>
      </c>
      <c r="D30" s="3" t="s">
        <v>260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2916C-DA9E-4498-BAB0-614FB90A7254}">
  <dimension ref="A1:H66"/>
  <sheetViews>
    <sheetView workbookViewId="0">
      <selection activeCell="G5" sqref="G5"/>
    </sheetView>
  </sheetViews>
  <sheetFormatPr defaultRowHeight="13.8" x14ac:dyDescent="0.25"/>
  <cols>
    <col min="3" max="3" width="20" bestFit="1" customWidth="1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x14ac:dyDescent="0.25">
      <c r="A2" s="3" t="s">
        <v>6</v>
      </c>
      <c r="B2" s="3" t="s">
        <v>67</v>
      </c>
      <c r="C2" s="3" t="s">
        <v>68</v>
      </c>
      <c r="D2" s="3" t="s">
        <v>261</v>
      </c>
    </row>
    <row r="3" spans="1:8" x14ac:dyDescent="0.25">
      <c r="A3" s="3" t="s">
        <v>9</v>
      </c>
      <c r="B3" s="3" t="s">
        <v>67</v>
      </c>
      <c r="C3" s="3" t="s">
        <v>262</v>
      </c>
      <c r="D3" s="3" t="s">
        <v>263</v>
      </c>
    </row>
    <row r="4" spans="1:8" x14ac:dyDescent="0.25">
      <c r="A4" s="5" t="s">
        <v>12</v>
      </c>
      <c r="B4" s="5" t="s">
        <v>67</v>
      </c>
      <c r="C4" s="5" t="s">
        <v>72</v>
      </c>
      <c r="D4" s="5" t="s">
        <v>264</v>
      </c>
    </row>
    <row r="5" spans="1:8" x14ac:dyDescent="0.25">
      <c r="A5" s="5" t="s">
        <v>74</v>
      </c>
      <c r="B5" s="5" t="s">
        <v>67</v>
      </c>
      <c r="C5" s="5" t="s">
        <v>75</v>
      </c>
      <c r="D5" s="5" t="s">
        <v>265</v>
      </c>
    </row>
    <row r="6" spans="1:8" x14ac:dyDescent="0.25">
      <c r="A6" s="5" t="s">
        <v>74</v>
      </c>
      <c r="B6" s="5" t="s">
        <v>67</v>
      </c>
      <c r="C6" s="5" t="s">
        <v>77</v>
      </c>
      <c r="D6" s="5" t="s">
        <v>266</v>
      </c>
    </row>
    <row r="7" spans="1:8" x14ac:dyDescent="0.25">
      <c r="A7" s="5" t="s">
        <v>12</v>
      </c>
      <c r="B7" s="5" t="s">
        <v>67</v>
      </c>
      <c r="C7" s="5" t="s">
        <v>85</v>
      </c>
      <c r="D7" s="5" t="s">
        <v>267</v>
      </c>
    </row>
    <row r="8" spans="1:8" x14ac:dyDescent="0.25">
      <c r="A8" s="5" t="s">
        <v>74</v>
      </c>
      <c r="B8" s="5" t="s">
        <v>67</v>
      </c>
      <c r="C8" s="5" t="s">
        <v>87</v>
      </c>
      <c r="D8" s="5" t="s">
        <v>268</v>
      </c>
    </row>
    <row r="9" spans="1:8" x14ac:dyDescent="0.25">
      <c r="A9" s="5" t="s">
        <v>74</v>
      </c>
      <c r="B9" s="5" t="s">
        <v>67</v>
      </c>
      <c r="C9" s="5" t="s">
        <v>269</v>
      </c>
      <c r="D9" s="5" t="s">
        <v>270</v>
      </c>
    </row>
    <row r="10" spans="1:8" x14ac:dyDescent="0.25">
      <c r="A10" s="5" t="s">
        <v>74</v>
      </c>
      <c r="B10" s="5" t="s">
        <v>67</v>
      </c>
      <c r="C10" s="5" t="s">
        <v>271</v>
      </c>
      <c r="D10" s="5" t="s">
        <v>272</v>
      </c>
    </row>
    <row r="11" spans="1:8" x14ac:dyDescent="0.25">
      <c r="A11" s="5" t="s">
        <v>12</v>
      </c>
      <c r="B11" s="5" t="s">
        <v>67</v>
      </c>
      <c r="C11" s="5" t="s">
        <v>79</v>
      </c>
      <c r="D11" s="5" t="s">
        <v>273</v>
      </c>
    </row>
    <row r="12" spans="1:8" x14ac:dyDescent="0.25">
      <c r="A12" s="5" t="s">
        <v>12</v>
      </c>
      <c r="B12" s="5" t="s">
        <v>67</v>
      </c>
      <c r="C12" s="5" t="s">
        <v>81</v>
      </c>
      <c r="D12" s="5" t="s">
        <v>274</v>
      </c>
    </row>
    <row r="13" spans="1:8" x14ac:dyDescent="0.25">
      <c r="A13" s="5" t="s">
        <v>12</v>
      </c>
      <c r="B13" s="5" t="s">
        <v>67</v>
      </c>
      <c r="C13" s="5" t="s">
        <v>83</v>
      </c>
      <c r="D13" s="5" t="s">
        <v>275</v>
      </c>
    </row>
    <row r="14" spans="1:8" x14ac:dyDescent="0.25">
      <c r="A14" s="5" t="s">
        <v>12</v>
      </c>
      <c r="B14" s="5" t="s">
        <v>67</v>
      </c>
      <c r="C14" s="5" t="s">
        <v>276</v>
      </c>
      <c r="D14" s="5" t="s">
        <v>277</v>
      </c>
    </row>
    <row r="15" spans="1:8" x14ac:dyDescent="0.25">
      <c r="A15" s="5" t="s">
        <v>12</v>
      </c>
      <c r="B15" s="5" t="s">
        <v>67</v>
      </c>
      <c r="C15" s="5" t="s">
        <v>278</v>
      </c>
      <c r="D15" s="5" t="s">
        <v>279</v>
      </c>
    </row>
    <row r="16" spans="1:8" x14ac:dyDescent="0.25">
      <c r="A16" s="3" t="s">
        <v>9</v>
      </c>
      <c r="B16" s="3" t="s">
        <v>280</v>
      </c>
      <c r="C16" s="3" t="s">
        <v>281</v>
      </c>
      <c r="D16" s="3" t="s">
        <v>282</v>
      </c>
    </row>
    <row r="17" spans="1:4" x14ac:dyDescent="0.25">
      <c r="A17" s="5" t="s">
        <v>12</v>
      </c>
      <c r="B17" s="5" t="s">
        <v>280</v>
      </c>
      <c r="C17" s="5" t="s">
        <v>283</v>
      </c>
      <c r="D17" s="5" t="s">
        <v>284</v>
      </c>
    </row>
    <row r="18" spans="1:4" x14ac:dyDescent="0.25">
      <c r="A18" s="5" t="s">
        <v>12</v>
      </c>
      <c r="B18" s="5" t="s">
        <v>280</v>
      </c>
      <c r="C18" s="5" t="s">
        <v>285</v>
      </c>
      <c r="D18" s="5" t="s">
        <v>286</v>
      </c>
    </row>
    <row r="19" spans="1:4" x14ac:dyDescent="0.25">
      <c r="A19" s="3" t="s">
        <v>9</v>
      </c>
      <c r="B19" s="3" t="s">
        <v>280</v>
      </c>
      <c r="C19" s="3" t="s">
        <v>287</v>
      </c>
      <c r="D19" s="3" t="s">
        <v>288</v>
      </c>
    </row>
    <row r="20" spans="1:4" x14ac:dyDescent="0.25">
      <c r="A20" s="5" t="s">
        <v>12</v>
      </c>
      <c r="B20" s="5" t="s">
        <v>280</v>
      </c>
      <c r="C20" s="5" t="s">
        <v>289</v>
      </c>
      <c r="D20" s="5" t="s">
        <v>290</v>
      </c>
    </row>
    <row r="21" spans="1:4" x14ac:dyDescent="0.25">
      <c r="A21" s="5" t="s">
        <v>12</v>
      </c>
      <c r="B21" s="5" t="s">
        <v>280</v>
      </c>
      <c r="C21" s="5" t="s">
        <v>291</v>
      </c>
      <c r="D21" s="5" t="s">
        <v>292</v>
      </c>
    </row>
    <row r="22" spans="1:4" x14ac:dyDescent="0.25">
      <c r="A22" s="5" t="s">
        <v>12</v>
      </c>
      <c r="B22" s="5" t="s">
        <v>280</v>
      </c>
      <c r="C22" s="5" t="s">
        <v>293</v>
      </c>
      <c r="D22" s="5" t="s">
        <v>294</v>
      </c>
    </row>
    <row r="23" spans="1:4" x14ac:dyDescent="0.25">
      <c r="A23" s="5" t="s">
        <v>12</v>
      </c>
      <c r="B23" s="5" t="s">
        <v>280</v>
      </c>
      <c r="C23" s="5" t="s">
        <v>295</v>
      </c>
      <c r="D23" s="5" t="s">
        <v>296</v>
      </c>
    </row>
    <row r="24" spans="1:4" x14ac:dyDescent="0.25">
      <c r="A24" s="5" t="s">
        <v>12</v>
      </c>
      <c r="B24" s="5" t="s">
        <v>280</v>
      </c>
      <c r="C24" s="5" t="s">
        <v>297</v>
      </c>
      <c r="D24" s="5" t="s">
        <v>298</v>
      </c>
    </row>
    <row r="25" spans="1:4" x14ac:dyDescent="0.25">
      <c r="A25" s="5" t="s">
        <v>12</v>
      </c>
      <c r="B25" s="5" t="s">
        <v>280</v>
      </c>
      <c r="C25" s="5" t="s">
        <v>299</v>
      </c>
      <c r="D25" s="5" t="s">
        <v>300</v>
      </c>
    </row>
    <row r="26" spans="1:4" x14ac:dyDescent="0.25">
      <c r="A26" s="5" t="s">
        <v>12</v>
      </c>
      <c r="B26" s="5" t="s">
        <v>280</v>
      </c>
      <c r="C26" s="5" t="s">
        <v>301</v>
      </c>
      <c r="D26" s="5" t="s">
        <v>302</v>
      </c>
    </row>
    <row r="27" spans="1:4" x14ac:dyDescent="0.25">
      <c r="A27" s="5" t="s">
        <v>12</v>
      </c>
      <c r="B27" s="5" t="s">
        <v>280</v>
      </c>
      <c r="C27" s="5" t="s">
        <v>303</v>
      </c>
      <c r="D27" s="5" t="s">
        <v>304</v>
      </c>
    </row>
    <row r="28" spans="1:4" x14ac:dyDescent="0.25">
      <c r="A28" s="5" t="s">
        <v>12</v>
      </c>
      <c r="B28" s="5" t="s">
        <v>280</v>
      </c>
      <c r="C28" s="5" t="s">
        <v>305</v>
      </c>
      <c r="D28" s="5" t="s">
        <v>306</v>
      </c>
    </row>
    <row r="29" spans="1:4" x14ac:dyDescent="0.25">
      <c r="A29" s="3" t="s">
        <v>9</v>
      </c>
      <c r="B29" s="3" t="s">
        <v>280</v>
      </c>
      <c r="C29" s="3" t="s">
        <v>307</v>
      </c>
      <c r="D29" s="3" t="s">
        <v>308</v>
      </c>
    </row>
    <row r="30" spans="1:4" x14ac:dyDescent="0.25">
      <c r="A30" s="5" t="s">
        <v>12</v>
      </c>
      <c r="B30" s="5" t="s">
        <v>280</v>
      </c>
      <c r="C30" s="5" t="s">
        <v>309</v>
      </c>
      <c r="D30" s="5" t="s">
        <v>310</v>
      </c>
    </row>
    <row r="31" spans="1:4" x14ac:dyDescent="0.25">
      <c r="A31" s="5" t="s">
        <v>12</v>
      </c>
      <c r="B31" s="5" t="s">
        <v>280</v>
      </c>
      <c r="C31" s="5" t="s">
        <v>311</v>
      </c>
      <c r="D31" s="5" t="s">
        <v>312</v>
      </c>
    </row>
    <row r="32" spans="1:4" x14ac:dyDescent="0.25">
      <c r="A32" s="5" t="s">
        <v>12</v>
      </c>
      <c r="B32" s="5" t="s">
        <v>280</v>
      </c>
      <c r="C32" s="5" t="s">
        <v>313</v>
      </c>
      <c r="D32" s="5" t="s">
        <v>314</v>
      </c>
    </row>
    <row r="33" spans="1:4" x14ac:dyDescent="0.25">
      <c r="A33" s="5" t="s">
        <v>12</v>
      </c>
      <c r="B33" s="5" t="s">
        <v>280</v>
      </c>
      <c r="C33" s="5" t="s">
        <v>315</v>
      </c>
      <c r="D33" s="5" t="s">
        <v>316</v>
      </c>
    </row>
    <row r="34" spans="1:4" x14ac:dyDescent="0.25">
      <c r="A34" s="5" t="s">
        <v>12</v>
      </c>
      <c r="B34" s="5" t="s">
        <v>280</v>
      </c>
      <c r="C34" s="5" t="s">
        <v>317</v>
      </c>
      <c r="D34" s="5" t="s">
        <v>318</v>
      </c>
    </row>
    <row r="35" spans="1:4" x14ac:dyDescent="0.25">
      <c r="A35" s="5" t="s">
        <v>12</v>
      </c>
      <c r="B35" s="5" t="s">
        <v>280</v>
      </c>
      <c r="C35" s="5" t="s">
        <v>101</v>
      </c>
      <c r="D35" s="5" t="s">
        <v>319</v>
      </c>
    </row>
    <row r="36" spans="1:4" x14ac:dyDescent="0.25">
      <c r="A36" s="3" t="s">
        <v>9</v>
      </c>
      <c r="B36" s="3" t="s">
        <v>280</v>
      </c>
      <c r="C36" s="3" t="s">
        <v>320</v>
      </c>
      <c r="D36" s="3" t="s">
        <v>321</v>
      </c>
    </row>
    <row r="37" spans="1:4" x14ac:dyDescent="0.25">
      <c r="A37" s="3" t="s">
        <v>9</v>
      </c>
      <c r="B37" s="3" t="s">
        <v>280</v>
      </c>
      <c r="C37" s="3" t="s">
        <v>322</v>
      </c>
      <c r="D37" s="3" t="s">
        <v>323</v>
      </c>
    </row>
    <row r="38" spans="1:4" x14ac:dyDescent="0.25">
      <c r="A38" s="5" t="s">
        <v>12</v>
      </c>
      <c r="B38" s="5" t="s">
        <v>280</v>
      </c>
      <c r="C38" s="5" t="s">
        <v>324</v>
      </c>
      <c r="D38" s="5" t="s">
        <v>325</v>
      </c>
    </row>
    <row r="39" spans="1:4" x14ac:dyDescent="0.25">
      <c r="A39" s="5" t="s">
        <v>12</v>
      </c>
      <c r="B39" s="5" t="s">
        <v>280</v>
      </c>
      <c r="C39" s="5" t="s">
        <v>326</v>
      </c>
      <c r="D39" s="5" t="s">
        <v>327</v>
      </c>
    </row>
    <row r="40" spans="1:4" x14ac:dyDescent="0.25">
      <c r="A40" s="3" t="s">
        <v>9</v>
      </c>
      <c r="B40" s="3" t="s">
        <v>280</v>
      </c>
      <c r="C40" s="3" t="s">
        <v>328</v>
      </c>
      <c r="D40" s="3" t="s">
        <v>329</v>
      </c>
    </row>
    <row r="41" spans="1:4" x14ac:dyDescent="0.25">
      <c r="A41" s="3" t="s">
        <v>9</v>
      </c>
      <c r="B41" s="3" t="s">
        <v>280</v>
      </c>
      <c r="C41" s="3" t="s">
        <v>330</v>
      </c>
      <c r="D41" s="3" t="s">
        <v>331</v>
      </c>
    </row>
    <row r="42" spans="1:4" x14ac:dyDescent="0.25">
      <c r="A42" s="5" t="s">
        <v>12</v>
      </c>
      <c r="B42" s="5" t="s">
        <v>280</v>
      </c>
      <c r="C42" s="5" t="s">
        <v>332</v>
      </c>
      <c r="D42" s="5" t="s">
        <v>333</v>
      </c>
    </row>
    <row r="43" spans="1:4" x14ac:dyDescent="0.25">
      <c r="A43" s="5" t="s">
        <v>12</v>
      </c>
      <c r="B43" s="5" t="s">
        <v>280</v>
      </c>
      <c r="C43" s="5" t="s">
        <v>334</v>
      </c>
      <c r="D43" s="5" t="s">
        <v>335</v>
      </c>
    </row>
    <row r="44" spans="1:4" x14ac:dyDescent="0.25">
      <c r="A44" s="3" t="s">
        <v>9</v>
      </c>
      <c r="B44" s="3" t="s">
        <v>280</v>
      </c>
      <c r="C44" s="3" t="s">
        <v>107</v>
      </c>
      <c r="D44" s="3" t="s">
        <v>336</v>
      </c>
    </row>
    <row r="45" spans="1:4" x14ac:dyDescent="0.25">
      <c r="A45" s="3" t="s">
        <v>9</v>
      </c>
      <c r="B45" s="3" t="s">
        <v>280</v>
      </c>
      <c r="C45" s="3" t="s">
        <v>337</v>
      </c>
      <c r="D45" s="3" t="s">
        <v>338</v>
      </c>
    </row>
    <row r="46" spans="1:4" x14ac:dyDescent="0.25">
      <c r="A46" s="3" t="s">
        <v>6</v>
      </c>
      <c r="B46" s="3" t="s">
        <v>111</v>
      </c>
      <c r="C46" s="3" t="s">
        <v>112</v>
      </c>
      <c r="D46" s="3" t="s">
        <v>339</v>
      </c>
    </row>
    <row r="47" spans="1:4" x14ac:dyDescent="0.25">
      <c r="A47" s="3" t="s">
        <v>9</v>
      </c>
      <c r="B47" s="3" t="s">
        <v>111</v>
      </c>
      <c r="C47" s="3" t="s">
        <v>114</v>
      </c>
      <c r="D47" s="3" t="s">
        <v>340</v>
      </c>
    </row>
    <row r="48" spans="1:4" x14ac:dyDescent="0.25">
      <c r="A48" s="5" t="s">
        <v>12</v>
      </c>
      <c r="B48" s="5" t="s">
        <v>341</v>
      </c>
      <c r="C48" s="5" t="s">
        <v>342</v>
      </c>
      <c r="D48" s="5" t="s">
        <v>343</v>
      </c>
    </row>
    <row r="49" spans="1:4" x14ac:dyDescent="0.25">
      <c r="A49" s="5" t="s">
        <v>12</v>
      </c>
      <c r="B49" s="5" t="s">
        <v>341</v>
      </c>
      <c r="C49" s="5" t="s">
        <v>344</v>
      </c>
      <c r="D49" s="5" t="s">
        <v>345</v>
      </c>
    </row>
    <row r="50" spans="1:4" x14ac:dyDescent="0.25">
      <c r="A50" s="5" t="s">
        <v>74</v>
      </c>
      <c r="B50" s="5" t="s">
        <v>341</v>
      </c>
      <c r="C50" s="5" t="s">
        <v>346</v>
      </c>
      <c r="D50" s="5" t="s">
        <v>347</v>
      </c>
    </row>
    <row r="51" spans="1:4" x14ac:dyDescent="0.25">
      <c r="A51" s="5" t="s">
        <v>74</v>
      </c>
      <c r="B51" s="5" t="s">
        <v>341</v>
      </c>
      <c r="C51" s="5" t="s">
        <v>348</v>
      </c>
      <c r="D51" s="5" t="s">
        <v>349</v>
      </c>
    </row>
    <row r="52" spans="1:4" x14ac:dyDescent="0.25">
      <c r="A52" s="3" t="s">
        <v>9</v>
      </c>
      <c r="B52" s="3" t="s">
        <v>341</v>
      </c>
      <c r="C52" s="3" t="s">
        <v>350</v>
      </c>
      <c r="D52" s="3" t="s">
        <v>351</v>
      </c>
    </row>
    <row r="53" spans="1:4" x14ac:dyDescent="0.25">
      <c r="A53" s="5" t="s">
        <v>12</v>
      </c>
      <c r="B53" s="5" t="s">
        <v>341</v>
      </c>
      <c r="C53" s="5" t="s">
        <v>352</v>
      </c>
      <c r="D53" s="5" t="s">
        <v>353</v>
      </c>
    </row>
    <row r="54" spans="1:4" x14ac:dyDescent="0.25">
      <c r="A54" s="3" t="s">
        <v>9</v>
      </c>
      <c r="B54" s="3" t="s">
        <v>341</v>
      </c>
      <c r="C54" s="3" t="s">
        <v>354</v>
      </c>
      <c r="D54" s="3" t="s">
        <v>355</v>
      </c>
    </row>
    <row r="55" spans="1:4" x14ac:dyDescent="0.25">
      <c r="A55" s="5" t="s">
        <v>12</v>
      </c>
      <c r="B55" s="5" t="s">
        <v>341</v>
      </c>
      <c r="C55" s="5" t="s">
        <v>356</v>
      </c>
      <c r="D55" s="5" t="s">
        <v>357</v>
      </c>
    </row>
    <row r="56" spans="1:4" x14ac:dyDescent="0.25">
      <c r="A56" s="5" t="s">
        <v>12</v>
      </c>
      <c r="B56" s="5" t="s">
        <v>341</v>
      </c>
      <c r="C56" s="5" t="s">
        <v>358</v>
      </c>
      <c r="D56" s="5" t="s">
        <v>359</v>
      </c>
    </row>
    <row r="57" spans="1:4" x14ac:dyDescent="0.25">
      <c r="A57" s="3" t="s">
        <v>9</v>
      </c>
      <c r="B57" s="3" t="s">
        <v>341</v>
      </c>
      <c r="C57" s="3" t="s">
        <v>122</v>
      </c>
      <c r="D57" s="3" t="s">
        <v>360</v>
      </c>
    </row>
    <row r="58" spans="1:4" x14ac:dyDescent="0.25">
      <c r="A58" s="5" t="s">
        <v>12</v>
      </c>
      <c r="B58" s="5" t="s">
        <v>341</v>
      </c>
      <c r="C58" s="5" t="s">
        <v>361</v>
      </c>
      <c r="D58" s="5" t="s">
        <v>362</v>
      </c>
    </row>
    <row r="59" spans="1:4" x14ac:dyDescent="0.25">
      <c r="A59" s="5" t="s">
        <v>12</v>
      </c>
      <c r="B59" s="5" t="s">
        <v>341</v>
      </c>
      <c r="C59" s="5" t="s">
        <v>363</v>
      </c>
      <c r="D59" s="5" t="s">
        <v>364</v>
      </c>
    </row>
    <row r="60" spans="1:4" x14ac:dyDescent="0.25">
      <c r="A60" s="5" t="s">
        <v>12</v>
      </c>
      <c r="B60" s="5" t="s">
        <v>341</v>
      </c>
      <c r="C60" s="5" t="s">
        <v>365</v>
      </c>
      <c r="D60" s="5" t="s">
        <v>366</v>
      </c>
    </row>
    <row r="61" spans="1:4" x14ac:dyDescent="0.25">
      <c r="A61" s="5" t="s">
        <v>74</v>
      </c>
      <c r="B61" s="5" t="s">
        <v>341</v>
      </c>
      <c r="C61" s="5" t="s">
        <v>367</v>
      </c>
      <c r="D61" s="5" t="s">
        <v>368</v>
      </c>
    </row>
    <row r="62" spans="1:4" x14ac:dyDescent="0.25">
      <c r="A62" s="5" t="s">
        <v>74</v>
      </c>
      <c r="B62" s="5" t="s">
        <v>341</v>
      </c>
      <c r="C62" s="5" t="s">
        <v>369</v>
      </c>
      <c r="D62" s="5" t="s">
        <v>370</v>
      </c>
    </row>
    <row r="63" spans="1:4" x14ac:dyDescent="0.25">
      <c r="A63" s="5" t="s">
        <v>12</v>
      </c>
      <c r="B63" s="5" t="s">
        <v>341</v>
      </c>
      <c r="C63" s="5" t="s">
        <v>371</v>
      </c>
      <c r="D63" s="5" t="s">
        <v>372</v>
      </c>
    </row>
    <row r="64" spans="1:4" x14ac:dyDescent="0.25">
      <c r="A64" s="5" t="s">
        <v>12</v>
      </c>
      <c r="B64" s="5" t="s">
        <v>341</v>
      </c>
      <c r="C64" s="5" t="s">
        <v>373</v>
      </c>
      <c r="D64" s="5" t="s">
        <v>374</v>
      </c>
    </row>
    <row r="65" spans="1:4" x14ac:dyDescent="0.25">
      <c r="A65" s="3" t="s">
        <v>9</v>
      </c>
      <c r="B65" s="3" t="s">
        <v>341</v>
      </c>
      <c r="C65" s="3" t="s">
        <v>126</v>
      </c>
      <c r="D65" s="3" t="s">
        <v>375</v>
      </c>
    </row>
    <row r="66" spans="1:4" x14ac:dyDescent="0.25">
      <c r="A66" s="3" t="s">
        <v>6</v>
      </c>
      <c r="B66" s="3" t="s">
        <v>111</v>
      </c>
      <c r="C66" s="3" t="s">
        <v>128</v>
      </c>
      <c r="D66" s="3" t="s">
        <v>376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B54D-9473-49DD-B688-4381D47846A2}">
  <dimension ref="A1:H66"/>
  <sheetViews>
    <sheetView workbookViewId="0">
      <selection activeCell="C14" sqref="C14"/>
    </sheetView>
  </sheetViews>
  <sheetFormatPr defaultRowHeight="13.8" x14ac:dyDescent="0.25"/>
  <cols>
    <col min="3" max="3" width="20" bestFit="1" customWidth="1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x14ac:dyDescent="0.25">
      <c r="A2" s="3" t="s">
        <v>6</v>
      </c>
      <c r="B2" s="3" t="s">
        <v>377</v>
      </c>
      <c r="C2" s="3" t="s">
        <v>68</v>
      </c>
      <c r="D2" s="3" t="s">
        <v>378</v>
      </c>
    </row>
    <row r="3" spans="1:8" x14ac:dyDescent="0.25">
      <c r="A3" s="3" t="s">
        <v>9</v>
      </c>
      <c r="B3" s="3" t="s">
        <v>377</v>
      </c>
      <c r="C3" s="3" t="s">
        <v>262</v>
      </c>
      <c r="D3" s="3" t="s">
        <v>379</v>
      </c>
    </row>
    <row r="4" spans="1:8" x14ac:dyDescent="0.25">
      <c r="A4" s="5" t="s">
        <v>12</v>
      </c>
      <c r="B4" s="5" t="s">
        <v>377</v>
      </c>
      <c r="C4" s="5" t="s">
        <v>72</v>
      </c>
      <c r="D4" s="5" t="s">
        <v>380</v>
      </c>
    </row>
    <row r="5" spans="1:8" x14ac:dyDescent="0.25">
      <c r="A5" s="5" t="s">
        <v>74</v>
      </c>
      <c r="B5" s="5" t="s">
        <v>377</v>
      </c>
      <c r="C5" s="5" t="s">
        <v>75</v>
      </c>
      <c r="D5" s="5" t="s">
        <v>381</v>
      </c>
    </row>
    <row r="6" spans="1:8" x14ac:dyDescent="0.25">
      <c r="A6" s="5" t="s">
        <v>74</v>
      </c>
      <c r="B6" s="5" t="s">
        <v>377</v>
      </c>
      <c r="C6" s="5" t="s">
        <v>77</v>
      </c>
      <c r="D6" s="5" t="s">
        <v>382</v>
      </c>
    </row>
    <row r="7" spans="1:8" x14ac:dyDescent="0.25">
      <c r="A7" s="5" t="s">
        <v>12</v>
      </c>
      <c r="B7" s="5" t="s">
        <v>377</v>
      </c>
      <c r="C7" s="5" t="s">
        <v>85</v>
      </c>
      <c r="D7" s="5" t="s">
        <v>383</v>
      </c>
    </row>
    <row r="8" spans="1:8" x14ac:dyDescent="0.25">
      <c r="A8" s="5" t="s">
        <v>74</v>
      </c>
      <c r="B8" s="5" t="s">
        <v>377</v>
      </c>
      <c r="C8" s="5" t="s">
        <v>87</v>
      </c>
      <c r="D8" s="5" t="s">
        <v>384</v>
      </c>
    </row>
    <row r="9" spans="1:8" x14ac:dyDescent="0.25">
      <c r="A9" s="5" t="s">
        <v>74</v>
      </c>
      <c r="B9" s="5" t="s">
        <v>377</v>
      </c>
      <c r="C9" s="5" t="s">
        <v>269</v>
      </c>
      <c r="D9" s="5" t="s">
        <v>385</v>
      </c>
    </row>
    <row r="10" spans="1:8" x14ac:dyDescent="0.25">
      <c r="A10" s="5" t="s">
        <v>74</v>
      </c>
      <c r="B10" s="5" t="s">
        <v>377</v>
      </c>
      <c r="C10" s="5" t="s">
        <v>271</v>
      </c>
      <c r="D10" s="5" t="s">
        <v>386</v>
      </c>
    </row>
    <row r="11" spans="1:8" x14ac:dyDescent="0.25">
      <c r="A11" s="5" t="s">
        <v>12</v>
      </c>
      <c r="B11" s="5" t="s">
        <v>377</v>
      </c>
      <c r="C11" s="5" t="s">
        <v>79</v>
      </c>
      <c r="D11" s="5" t="s">
        <v>387</v>
      </c>
    </row>
    <row r="12" spans="1:8" x14ac:dyDescent="0.25">
      <c r="A12" s="5" t="s">
        <v>12</v>
      </c>
      <c r="B12" s="5" t="s">
        <v>377</v>
      </c>
      <c r="C12" s="5" t="s">
        <v>81</v>
      </c>
      <c r="D12" s="5" t="s">
        <v>388</v>
      </c>
    </row>
    <row r="13" spans="1:8" x14ac:dyDescent="0.25">
      <c r="A13" s="5" t="s">
        <v>12</v>
      </c>
      <c r="B13" s="5" t="s">
        <v>377</v>
      </c>
      <c r="C13" s="5" t="s">
        <v>83</v>
      </c>
      <c r="D13" s="5" t="s">
        <v>389</v>
      </c>
    </row>
    <row r="14" spans="1:8" x14ac:dyDescent="0.25">
      <c r="A14" s="5" t="s">
        <v>12</v>
      </c>
      <c r="B14" s="5" t="s">
        <v>377</v>
      </c>
      <c r="C14" s="5" t="s">
        <v>276</v>
      </c>
      <c r="D14" s="5" t="s">
        <v>390</v>
      </c>
    </row>
    <row r="15" spans="1:8" x14ac:dyDescent="0.25">
      <c r="A15" s="5" t="s">
        <v>12</v>
      </c>
      <c r="B15" s="5" t="s">
        <v>377</v>
      </c>
      <c r="C15" s="5" t="s">
        <v>278</v>
      </c>
      <c r="D15" s="5" t="s">
        <v>391</v>
      </c>
    </row>
    <row r="16" spans="1:8" x14ac:dyDescent="0.25">
      <c r="A16" s="3" t="s">
        <v>9</v>
      </c>
      <c r="B16" s="3" t="s">
        <v>377</v>
      </c>
      <c r="C16" s="3" t="s">
        <v>281</v>
      </c>
      <c r="D16" s="3" t="s">
        <v>392</v>
      </c>
    </row>
    <row r="17" spans="1:4" x14ac:dyDescent="0.25">
      <c r="A17" s="5" t="s">
        <v>12</v>
      </c>
      <c r="B17" s="5" t="s">
        <v>377</v>
      </c>
      <c r="C17" s="5" t="s">
        <v>283</v>
      </c>
      <c r="D17" s="5" t="s">
        <v>393</v>
      </c>
    </row>
    <row r="18" spans="1:4" x14ac:dyDescent="0.25">
      <c r="A18" s="5" t="s">
        <v>12</v>
      </c>
      <c r="B18" s="5" t="s">
        <v>377</v>
      </c>
      <c r="C18" s="5" t="s">
        <v>285</v>
      </c>
      <c r="D18" s="5" t="s">
        <v>394</v>
      </c>
    </row>
    <row r="19" spans="1:4" x14ac:dyDescent="0.25">
      <c r="A19" s="3" t="s">
        <v>9</v>
      </c>
      <c r="B19" s="3" t="s">
        <v>377</v>
      </c>
      <c r="C19" s="3" t="s">
        <v>287</v>
      </c>
      <c r="D19" s="3" t="s">
        <v>395</v>
      </c>
    </row>
    <row r="20" spans="1:4" x14ac:dyDescent="0.25">
      <c r="A20" s="5" t="s">
        <v>12</v>
      </c>
      <c r="B20" s="5" t="s">
        <v>377</v>
      </c>
      <c r="C20" s="5" t="s">
        <v>289</v>
      </c>
      <c r="D20" s="5" t="s">
        <v>396</v>
      </c>
    </row>
    <row r="21" spans="1:4" x14ac:dyDescent="0.25">
      <c r="A21" s="5" t="s">
        <v>12</v>
      </c>
      <c r="B21" s="5" t="s">
        <v>377</v>
      </c>
      <c r="C21" s="5" t="s">
        <v>291</v>
      </c>
      <c r="D21" s="5" t="s">
        <v>397</v>
      </c>
    </row>
    <row r="22" spans="1:4" x14ac:dyDescent="0.25">
      <c r="A22" s="5" t="s">
        <v>12</v>
      </c>
      <c r="B22" s="5" t="s">
        <v>377</v>
      </c>
      <c r="C22" s="5" t="s">
        <v>293</v>
      </c>
      <c r="D22" s="5" t="s">
        <v>398</v>
      </c>
    </row>
    <row r="23" spans="1:4" x14ac:dyDescent="0.25">
      <c r="A23" s="5" t="s">
        <v>12</v>
      </c>
      <c r="B23" s="5" t="s">
        <v>377</v>
      </c>
      <c r="C23" s="5" t="s">
        <v>295</v>
      </c>
      <c r="D23" s="5" t="s">
        <v>399</v>
      </c>
    </row>
    <row r="24" spans="1:4" x14ac:dyDescent="0.25">
      <c r="A24" s="5" t="s">
        <v>12</v>
      </c>
      <c r="B24" s="5" t="s">
        <v>377</v>
      </c>
      <c r="C24" s="5" t="s">
        <v>297</v>
      </c>
      <c r="D24" s="5" t="s">
        <v>400</v>
      </c>
    </row>
    <row r="25" spans="1:4" x14ac:dyDescent="0.25">
      <c r="A25" s="5" t="s">
        <v>12</v>
      </c>
      <c r="B25" s="5" t="s">
        <v>377</v>
      </c>
      <c r="C25" s="5" t="s">
        <v>299</v>
      </c>
      <c r="D25" s="5" t="s">
        <v>401</v>
      </c>
    </row>
    <row r="26" spans="1:4" x14ac:dyDescent="0.25">
      <c r="A26" s="5" t="s">
        <v>12</v>
      </c>
      <c r="B26" s="5" t="s">
        <v>377</v>
      </c>
      <c r="C26" s="5" t="s">
        <v>301</v>
      </c>
      <c r="D26" s="5" t="s">
        <v>402</v>
      </c>
    </row>
    <row r="27" spans="1:4" x14ac:dyDescent="0.25">
      <c r="A27" s="5" t="s">
        <v>12</v>
      </c>
      <c r="B27" s="5" t="s">
        <v>377</v>
      </c>
      <c r="C27" s="5" t="s">
        <v>303</v>
      </c>
      <c r="D27" s="5" t="s">
        <v>403</v>
      </c>
    </row>
    <row r="28" spans="1:4" x14ac:dyDescent="0.25">
      <c r="A28" s="5" t="s">
        <v>12</v>
      </c>
      <c r="B28" s="5" t="s">
        <v>377</v>
      </c>
      <c r="C28" s="5" t="s">
        <v>305</v>
      </c>
      <c r="D28" s="5" t="s">
        <v>404</v>
      </c>
    </row>
    <row r="29" spans="1:4" x14ac:dyDescent="0.25">
      <c r="A29" s="3" t="s">
        <v>9</v>
      </c>
      <c r="B29" s="3" t="s">
        <v>377</v>
      </c>
      <c r="C29" s="3" t="s">
        <v>307</v>
      </c>
      <c r="D29" s="3" t="s">
        <v>405</v>
      </c>
    </row>
    <row r="30" spans="1:4" x14ac:dyDescent="0.25">
      <c r="A30" s="5" t="s">
        <v>12</v>
      </c>
      <c r="B30" s="5" t="s">
        <v>377</v>
      </c>
      <c r="C30" s="5" t="s">
        <v>309</v>
      </c>
      <c r="D30" s="5" t="s">
        <v>406</v>
      </c>
    </row>
    <row r="31" spans="1:4" x14ac:dyDescent="0.25">
      <c r="A31" s="5" t="s">
        <v>12</v>
      </c>
      <c r="B31" s="5" t="s">
        <v>377</v>
      </c>
      <c r="C31" s="5" t="s">
        <v>311</v>
      </c>
      <c r="D31" s="5" t="s">
        <v>407</v>
      </c>
    </row>
    <row r="32" spans="1:4" x14ac:dyDescent="0.25">
      <c r="A32" s="5" t="s">
        <v>12</v>
      </c>
      <c r="B32" s="5" t="s">
        <v>377</v>
      </c>
      <c r="C32" s="5" t="s">
        <v>313</v>
      </c>
      <c r="D32" s="5" t="s">
        <v>408</v>
      </c>
    </row>
    <row r="33" spans="1:4" x14ac:dyDescent="0.25">
      <c r="A33" s="5" t="s">
        <v>12</v>
      </c>
      <c r="B33" s="5" t="s">
        <v>377</v>
      </c>
      <c r="C33" s="5" t="s">
        <v>315</v>
      </c>
      <c r="D33" s="5" t="s">
        <v>409</v>
      </c>
    </row>
    <row r="34" spans="1:4" x14ac:dyDescent="0.25">
      <c r="A34" s="5" t="s">
        <v>12</v>
      </c>
      <c r="B34" s="5" t="s">
        <v>377</v>
      </c>
      <c r="C34" s="5" t="s">
        <v>317</v>
      </c>
      <c r="D34" s="5" t="s">
        <v>410</v>
      </c>
    </row>
    <row r="35" spans="1:4" x14ac:dyDescent="0.25">
      <c r="A35" s="5" t="s">
        <v>12</v>
      </c>
      <c r="B35" s="5" t="s">
        <v>377</v>
      </c>
      <c r="C35" s="5" t="s">
        <v>101</v>
      </c>
      <c r="D35" s="5" t="s">
        <v>411</v>
      </c>
    </row>
    <row r="36" spans="1:4" x14ac:dyDescent="0.25">
      <c r="A36" s="3" t="s">
        <v>9</v>
      </c>
      <c r="B36" s="3" t="s">
        <v>377</v>
      </c>
      <c r="C36" s="3" t="s">
        <v>320</v>
      </c>
      <c r="D36" s="3" t="s">
        <v>412</v>
      </c>
    </row>
    <row r="37" spans="1:4" x14ac:dyDescent="0.25">
      <c r="A37" s="3" t="s">
        <v>9</v>
      </c>
      <c r="B37" s="3" t="s">
        <v>377</v>
      </c>
      <c r="C37" s="3" t="s">
        <v>322</v>
      </c>
      <c r="D37" s="3" t="s">
        <v>413</v>
      </c>
    </row>
    <row r="38" spans="1:4" x14ac:dyDescent="0.25">
      <c r="A38" s="5" t="s">
        <v>12</v>
      </c>
      <c r="B38" s="5" t="s">
        <v>377</v>
      </c>
      <c r="C38" s="5" t="s">
        <v>324</v>
      </c>
      <c r="D38" s="5" t="s">
        <v>414</v>
      </c>
    </row>
    <row r="39" spans="1:4" x14ac:dyDescent="0.25">
      <c r="A39" s="5" t="s">
        <v>12</v>
      </c>
      <c r="B39" s="5" t="s">
        <v>377</v>
      </c>
      <c r="C39" s="5" t="s">
        <v>326</v>
      </c>
      <c r="D39" s="5" t="s">
        <v>415</v>
      </c>
    </row>
    <row r="40" spans="1:4" x14ac:dyDescent="0.25">
      <c r="A40" s="3" t="s">
        <v>9</v>
      </c>
      <c r="B40" s="3" t="s">
        <v>377</v>
      </c>
      <c r="C40" s="3" t="s">
        <v>328</v>
      </c>
      <c r="D40" s="3" t="s">
        <v>416</v>
      </c>
    </row>
    <row r="41" spans="1:4" x14ac:dyDescent="0.25">
      <c r="A41" s="3" t="s">
        <v>9</v>
      </c>
      <c r="B41" s="3" t="s">
        <v>377</v>
      </c>
      <c r="C41" s="3" t="s">
        <v>330</v>
      </c>
      <c r="D41" s="3" t="s">
        <v>417</v>
      </c>
    </row>
    <row r="42" spans="1:4" x14ac:dyDescent="0.25">
      <c r="A42" s="5" t="s">
        <v>12</v>
      </c>
      <c r="B42" s="5" t="s">
        <v>377</v>
      </c>
      <c r="C42" s="5" t="s">
        <v>332</v>
      </c>
      <c r="D42" s="5" t="s">
        <v>418</v>
      </c>
    </row>
    <row r="43" spans="1:4" x14ac:dyDescent="0.25">
      <c r="A43" s="5" t="s">
        <v>12</v>
      </c>
      <c r="B43" s="5" t="s">
        <v>377</v>
      </c>
      <c r="C43" s="5" t="s">
        <v>334</v>
      </c>
      <c r="D43" s="5" t="s">
        <v>419</v>
      </c>
    </row>
    <row r="44" spans="1:4" x14ac:dyDescent="0.25">
      <c r="A44" s="3" t="s">
        <v>9</v>
      </c>
      <c r="B44" s="3" t="s">
        <v>377</v>
      </c>
      <c r="C44" s="3" t="s">
        <v>107</v>
      </c>
      <c r="D44" s="3" t="s">
        <v>420</v>
      </c>
    </row>
    <row r="45" spans="1:4" x14ac:dyDescent="0.25">
      <c r="A45" s="3" t="s">
        <v>9</v>
      </c>
      <c r="B45" s="3" t="s">
        <v>377</v>
      </c>
      <c r="C45" s="3" t="s">
        <v>337</v>
      </c>
      <c r="D45" s="3" t="s">
        <v>421</v>
      </c>
    </row>
    <row r="46" spans="1:4" x14ac:dyDescent="0.25">
      <c r="A46" s="3" t="s">
        <v>6</v>
      </c>
      <c r="B46" s="3" t="s">
        <v>422</v>
      </c>
      <c r="C46" s="3" t="s">
        <v>112</v>
      </c>
      <c r="D46" s="3" t="s">
        <v>423</v>
      </c>
    </row>
    <row r="47" spans="1:4" x14ac:dyDescent="0.25">
      <c r="A47" s="3" t="s">
        <v>9</v>
      </c>
      <c r="B47" s="3" t="s">
        <v>422</v>
      </c>
      <c r="C47" s="3" t="s">
        <v>114</v>
      </c>
      <c r="D47" s="3" t="s">
        <v>424</v>
      </c>
    </row>
    <row r="48" spans="1:4" x14ac:dyDescent="0.25">
      <c r="A48" s="5" t="s">
        <v>12</v>
      </c>
      <c r="B48" s="5" t="s">
        <v>422</v>
      </c>
      <c r="C48" s="5" t="s">
        <v>342</v>
      </c>
      <c r="D48" s="5" t="s">
        <v>425</v>
      </c>
    </row>
    <row r="49" spans="1:4" x14ac:dyDescent="0.25">
      <c r="A49" s="5" t="s">
        <v>12</v>
      </c>
      <c r="B49" s="5" t="s">
        <v>422</v>
      </c>
      <c r="C49" s="5" t="s">
        <v>344</v>
      </c>
      <c r="D49" s="5" t="s">
        <v>426</v>
      </c>
    </row>
    <row r="50" spans="1:4" x14ac:dyDescent="0.25">
      <c r="A50" s="5" t="s">
        <v>74</v>
      </c>
      <c r="B50" s="5" t="s">
        <v>422</v>
      </c>
      <c r="C50" s="5" t="s">
        <v>346</v>
      </c>
      <c r="D50" s="5" t="s">
        <v>427</v>
      </c>
    </row>
    <row r="51" spans="1:4" x14ac:dyDescent="0.25">
      <c r="A51" s="5" t="s">
        <v>74</v>
      </c>
      <c r="B51" s="5" t="s">
        <v>422</v>
      </c>
      <c r="C51" s="5" t="s">
        <v>348</v>
      </c>
      <c r="D51" s="5" t="s">
        <v>428</v>
      </c>
    </row>
    <row r="52" spans="1:4" x14ac:dyDescent="0.25">
      <c r="A52" s="3" t="s">
        <v>9</v>
      </c>
      <c r="B52" s="3" t="s">
        <v>422</v>
      </c>
      <c r="C52" s="3" t="s">
        <v>350</v>
      </c>
      <c r="D52" s="3" t="s">
        <v>429</v>
      </c>
    </row>
    <row r="53" spans="1:4" x14ac:dyDescent="0.25">
      <c r="A53" s="5" t="s">
        <v>12</v>
      </c>
      <c r="B53" s="5" t="s">
        <v>422</v>
      </c>
      <c r="C53" s="5" t="s">
        <v>352</v>
      </c>
      <c r="D53" s="5" t="s">
        <v>430</v>
      </c>
    </row>
    <row r="54" spans="1:4" x14ac:dyDescent="0.25">
      <c r="A54" s="3" t="s">
        <v>9</v>
      </c>
      <c r="B54" s="3" t="s">
        <v>422</v>
      </c>
      <c r="C54" s="3" t="s">
        <v>354</v>
      </c>
      <c r="D54" s="3" t="s">
        <v>431</v>
      </c>
    </row>
    <row r="55" spans="1:4" x14ac:dyDescent="0.25">
      <c r="A55" s="5" t="s">
        <v>12</v>
      </c>
      <c r="B55" s="5" t="s">
        <v>422</v>
      </c>
      <c r="C55" s="5" t="s">
        <v>356</v>
      </c>
      <c r="D55" s="5" t="s">
        <v>432</v>
      </c>
    </row>
    <row r="56" spans="1:4" x14ac:dyDescent="0.25">
      <c r="A56" s="5" t="s">
        <v>12</v>
      </c>
      <c r="B56" s="5" t="s">
        <v>422</v>
      </c>
      <c r="C56" s="5" t="s">
        <v>358</v>
      </c>
      <c r="D56" s="5" t="s">
        <v>433</v>
      </c>
    </row>
    <row r="57" spans="1:4" x14ac:dyDescent="0.25">
      <c r="A57" s="3" t="s">
        <v>9</v>
      </c>
      <c r="B57" s="3" t="s">
        <v>422</v>
      </c>
      <c r="C57" s="3" t="s">
        <v>122</v>
      </c>
      <c r="D57" s="3" t="s">
        <v>434</v>
      </c>
    </row>
    <row r="58" spans="1:4" x14ac:dyDescent="0.25">
      <c r="A58" s="5" t="s">
        <v>12</v>
      </c>
      <c r="B58" s="5" t="s">
        <v>422</v>
      </c>
      <c r="C58" s="5" t="s">
        <v>361</v>
      </c>
      <c r="D58" s="5" t="s">
        <v>435</v>
      </c>
    </row>
    <row r="59" spans="1:4" x14ac:dyDescent="0.25">
      <c r="A59" s="5" t="s">
        <v>12</v>
      </c>
      <c r="B59" s="5" t="s">
        <v>422</v>
      </c>
      <c r="C59" s="5" t="s">
        <v>363</v>
      </c>
      <c r="D59" s="5" t="s">
        <v>436</v>
      </c>
    </row>
    <row r="60" spans="1:4" x14ac:dyDescent="0.25">
      <c r="A60" s="5" t="s">
        <v>12</v>
      </c>
      <c r="B60" s="5" t="s">
        <v>422</v>
      </c>
      <c r="C60" s="5" t="s">
        <v>365</v>
      </c>
      <c r="D60" s="5" t="s">
        <v>437</v>
      </c>
    </row>
    <row r="61" spans="1:4" x14ac:dyDescent="0.25">
      <c r="A61" s="5" t="s">
        <v>74</v>
      </c>
      <c r="B61" s="5" t="s">
        <v>422</v>
      </c>
      <c r="C61" s="5" t="s">
        <v>367</v>
      </c>
      <c r="D61" s="5" t="s">
        <v>438</v>
      </c>
    </row>
    <row r="62" spans="1:4" x14ac:dyDescent="0.25">
      <c r="A62" s="5" t="s">
        <v>74</v>
      </c>
      <c r="B62" s="5" t="s">
        <v>422</v>
      </c>
      <c r="C62" s="5" t="s">
        <v>369</v>
      </c>
      <c r="D62" s="5" t="s">
        <v>439</v>
      </c>
    </row>
    <row r="63" spans="1:4" x14ac:dyDescent="0.25">
      <c r="A63" s="5" t="s">
        <v>12</v>
      </c>
      <c r="B63" s="5" t="s">
        <v>422</v>
      </c>
      <c r="C63" s="5" t="s">
        <v>371</v>
      </c>
      <c r="D63" s="5" t="s">
        <v>440</v>
      </c>
    </row>
    <row r="64" spans="1:4" x14ac:dyDescent="0.25">
      <c r="A64" s="5" t="s">
        <v>12</v>
      </c>
      <c r="B64" s="5" t="s">
        <v>422</v>
      </c>
      <c r="C64" s="5" t="s">
        <v>373</v>
      </c>
      <c r="D64" s="5" t="s">
        <v>441</v>
      </c>
    </row>
    <row r="65" spans="1:4" x14ac:dyDescent="0.25">
      <c r="A65" s="3" t="s">
        <v>9</v>
      </c>
      <c r="B65" s="3" t="s">
        <v>422</v>
      </c>
      <c r="C65" s="3" t="s">
        <v>126</v>
      </c>
      <c r="D65" s="3" t="s">
        <v>442</v>
      </c>
    </row>
    <row r="66" spans="1:4" x14ac:dyDescent="0.25">
      <c r="A66" s="3" t="s">
        <v>6</v>
      </c>
      <c r="B66" s="3" t="s">
        <v>422</v>
      </c>
      <c r="C66" s="3" t="s">
        <v>128</v>
      </c>
      <c r="D66" s="3" t="s">
        <v>443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F2500-457D-4088-872F-2F75C9487C2D}">
  <dimension ref="A1:H69"/>
  <sheetViews>
    <sheetView topLeftCell="A16" workbookViewId="0">
      <selection activeCell="D2" sqref="D2:D36"/>
    </sheetView>
  </sheetViews>
  <sheetFormatPr defaultRowHeight="13.8" x14ac:dyDescent="0.25"/>
  <cols>
    <col min="3" max="3" width="15.88671875" bestFit="1" customWidth="1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x14ac:dyDescent="0.25">
      <c r="A2" s="3" t="s">
        <v>6</v>
      </c>
      <c r="B2" s="3" t="s">
        <v>519</v>
      </c>
      <c r="C2" s="3" t="s">
        <v>444</v>
      </c>
      <c r="D2" s="3" t="s">
        <v>445</v>
      </c>
    </row>
    <row r="3" spans="1:8" x14ac:dyDescent="0.25">
      <c r="A3" s="3" t="s">
        <v>9</v>
      </c>
      <c r="B3" s="3" t="s">
        <v>519</v>
      </c>
      <c r="C3" s="3" t="s">
        <v>166</v>
      </c>
      <c r="D3" s="3" t="s">
        <v>446</v>
      </c>
    </row>
    <row r="4" spans="1:8" x14ac:dyDescent="0.25">
      <c r="A4" s="2" t="s">
        <v>12</v>
      </c>
      <c r="B4" s="2" t="s">
        <v>519</v>
      </c>
      <c r="C4" s="2" t="s">
        <v>168</v>
      </c>
      <c r="D4" s="2" t="s">
        <v>447</v>
      </c>
    </row>
    <row r="5" spans="1:8" x14ac:dyDescent="0.25">
      <c r="A5" s="2" t="s">
        <v>12</v>
      </c>
      <c r="B5" s="2" t="s">
        <v>519</v>
      </c>
      <c r="C5" s="2" t="s">
        <v>170</v>
      </c>
      <c r="D5" s="2" t="s">
        <v>448</v>
      </c>
    </row>
    <row r="6" spans="1:8" x14ac:dyDescent="0.25">
      <c r="A6" s="3" t="s">
        <v>9</v>
      </c>
      <c r="B6" s="3" t="s">
        <v>519</v>
      </c>
      <c r="C6" s="3" t="s">
        <v>172</v>
      </c>
      <c r="D6" s="3" t="s">
        <v>449</v>
      </c>
    </row>
    <row r="7" spans="1:8" x14ac:dyDescent="0.25">
      <c r="A7" s="3" t="s">
        <v>9</v>
      </c>
      <c r="B7" s="3" t="s">
        <v>519</v>
      </c>
      <c r="C7" s="3" t="s">
        <v>174</v>
      </c>
      <c r="D7" s="3" t="s">
        <v>450</v>
      </c>
    </row>
    <row r="8" spans="1:8" x14ac:dyDescent="0.25">
      <c r="A8" s="3" t="s">
        <v>9</v>
      </c>
      <c r="B8" s="3" t="s">
        <v>519</v>
      </c>
      <c r="C8" s="3" t="s">
        <v>176</v>
      </c>
      <c r="D8" s="3" t="s">
        <v>451</v>
      </c>
    </row>
    <row r="9" spans="1:8" x14ac:dyDescent="0.25">
      <c r="A9" s="3" t="s">
        <v>9</v>
      </c>
      <c r="B9" s="3" t="s">
        <v>519</v>
      </c>
      <c r="C9" s="3" t="s">
        <v>178</v>
      </c>
      <c r="D9" s="3" t="s">
        <v>452</v>
      </c>
    </row>
    <row r="10" spans="1:8" x14ac:dyDescent="0.25">
      <c r="A10" s="2" t="s">
        <v>12</v>
      </c>
      <c r="B10" s="2" t="s">
        <v>519</v>
      </c>
      <c r="C10" s="2" t="s">
        <v>142</v>
      </c>
      <c r="D10" s="2" t="s">
        <v>453</v>
      </c>
    </row>
    <row r="11" spans="1:8" x14ac:dyDescent="0.25">
      <c r="A11" s="1"/>
      <c r="B11" s="1"/>
      <c r="C11" s="1"/>
      <c r="D11" s="1"/>
    </row>
    <row r="12" spans="1:8" x14ac:dyDescent="0.25">
      <c r="A12" s="3" t="s">
        <v>6</v>
      </c>
      <c r="B12" s="3" t="s">
        <v>15</v>
      </c>
      <c r="C12" s="3" t="s">
        <v>454</v>
      </c>
      <c r="D12" s="3" t="s">
        <v>455</v>
      </c>
    </row>
    <row r="13" spans="1:8" x14ac:dyDescent="0.25">
      <c r="A13" s="3" t="s">
        <v>9</v>
      </c>
      <c r="B13" s="3" t="s">
        <v>15</v>
      </c>
      <c r="C13" s="3" t="s">
        <v>166</v>
      </c>
      <c r="D13" s="2" t="s">
        <v>456</v>
      </c>
    </row>
    <row r="14" spans="1:8" x14ac:dyDescent="0.25">
      <c r="A14" s="2" t="s">
        <v>12</v>
      </c>
      <c r="B14" s="2" t="s">
        <v>15</v>
      </c>
      <c r="C14" s="2" t="s">
        <v>168</v>
      </c>
      <c r="D14" s="2" t="s">
        <v>457</v>
      </c>
    </row>
    <row r="15" spans="1:8" x14ac:dyDescent="0.25">
      <c r="A15" s="2" t="s">
        <v>12</v>
      </c>
      <c r="B15" s="2" t="s">
        <v>520</v>
      </c>
      <c r="C15" s="2" t="s">
        <v>170</v>
      </c>
      <c r="D15" s="2" t="s">
        <v>458</v>
      </c>
    </row>
    <row r="16" spans="1:8" x14ac:dyDescent="0.25">
      <c r="A16" s="3" t="s">
        <v>9</v>
      </c>
      <c r="B16" s="3" t="s">
        <v>520</v>
      </c>
      <c r="C16" s="3" t="s">
        <v>172</v>
      </c>
      <c r="D16" s="2" t="s">
        <v>459</v>
      </c>
    </row>
    <row r="17" spans="1:4" x14ac:dyDescent="0.25">
      <c r="A17" s="3" t="s">
        <v>9</v>
      </c>
      <c r="B17" s="3" t="s">
        <v>520</v>
      </c>
      <c r="C17" s="3" t="s">
        <v>174</v>
      </c>
      <c r="D17" s="2" t="s">
        <v>460</v>
      </c>
    </row>
    <row r="18" spans="1:4" x14ac:dyDescent="0.25">
      <c r="A18" s="3" t="s">
        <v>9</v>
      </c>
      <c r="B18" s="3" t="s">
        <v>520</v>
      </c>
      <c r="C18" s="3" t="s">
        <v>176</v>
      </c>
      <c r="D18" s="2" t="s">
        <v>461</v>
      </c>
    </row>
    <row r="19" spans="1:4" x14ac:dyDescent="0.25">
      <c r="A19" s="3" t="s">
        <v>9</v>
      </c>
      <c r="B19" s="3" t="s">
        <v>520</v>
      </c>
      <c r="C19" s="3" t="s">
        <v>178</v>
      </c>
      <c r="D19" s="2" t="s">
        <v>462</v>
      </c>
    </row>
    <row r="20" spans="1:4" x14ac:dyDescent="0.25">
      <c r="A20" s="2" t="s">
        <v>12</v>
      </c>
      <c r="B20" s="2" t="s">
        <v>520</v>
      </c>
      <c r="C20" s="2" t="s">
        <v>142</v>
      </c>
      <c r="D20" s="2" t="s">
        <v>463</v>
      </c>
    </row>
    <row r="21" spans="1:4" x14ac:dyDescent="0.25">
      <c r="A21" s="1"/>
      <c r="B21" s="1"/>
      <c r="C21" s="1"/>
      <c r="D21" s="1"/>
    </row>
    <row r="22" spans="1:4" x14ac:dyDescent="0.25">
      <c r="A22" s="2" t="s">
        <v>6</v>
      </c>
      <c r="B22" s="2" t="s">
        <v>519</v>
      </c>
      <c r="C22" s="2" t="s">
        <v>162</v>
      </c>
      <c r="D22" s="3" t="s">
        <v>464</v>
      </c>
    </row>
    <row r="23" spans="1:4" x14ac:dyDescent="0.25">
      <c r="A23" s="3" t="s">
        <v>9</v>
      </c>
      <c r="B23" s="3" t="s">
        <v>519</v>
      </c>
      <c r="C23" s="3" t="s">
        <v>166</v>
      </c>
      <c r="D23" s="3" t="s">
        <v>465</v>
      </c>
    </row>
    <row r="24" spans="1:4" x14ac:dyDescent="0.25">
      <c r="A24" s="2" t="s">
        <v>12</v>
      </c>
      <c r="B24" s="2" t="s">
        <v>519</v>
      </c>
      <c r="C24" s="2" t="s">
        <v>168</v>
      </c>
      <c r="D24" s="2" t="s">
        <v>466</v>
      </c>
    </row>
    <row r="25" spans="1:4" x14ac:dyDescent="0.25">
      <c r="A25" s="2" t="s">
        <v>12</v>
      </c>
      <c r="B25" s="2" t="s">
        <v>519</v>
      </c>
      <c r="C25" s="2" t="s">
        <v>170</v>
      </c>
      <c r="D25" s="2" t="s">
        <v>467</v>
      </c>
    </row>
    <row r="26" spans="1:4" x14ac:dyDescent="0.25">
      <c r="A26" s="3" t="s">
        <v>9</v>
      </c>
      <c r="B26" s="3" t="s">
        <v>519</v>
      </c>
      <c r="C26" s="3" t="s">
        <v>172</v>
      </c>
      <c r="D26" s="3" t="s">
        <v>468</v>
      </c>
    </row>
    <row r="27" spans="1:4" x14ac:dyDescent="0.25">
      <c r="A27" s="3" t="s">
        <v>9</v>
      </c>
      <c r="B27" s="3" t="s">
        <v>519</v>
      </c>
      <c r="C27" s="3" t="s">
        <v>174</v>
      </c>
      <c r="D27" s="3" t="s">
        <v>469</v>
      </c>
    </row>
    <row r="28" spans="1:4" x14ac:dyDescent="0.25">
      <c r="A28" s="3" t="s">
        <v>9</v>
      </c>
      <c r="B28" s="3" t="s">
        <v>519</v>
      </c>
      <c r="C28" s="3" t="s">
        <v>176</v>
      </c>
      <c r="D28" s="3" t="s">
        <v>470</v>
      </c>
    </row>
    <row r="29" spans="1:4" x14ac:dyDescent="0.25">
      <c r="A29" s="3" t="s">
        <v>9</v>
      </c>
      <c r="B29" s="3" t="s">
        <v>519</v>
      </c>
      <c r="C29" s="3" t="s">
        <v>178</v>
      </c>
      <c r="D29" s="3" t="s">
        <v>471</v>
      </c>
    </row>
    <row r="30" spans="1:4" x14ac:dyDescent="0.25">
      <c r="A30" s="2" t="s">
        <v>12</v>
      </c>
      <c r="B30" s="2" t="s">
        <v>519</v>
      </c>
      <c r="C30" s="2" t="s">
        <v>142</v>
      </c>
      <c r="D30" s="2" t="s">
        <v>472</v>
      </c>
    </row>
    <row r="31" spans="1:4" x14ac:dyDescent="0.25">
      <c r="A31" s="1"/>
      <c r="B31" s="1"/>
      <c r="C31" s="1"/>
      <c r="D31" s="1"/>
    </row>
    <row r="32" spans="1:4" x14ac:dyDescent="0.25">
      <c r="A32" s="3" t="s">
        <v>6</v>
      </c>
      <c r="B32" s="3" t="s">
        <v>67</v>
      </c>
      <c r="C32" s="3" t="s">
        <v>164</v>
      </c>
      <c r="D32" s="3" t="s">
        <v>473</v>
      </c>
    </row>
    <row r="33" spans="1:4" x14ac:dyDescent="0.25">
      <c r="A33" s="3" t="s">
        <v>9</v>
      </c>
      <c r="B33" s="3" t="s">
        <v>280</v>
      </c>
      <c r="C33" s="3" t="s">
        <v>166</v>
      </c>
      <c r="D33" s="3" t="s">
        <v>474</v>
      </c>
    </row>
    <row r="34" spans="1:4" x14ac:dyDescent="0.25">
      <c r="A34" s="2" t="s">
        <v>12</v>
      </c>
      <c r="B34" s="2" t="s">
        <v>280</v>
      </c>
      <c r="C34" s="2" t="s">
        <v>168</v>
      </c>
      <c r="D34" s="2" t="s">
        <v>475</v>
      </c>
    </row>
    <row r="35" spans="1:4" x14ac:dyDescent="0.25">
      <c r="A35" s="2" t="s">
        <v>12</v>
      </c>
      <c r="B35" s="2" t="s">
        <v>280</v>
      </c>
      <c r="C35" s="2" t="s">
        <v>170</v>
      </c>
      <c r="D35" s="2" t="s">
        <v>476</v>
      </c>
    </row>
    <row r="36" spans="1:4" x14ac:dyDescent="0.25">
      <c r="A36" s="3" t="s">
        <v>9</v>
      </c>
      <c r="B36" s="3" t="s">
        <v>280</v>
      </c>
      <c r="C36" s="3" t="s">
        <v>172</v>
      </c>
      <c r="D36" s="3" t="s">
        <v>477</v>
      </c>
    </row>
    <row r="37" spans="1:4" x14ac:dyDescent="0.25">
      <c r="A37" s="3" t="s">
        <v>9</v>
      </c>
      <c r="B37" s="3" t="s">
        <v>280</v>
      </c>
      <c r="C37" s="3" t="s">
        <v>174</v>
      </c>
      <c r="D37" s="3" t="s">
        <v>478</v>
      </c>
    </row>
    <row r="38" spans="1:4" x14ac:dyDescent="0.25">
      <c r="A38" s="3" t="s">
        <v>9</v>
      </c>
      <c r="B38" s="3" t="s">
        <v>280</v>
      </c>
      <c r="C38" s="3" t="s">
        <v>176</v>
      </c>
      <c r="D38" s="3" t="s">
        <v>479</v>
      </c>
    </row>
    <row r="39" spans="1:4" x14ac:dyDescent="0.25">
      <c r="A39" s="3" t="s">
        <v>9</v>
      </c>
      <c r="B39" s="3" t="s">
        <v>280</v>
      </c>
      <c r="C39" s="3" t="s">
        <v>178</v>
      </c>
      <c r="D39" s="3" t="s">
        <v>480</v>
      </c>
    </row>
    <row r="40" spans="1:4" x14ac:dyDescent="0.25">
      <c r="A40" s="2" t="s">
        <v>12</v>
      </c>
      <c r="B40" s="2" t="s">
        <v>280</v>
      </c>
      <c r="C40" s="2" t="s">
        <v>142</v>
      </c>
      <c r="D40" s="2" t="s">
        <v>481</v>
      </c>
    </row>
    <row r="41" spans="1:4" x14ac:dyDescent="0.25">
      <c r="A41" s="1"/>
      <c r="B41" s="1"/>
      <c r="C41" s="1"/>
      <c r="D41" s="1"/>
    </row>
    <row r="42" spans="1:4" x14ac:dyDescent="0.25">
      <c r="A42" s="3" t="s">
        <v>6</v>
      </c>
      <c r="B42" s="3" t="s">
        <v>280</v>
      </c>
      <c r="C42" s="3" t="s">
        <v>482</v>
      </c>
      <c r="D42" s="3" t="s">
        <v>483</v>
      </c>
    </row>
    <row r="43" spans="1:4" x14ac:dyDescent="0.25">
      <c r="A43" s="3" t="s">
        <v>9</v>
      </c>
      <c r="B43" s="3" t="s">
        <v>280</v>
      </c>
      <c r="C43" s="3" t="s">
        <v>166</v>
      </c>
      <c r="D43" s="3" t="s">
        <v>484</v>
      </c>
    </row>
    <row r="44" spans="1:4" x14ac:dyDescent="0.25">
      <c r="A44" s="2" t="s">
        <v>12</v>
      </c>
      <c r="B44" s="2" t="s">
        <v>280</v>
      </c>
      <c r="C44" s="2" t="s">
        <v>168</v>
      </c>
      <c r="D44" s="2" t="s">
        <v>485</v>
      </c>
    </row>
    <row r="45" spans="1:4" x14ac:dyDescent="0.25">
      <c r="A45" s="2" t="s">
        <v>12</v>
      </c>
      <c r="B45" s="2" t="s">
        <v>280</v>
      </c>
      <c r="C45" s="2" t="s">
        <v>170</v>
      </c>
      <c r="D45" s="2" t="s">
        <v>486</v>
      </c>
    </row>
    <row r="46" spans="1:4" x14ac:dyDescent="0.25">
      <c r="A46" s="3" t="s">
        <v>9</v>
      </c>
      <c r="B46" s="3" t="s">
        <v>280</v>
      </c>
      <c r="C46" s="3" t="s">
        <v>172</v>
      </c>
      <c r="D46" s="3" t="s">
        <v>487</v>
      </c>
    </row>
    <row r="47" spans="1:4" x14ac:dyDescent="0.25">
      <c r="A47" s="3" t="s">
        <v>9</v>
      </c>
      <c r="B47" s="3" t="s">
        <v>280</v>
      </c>
      <c r="C47" s="3" t="s">
        <v>174</v>
      </c>
      <c r="D47" s="3" t="s">
        <v>488</v>
      </c>
    </row>
    <row r="48" spans="1:4" x14ac:dyDescent="0.25">
      <c r="A48" s="3" t="s">
        <v>9</v>
      </c>
      <c r="B48" s="3" t="s">
        <v>280</v>
      </c>
      <c r="C48" s="3" t="s">
        <v>176</v>
      </c>
      <c r="D48" s="3" t="s">
        <v>489</v>
      </c>
    </row>
    <row r="49" spans="1:4" x14ac:dyDescent="0.25">
      <c r="A49" s="3" t="s">
        <v>9</v>
      </c>
      <c r="B49" s="3" t="s">
        <v>280</v>
      </c>
      <c r="C49" s="3" t="s">
        <v>178</v>
      </c>
      <c r="D49" s="3" t="s">
        <v>490</v>
      </c>
    </row>
    <row r="50" spans="1:4" x14ac:dyDescent="0.25">
      <c r="A50" s="2" t="s">
        <v>12</v>
      </c>
      <c r="B50" s="2" t="s">
        <v>280</v>
      </c>
      <c r="C50" s="2" t="s">
        <v>142</v>
      </c>
      <c r="D50" s="2" t="s">
        <v>491</v>
      </c>
    </row>
    <row r="51" spans="1:4" x14ac:dyDescent="0.25">
      <c r="A51" s="1"/>
      <c r="B51" s="1"/>
      <c r="C51" s="1"/>
      <c r="D51" s="1"/>
    </row>
    <row r="52" spans="1:4" x14ac:dyDescent="0.25">
      <c r="A52" s="3" t="s">
        <v>6</v>
      </c>
      <c r="B52" s="3" t="s">
        <v>15</v>
      </c>
      <c r="C52" s="3" t="s">
        <v>180</v>
      </c>
      <c r="D52" s="3" t="s">
        <v>492</v>
      </c>
    </row>
    <row r="53" spans="1:4" x14ac:dyDescent="0.25">
      <c r="A53" s="3" t="s">
        <v>9</v>
      </c>
      <c r="B53" s="3" t="s">
        <v>15</v>
      </c>
      <c r="C53" s="3" t="s">
        <v>166</v>
      </c>
      <c r="D53" s="3" t="s">
        <v>493</v>
      </c>
    </row>
    <row r="54" spans="1:4" x14ac:dyDescent="0.25">
      <c r="A54" s="2" t="s">
        <v>12</v>
      </c>
      <c r="B54" s="2" t="s">
        <v>520</v>
      </c>
      <c r="C54" s="2" t="s">
        <v>168</v>
      </c>
      <c r="D54" s="2" t="s">
        <v>494</v>
      </c>
    </row>
    <row r="55" spans="1:4" x14ac:dyDescent="0.25">
      <c r="A55" s="2" t="s">
        <v>12</v>
      </c>
      <c r="B55" s="2" t="s">
        <v>520</v>
      </c>
      <c r="C55" s="2" t="s">
        <v>170</v>
      </c>
      <c r="D55" s="2" t="s">
        <v>495</v>
      </c>
    </row>
    <row r="56" spans="1:4" x14ac:dyDescent="0.25">
      <c r="A56" s="3" t="s">
        <v>9</v>
      </c>
      <c r="B56" s="3" t="s">
        <v>520</v>
      </c>
      <c r="C56" s="3" t="s">
        <v>172</v>
      </c>
      <c r="D56" s="3" t="s">
        <v>496</v>
      </c>
    </row>
    <row r="57" spans="1:4" x14ac:dyDescent="0.25">
      <c r="A57" s="3" t="s">
        <v>9</v>
      </c>
      <c r="B57" s="3" t="s">
        <v>520</v>
      </c>
      <c r="C57" s="3" t="s">
        <v>174</v>
      </c>
      <c r="D57" s="3" t="s">
        <v>497</v>
      </c>
    </row>
    <row r="58" spans="1:4" x14ac:dyDescent="0.25">
      <c r="A58" s="3" t="s">
        <v>9</v>
      </c>
      <c r="B58" s="3" t="s">
        <v>520</v>
      </c>
      <c r="C58" s="3" t="s">
        <v>176</v>
      </c>
      <c r="D58" s="3" t="s">
        <v>498</v>
      </c>
    </row>
    <row r="59" spans="1:4" x14ac:dyDescent="0.25">
      <c r="A59" s="3" t="s">
        <v>9</v>
      </c>
      <c r="B59" s="3" t="s">
        <v>520</v>
      </c>
      <c r="C59" s="3" t="s">
        <v>178</v>
      </c>
      <c r="D59" s="3" t="s">
        <v>499</v>
      </c>
    </row>
    <row r="60" spans="1:4" x14ac:dyDescent="0.25">
      <c r="A60" s="2" t="s">
        <v>12</v>
      </c>
      <c r="B60" s="2" t="s">
        <v>520</v>
      </c>
      <c r="C60" s="2" t="s">
        <v>142</v>
      </c>
      <c r="D60" s="2" t="s">
        <v>500</v>
      </c>
    </row>
    <row r="61" spans="1:4" x14ac:dyDescent="0.25">
      <c r="A61" s="2"/>
      <c r="B61" s="2"/>
      <c r="C61" s="2"/>
      <c r="D61" s="2"/>
    </row>
    <row r="62" spans="1:4" x14ac:dyDescent="0.25">
      <c r="A62" s="3" t="s">
        <v>6</v>
      </c>
      <c r="B62" s="3" t="s">
        <v>15</v>
      </c>
      <c r="C62" s="3" t="s">
        <v>501</v>
      </c>
      <c r="D62" s="3" t="s">
        <v>502</v>
      </c>
    </row>
    <row r="63" spans="1:4" x14ac:dyDescent="0.25">
      <c r="A63" s="3" t="s">
        <v>9</v>
      </c>
      <c r="B63" s="3" t="s">
        <v>15</v>
      </c>
      <c r="C63" s="3" t="s">
        <v>503</v>
      </c>
      <c r="D63" s="3" t="s">
        <v>504</v>
      </c>
    </row>
    <row r="64" spans="1:4" x14ac:dyDescent="0.25">
      <c r="A64" s="2" t="s">
        <v>12</v>
      </c>
      <c r="B64" s="2" t="s">
        <v>15</v>
      </c>
      <c r="C64" s="2" t="s">
        <v>505</v>
      </c>
      <c r="D64" s="2" t="s">
        <v>506</v>
      </c>
    </row>
    <row r="65" spans="1:4" x14ac:dyDescent="0.25">
      <c r="A65" s="3" t="s">
        <v>9</v>
      </c>
      <c r="B65" s="3" t="s">
        <v>15</v>
      </c>
      <c r="C65" s="3" t="s">
        <v>507</v>
      </c>
      <c r="D65" s="3" t="s">
        <v>508</v>
      </c>
    </row>
    <row r="66" spans="1:4" x14ac:dyDescent="0.25">
      <c r="A66" s="3" t="s">
        <v>9</v>
      </c>
      <c r="B66" s="3" t="s">
        <v>15</v>
      </c>
      <c r="C66" s="3" t="s">
        <v>509</v>
      </c>
      <c r="D66" s="3" t="s">
        <v>510</v>
      </c>
    </row>
    <row r="67" spans="1:4" x14ac:dyDescent="0.25">
      <c r="A67" s="3" t="s">
        <v>9</v>
      </c>
      <c r="B67" s="3" t="s">
        <v>15</v>
      </c>
      <c r="C67" s="3" t="s">
        <v>511</v>
      </c>
      <c r="D67" s="3" t="s">
        <v>512</v>
      </c>
    </row>
    <row r="68" spans="1:4" x14ac:dyDescent="0.25">
      <c r="A68" s="3" t="s">
        <v>9</v>
      </c>
      <c r="B68" s="3" t="s">
        <v>15</v>
      </c>
      <c r="C68" s="3" t="s">
        <v>513</v>
      </c>
      <c r="D68" s="3" t="s">
        <v>514</v>
      </c>
    </row>
    <row r="69" spans="1:4" x14ac:dyDescent="0.25">
      <c r="A69" s="2" t="s">
        <v>12</v>
      </c>
      <c r="B69" s="2" t="s">
        <v>15</v>
      </c>
      <c r="C69" s="2" t="s">
        <v>515</v>
      </c>
      <c r="D69" s="2" t="s">
        <v>516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76A90-712C-4269-B51A-6DB0A4A18872}">
  <dimension ref="A1:H90"/>
  <sheetViews>
    <sheetView workbookViewId="0">
      <selection activeCell="F9" sqref="F9"/>
    </sheetView>
  </sheetViews>
  <sheetFormatPr defaultRowHeight="13.8" x14ac:dyDescent="0.25"/>
  <cols>
    <col min="3" max="3" width="18.44140625" bestFit="1" customWidth="1"/>
    <col min="4" max="4" width="9" bestFit="1" customWidth="1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x14ac:dyDescent="0.25">
      <c r="A2" s="3" t="s">
        <v>6</v>
      </c>
      <c r="B2" s="3" t="s">
        <v>521</v>
      </c>
      <c r="C2" s="3" t="s">
        <v>522</v>
      </c>
      <c r="D2" s="3" t="s">
        <v>523</v>
      </c>
    </row>
    <row r="3" spans="1:8" x14ac:dyDescent="0.25">
      <c r="A3" s="3" t="s">
        <v>9</v>
      </c>
      <c r="B3" s="3" t="s">
        <v>377</v>
      </c>
      <c r="C3" s="3" t="s">
        <v>262</v>
      </c>
      <c r="D3" s="3" t="s">
        <v>524</v>
      </c>
    </row>
    <row r="4" spans="1:8" x14ac:dyDescent="0.25">
      <c r="A4" s="2" t="s">
        <v>12</v>
      </c>
      <c r="B4" s="2" t="s">
        <v>377</v>
      </c>
      <c r="C4" s="2" t="s">
        <v>168</v>
      </c>
      <c r="D4" s="2" t="s">
        <v>525</v>
      </c>
    </row>
    <row r="5" spans="1:8" x14ac:dyDescent="0.25">
      <c r="A5" s="2" t="s">
        <v>12</v>
      </c>
      <c r="B5" s="2" t="s">
        <v>377</v>
      </c>
      <c r="C5" s="2" t="s">
        <v>170</v>
      </c>
      <c r="D5" s="2" t="s">
        <v>526</v>
      </c>
    </row>
    <row r="6" spans="1:8" x14ac:dyDescent="0.25">
      <c r="A6" s="2" t="s">
        <v>12</v>
      </c>
      <c r="B6" s="2" t="s">
        <v>377</v>
      </c>
      <c r="C6" s="2" t="s">
        <v>79</v>
      </c>
      <c r="D6" s="2" t="s">
        <v>527</v>
      </c>
    </row>
    <row r="7" spans="1:8" x14ac:dyDescent="0.25">
      <c r="A7" s="2" t="s">
        <v>12</v>
      </c>
      <c r="B7" s="2" t="s">
        <v>377</v>
      </c>
      <c r="C7" s="2" t="s">
        <v>81</v>
      </c>
      <c r="D7" s="2" t="s">
        <v>528</v>
      </c>
    </row>
    <row r="8" spans="1:8" x14ac:dyDescent="0.25">
      <c r="A8" s="2" t="s">
        <v>12</v>
      </c>
      <c r="B8" s="2" t="s">
        <v>377</v>
      </c>
      <c r="C8" s="2" t="s">
        <v>83</v>
      </c>
      <c r="D8" s="2" t="s">
        <v>529</v>
      </c>
    </row>
    <row r="9" spans="1:8" x14ac:dyDescent="0.25">
      <c r="A9" s="2" t="s">
        <v>12</v>
      </c>
      <c r="B9" s="2" t="s">
        <v>377</v>
      </c>
      <c r="C9" s="2" t="s">
        <v>85</v>
      </c>
      <c r="D9" s="2" t="s">
        <v>530</v>
      </c>
    </row>
    <row r="10" spans="1:8" x14ac:dyDescent="0.25">
      <c r="A10" s="2" t="s">
        <v>74</v>
      </c>
      <c r="B10" s="2" t="s">
        <v>377</v>
      </c>
      <c r="C10" s="2" t="s">
        <v>87</v>
      </c>
      <c r="D10" s="2" t="s">
        <v>531</v>
      </c>
    </row>
    <row r="11" spans="1:8" x14ac:dyDescent="0.25">
      <c r="A11" s="2" t="s">
        <v>74</v>
      </c>
      <c r="B11" s="2" t="s">
        <v>377</v>
      </c>
      <c r="C11" s="2" t="s">
        <v>89</v>
      </c>
      <c r="D11" s="2" t="s">
        <v>532</v>
      </c>
    </row>
    <row r="12" spans="1:8" x14ac:dyDescent="0.25">
      <c r="A12" s="3" t="s">
        <v>9</v>
      </c>
      <c r="B12" s="3" t="s">
        <v>377</v>
      </c>
      <c r="C12" s="3" t="s">
        <v>281</v>
      </c>
      <c r="D12" s="3" t="s">
        <v>533</v>
      </c>
    </row>
    <row r="13" spans="1:8" x14ac:dyDescent="0.25">
      <c r="A13" s="3" t="s">
        <v>9</v>
      </c>
      <c r="B13" s="3" t="s">
        <v>377</v>
      </c>
      <c r="C13" s="3" t="s">
        <v>307</v>
      </c>
      <c r="D13" s="3" t="s">
        <v>534</v>
      </c>
    </row>
    <row r="14" spans="1:8" x14ac:dyDescent="0.25">
      <c r="A14" s="3" t="s">
        <v>9</v>
      </c>
      <c r="B14" s="3" t="s">
        <v>377</v>
      </c>
      <c r="C14" s="3" t="s">
        <v>320</v>
      </c>
      <c r="D14" s="3" t="s">
        <v>535</v>
      </c>
    </row>
    <row r="15" spans="1:8" x14ac:dyDescent="0.25">
      <c r="A15" s="3" t="s">
        <v>9</v>
      </c>
      <c r="B15" s="3" t="s">
        <v>377</v>
      </c>
      <c r="C15" s="3" t="s">
        <v>322</v>
      </c>
      <c r="D15" s="3" t="s">
        <v>536</v>
      </c>
    </row>
    <row r="16" spans="1:8" x14ac:dyDescent="0.25">
      <c r="A16" s="3" t="s">
        <v>9</v>
      </c>
      <c r="B16" s="3" t="s">
        <v>377</v>
      </c>
      <c r="C16" s="3" t="s">
        <v>287</v>
      </c>
      <c r="D16" s="3" t="s">
        <v>537</v>
      </c>
    </row>
    <row r="17" spans="1:4" x14ac:dyDescent="0.25">
      <c r="A17" s="3" t="s">
        <v>9</v>
      </c>
      <c r="B17" s="3" t="s">
        <v>377</v>
      </c>
      <c r="C17" s="3" t="s">
        <v>328</v>
      </c>
      <c r="D17" s="3" t="s">
        <v>538</v>
      </c>
    </row>
    <row r="18" spans="1:4" x14ac:dyDescent="0.25">
      <c r="A18" s="3" t="s">
        <v>6</v>
      </c>
      <c r="B18" s="3" t="s">
        <v>539</v>
      </c>
      <c r="C18" s="3" t="s">
        <v>540</v>
      </c>
      <c r="D18" s="3" t="s">
        <v>541</v>
      </c>
    </row>
    <row r="19" spans="1:4" x14ac:dyDescent="0.25">
      <c r="A19" s="3" t="s">
        <v>9</v>
      </c>
      <c r="B19" s="3" t="s">
        <v>422</v>
      </c>
      <c r="C19" s="3" t="s">
        <v>114</v>
      </c>
      <c r="D19" s="3" t="s">
        <v>542</v>
      </c>
    </row>
    <row r="20" spans="1:4" x14ac:dyDescent="0.25">
      <c r="A20" s="2" t="s">
        <v>12</v>
      </c>
      <c r="B20" s="2" t="s">
        <v>422</v>
      </c>
      <c r="C20" s="2" t="s">
        <v>543</v>
      </c>
      <c r="D20" s="2" t="s">
        <v>544</v>
      </c>
    </row>
    <row r="21" spans="1:4" x14ac:dyDescent="0.25">
      <c r="A21" s="2" t="s">
        <v>12</v>
      </c>
      <c r="B21" s="2" t="s">
        <v>422</v>
      </c>
      <c r="C21" s="2" t="s">
        <v>344</v>
      </c>
      <c r="D21" s="2" t="s">
        <v>545</v>
      </c>
    </row>
    <row r="22" spans="1:4" x14ac:dyDescent="0.25">
      <c r="A22" s="2" t="s">
        <v>74</v>
      </c>
      <c r="B22" s="2" t="s">
        <v>422</v>
      </c>
      <c r="C22" s="2" t="s">
        <v>346</v>
      </c>
      <c r="D22" s="2" t="s">
        <v>546</v>
      </c>
    </row>
    <row r="23" spans="1:4" x14ac:dyDescent="0.25">
      <c r="A23" s="2" t="s">
        <v>74</v>
      </c>
      <c r="B23" s="2" t="s">
        <v>422</v>
      </c>
      <c r="C23" s="2" t="s">
        <v>348</v>
      </c>
      <c r="D23" s="2" t="s">
        <v>547</v>
      </c>
    </row>
    <row r="24" spans="1:4" x14ac:dyDescent="0.25">
      <c r="A24" s="3" t="s">
        <v>9</v>
      </c>
      <c r="B24" s="3" t="s">
        <v>422</v>
      </c>
      <c r="C24" s="3" t="s">
        <v>548</v>
      </c>
      <c r="D24" s="3" t="s">
        <v>549</v>
      </c>
    </row>
    <row r="25" spans="1:4" x14ac:dyDescent="0.25">
      <c r="A25" s="3" t="s">
        <v>9</v>
      </c>
      <c r="B25" s="3" t="s">
        <v>422</v>
      </c>
      <c r="C25" s="3" t="s">
        <v>550</v>
      </c>
      <c r="D25" s="3" t="s">
        <v>551</v>
      </c>
    </row>
    <row r="26" spans="1:4" x14ac:dyDescent="0.25">
      <c r="A26" s="2" t="s">
        <v>12</v>
      </c>
      <c r="B26" s="2" t="s">
        <v>422</v>
      </c>
      <c r="C26" s="2" t="s">
        <v>552</v>
      </c>
      <c r="D26" s="2" t="s">
        <v>553</v>
      </c>
    </row>
    <row r="27" spans="1:4" x14ac:dyDescent="0.25">
      <c r="A27" s="3" t="s">
        <v>9</v>
      </c>
      <c r="B27" s="3" t="s">
        <v>422</v>
      </c>
      <c r="C27" s="3" t="s">
        <v>554</v>
      </c>
      <c r="D27" s="3" t="s">
        <v>555</v>
      </c>
    </row>
    <row r="28" spans="1:4" x14ac:dyDescent="0.25">
      <c r="A28" s="3" t="s">
        <v>9</v>
      </c>
      <c r="B28" s="3" t="s">
        <v>422</v>
      </c>
      <c r="C28" s="3" t="s">
        <v>556</v>
      </c>
      <c r="D28" s="3" t="s">
        <v>557</v>
      </c>
    </row>
    <row r="29" spans="1:4" x14ac:dyDescent="0.25">
      <c r="A29" s="3" t="s">
        <v>9</v>
      </c>
      <c r="B29" s="3" t="s">
        <v>422</v>
      </c>
      <c r="C29" s="3" t="s">
        <v>558</v>
      </c>
      <c r="D29" s="3" t="s">
        <v>559</v>
      </c>
    </row>
    <row r="30" spans="1:4" x14ac:dyDescent="0.25">
      <c r="A30" s="3" t="s">
        <v>9</v>
      </c>
      <c r="B30" s="3" t="s">
        <v>422</v>
      </c>
      <c r="C30" s="3" t="s">
        <v>560</v>
      </c>
      <c r="D30" s="3" t="s">
        <v>561</v>
      </c>
    </row>
    <row r="31" spans="1:4" x14ac:dyDescent="0.25">
      <c r="A31" s="3"/>
      <c r="B31" s="3"/>
      <c r="C31" s="3"/>
      <c r="D31" s="3"/>
    </row>
    <row r="32" spans="1:4" x14ac:dyDescent="0.25">
      <c r="A32" s="3" t="s">
        <v>6</v>
      </c>
      <c r="B32" s="3" t="s">
        <v>1</v>
      </c>
      <c r="C32" s="3" t="s">
        <v>562</v>
      </c>
      <c r="D32" s="3" t="s">
        <v>563</v>
      </c>
    </row>
    <row r="33" spans="1:4" x14ac:dyDescent="0.25">
      <c r="A33" s="3" t="s">
        <v>9</v>
      </c>
      <c r="B33" s="3" t="s">
        <v>0</v>
      </c>
      <c r="C33" s="3" t="s">
        <v>262</v>
      </c>
      <c r="D33" s="3" t="s">
        <v>564</v>
      </c>
    </row>
    <row r="34" spans="1:4" x14ac:dyDescent="0.25">
      <c r="A34" s="2" t="s">
        <v>12</v>
      </c>
      <c r="B34" s="2" t="s">
        <v>0</v>
      </c>
      <c r="C34" s="2" t="s">
        <v>168</v>
      </c>
      <c r="D34" s="2" t="s">
        <v>565</v>
      </c>
    </row>
    <row r="35" spans="1:4" x14ac:dyDescent="0.25">
      <c r="A35" s="2" t="s">
        <v>12</v>
      </c>
      <c r="B35" s="2" t="s">
        <v>0</v>
      </c>
      <c r="C35" s="2" t="s">
        <v>170</v>
      </c>
      <c r="D35" s="2" t="s">
        <v>566</v>
      </c>
    </row>
    <row r="36" spans="1:4" x14ac:dyDescent="0.25">
      <c r="A36" s="2" t="s">
        <v>12</v>
      </c>
      <c r="B36" s="2" t="s">
        <v>0</v>
      </c>
      <c r="C36" s="2" t="s">
        <v>79</v>
      </c>
      <c r="D36" s="2" t="s">
        <v>567</v>
      </c>
    </row>
    <row r="37" spans="1:4" x14ac:dyDescent="0.25">
      <c r="A37" s="2" t="s">
        <v>12</v>
      </c>
      <c r="B37" s="2" t="s">
        <v>0</v>
      </c>
      <c r="C37" s="2" t="s">
        <v>81</v>
      </c>
      <c r="D37" s="2" t="s">
        <v>568</v>
      </c>
    </row>
    <row r="38" spans="1:4" x14ac:dyDescent="0.25">
      <c r="A38" s="2" t="s">
        <v>12</v>
      </c>
      <c r="B38" s="2" t="s">
        <v>0</v>
      </c>
      <c r="C38" s="2" t="s">
        <v>83</v>
      </c>
      <c r="D38" s="2" t="s">
        <v>569</v>
      </c>
    </row>
    <row r="39" spans="1:4" x14ac:dyDescent="0.25">
      <c r="A39" s="2" t="s">
        <v>12</v>
      </c>
      <c r="B39" s="2" t="s">
        <v>0</v>
      </c>
      <c r="C39" s="2" t="s">
        <v>85</v>
      </c>
      <c r="D39" s="2" t="s">
        <v>570</v>
      </c>
    </row>
    <row r="40" spans="1:4" x14ac:dyDescent="0.25">
      <c r="A40" s="2" t="s">
        <v>74</v>
      </c>
      <c r="B40" s="2" t="s">
        <v>0</v>
      </c>
      <c r="C40" s="2" t="s">
        <v>87</v>
      </c>
      <c r="D40" s="2" t="s">
        <v>571</v>
      </c>
    </row>
    <row r="41" spans="1:4" x14ac:dyDescent="0.25">
      <c r="A41" s="2" t="s">
        <v>74</v>
      </c>
      <c r="B41" s="2" t="s">
        <v>0</v>
      </c>
      <c r="C41" s="2" t="s">
        <v>89</v>
      </c>
      <c r="D41" s="2" t="s">
        <v>572</v>
      </c>
    </row>
    <row r="42" spans="1:4" x14ac:dyDescent="0.25">
      <c r="A42" s="3" t="s">
        <v>9</v>
      </c>
      <c r="B42" s="3" t="s">
        <v>0</v>
      </c>
      <c r="C42" s="3" t="s">
        <v>281</v>
      </c>
      <c r="D42" s="3" t="s">
        <v>573</v>
      </c>
    </row>
    <row r="43" spans="1:4" x14ac:dyDescent="0.25">
      <c r="A43" s="3" t="s">
        <v>9</v>
      </c>
      <c r="B43" s="3" t="s">
        <v>0</v>
      </c>
      <c r="C43" s="3" t="s">
        <v>307</v>
      </c>
      <c r="D43" s="3" t="s">
        <v>574</v>
      </c>
    </row>
    <row r="44" spans="1:4" x14ac:dyDescent="0.25">
      <c r="A44" s="3" t="s">
        <v>9</v>
      </c>
      <c r="B44" s="3" t="s">
        <v>0</v>
      </c>
      <c r="C44" s="3" t="s">
        <v>320</v>
      </c>
      <c r="D44" s="3" t="s">
        <v>575</v>
      </c>
    </row>
    <row r="45" spans="1:4" x14ac:dyDescent="0.25">
      <c r="A45" s="3" t="s">
        <v>9</v>
      </c>
      <c r="B45" s="3" t="s">
        <v>0</v>
      </c>
      <c r="C45" s="3" t="s">
        <v>322</v>
      </c>
      <c r="D45" s="3" t="s">
        <v>576</v>
      </c>
    </row>
    <row r="46" spans="1:4" x14ac:dyDescent="0.25">
      <c r="A46" s="3" t="s">
        <v>9</v>
      </c>
      <c r="B46" s="3" t="s">
        <v>0</v>
      </c>
      <c r="C46" s="3" t="s">
        <v>287</v>
      </c>
      <c r="D46" s="3" t="s">
        <v>577</v>
      </c>
    </row>
    <row r="47" spans="1:4" x14ac:dyDescent="0.25">
      <c r="A47" s="3" t="s">
        <v>9</v>
      </c>
      <c r="B47" s="3" t="s">
        <v>0</v>
      </c>
      <c r="C47" s="3" t="s">
        <v>328</v>
      </c>
      <c r="D47" s="3" t="s">
        <v>578</v>
      </c>
    </row>
    <row r="48" spans="1:4" x14ac:dyDescent="0.25">
      <c r="A48" s="3" t="s">
        <v>6</v>
      </c>
      <c r="B48" s="3" t="s">
        <v>15</v>
      </c>
      <c r="C48" s="3" t="s">
        <v>579</v>
      </c>
      <c r="D48" s="3" t="s">
        <v>580</v>
      </c>
    </row>
    <row r="49" spans="1:4" x14ac:dyDescent="0.25">
      <c r="A49" s="3" t="s">
        <v>9</v>
      </c>
      <c r="B49" s="3" t="s">
        <v>520</v>
      </c>
      <c r="C49" s="3" t="s">
        <v>114</v>
      </c>
      <c r="D49" s="3" t="s">
        <v>581</v>
      </c>
    </row>
    <row r="50" spans="1:4" x14ac:dyDescent="0.25">
      <c r="A50" s="2" t="s">
        <v>12</v>
      </c>
      <c r="B50" s="2" t="s">
        <v>520</v>
      </c>
      <c r="C50" s="2" t="s">
        <v>543</v>
      </c>
      <c r="D50" s="2" t="s">
        <v>582</v>
      </c>
    </row>
    <row r="51" spans="1:4" x14ac:dyDescent="0.25">
      <c r="A51" s="2" t="s">
        <v>12</v>
      </c>
      <c r="B51" s="2" t="s">
        <v>520</v>
      </c>
      <c r="C51" s="2" t="s">
        <v>344</v>
      </c>
      <c r="D51" s="2" t="s">
        <v>583</v>
      </c>
    </row>
    <row r="52" spans="1:4" x14ac:dyDescent="0.25">
      <c r="A52" s="2" t="s">
        <v>74</v>
      </c>
      <c r="B52" s="2" t="s">
        <v>520</v>
      </c>
      <c r="C52" s="2" t="s">
        <v>346</v>
      </c>
      <c r="D52" s="2" t="s">
        <v>584</v>
      </c>
    </row>
    <row r="53" spans="1:4" x14ac:dyDescent="0.25">
      <c r="A53" s="2" t="s">
        <v>74</v>
      </c>
      <c r="B53" s="2" t="s">
        <v>520</v>
      </c>
      <c r="C53" s="2" t="s">
        <v>348</v>
      </c>
      <c r="D53" s="2" t="s">
        <v>585</v>
      </c>
    </row>
    <row r="54" spans="1:4" x14ac:dyDescent="0.25">
      <c r="A54" s="3" t="s">
        <v>9</v>
      </c>
      <c r="B54" s="3" t="s">
        <v>520</v>
      </c>
      <c r="C54" s="3" t="s">
        <v>548</v>
      </c>
      <c r="D54" s="3" t="s">
        <v>586</v>
      </c>
    </row>
    <row r="55" spans="1:4" x14ac:dyDescent="0.25">
      <c r="A55" s="3" t="s">
        <v>9</v>
      </c>
      <c r="B55" s="3" t="s">
        <v>520</v>
      </c>
      <c r="C55" s="3" t="s">
        <v>550</v>
      </c>
      <c r="D55" s="3" t="s">
        <v>587</v>
      </c>
    </row>
    <row r="56" spans="1:4" x14ac:dyDescent="0.25">
      <c r="A56" s="2" t="s">
        <v>12</v>
      </c>
      <c r="B56" s="2" t="s">
        <v>520</v>
      </c>
      <c r="C56" s="2" t="s">
        <v>552</v>
      </c>
      <c r="D56" s="2" t="s">
        <v>588</v>
      </c>
    </row>
    <row r="57" spans="1:4" x14ac:dyDescent="0.25">
      <c r="A57" s="3" t="s">
        <v>9</v>
      </c>
      <c r="B57" s="3" t="s">
        <v>520</v>
      </c>
      <c r="C57" s="3" t="s">
        <v>554</v>
      </c>
      <c r="D57" s="3" t="s">
        <v>589</v>
      </c>
    </row>
    <row r="58" spans="1:4" x14ac:dyDescent="0.25">
      <c r="A58" s="3" t="s">
        <v>9</v>
      </c>
      <c r="B58" s="3" t="s">
        <v>520</v>
      </c>
      <c r="C58" s="3" t="s">
        <v>556</v>
      </c>
      <c r="D58" s="3" t="s">
        <v>590</v>
      </c>
    </row>
    <row r="59" spans="1:4" x14ac:dyDescent="0.25">
      <c r="A59" s="3" t="s">
        <v>9</v>
      </c>
      <c r="B59" s="3" t="s">
        <v>520</v>
      </c>
      <c r="C59" s="3" t="s">
        <v>558</v>
      </c>
      <c r="D59" s="3" t="s">
        <v>591</v>
      </c>
    </row>
    <row r="60" spans="1:4" x14ac:dyDescent="0.25">
      <c r="A60" s="3" t="s">
        <v>9</v>
      </c>
      <c r="B60" s="3" t="s">
        <v>520</v>
      </c>
      <c r="C60" s="3" t="s">
        <v>560</v>
      </c>
      <c r="D60" s="3" t="s">
        <v>592</v>
      </c>
    </row>
    <row r="61" spans="1:4" x14ac:dyDescent="0.25">
      <c r="A61" s="3"/>
      <c r="B61" s="3"/>
      <c r="C61" s="3"/>
      <c r="D61" s="3"/>
    </row>
    <row r="62" spans="1:4" x14ac:dyDescent="0.25">
      <c r="A62" s="3" t="s">
        <v>6</v>
      </c>
      <c r="B62" s="3" t="s">
        <v>519</v>
      </c>
      <c r="C62" s="3" t="s">
        <v>593</v>
      </c>
      <c r="D62" s="3" t="s">
        <v>594</v>
      </c>
    </row>
    <row r="63" spans="1:4" x14ac:dyDescent="0.25">
      <c r="A63" s="3" t="s">
        <v>9</v>
      </c>
      <c r="B63" s="3" t="s">
        <v>519</v>
      </c>
      <c r="C63" s="3" t="s">
        <v>262</v>
      </c>
      <c r="D63" s="3" t="s">
        <v>595</v>
      </c>
    </row>
    <row r="64" spans="1:4" x14ac:dyDescent="0.25">
      <c r="A64" s="2" t="s">
        <v>12</v>
      </c>
      <c r="B64" s="2" t="s">
        <v>519</v>
      </c>
      <c r="C64" s="2" t="s">
        <v>168</v>
      </c>
      <c r="D64" s="2" t="s">
        <v>596</v>
      </c>
    </row>
    <row r="65" spans="1:4" x14ac:dyDescent="0.25">
      <c r="A65" s="2" t="s">
        <v>12</v>
      </c>
      <c r="B65" s="2" t="s">
        <v>519</v>
      </c>
      <c r="C65" s="2" t="s">
        <v>170</v>
      </c>
      <c r="D65" s="2" t="s">
        <v>597</v>
      </c>
    </row>
    <row r="66" spans="1:4" x14ac:dyDescent="0.25">
      <c r="A66" s="2" t="s">
        <v>12</v>
      </c>
      <c r="B66" s="2" t="s">
        <v>519</v>
      </c>
      <c r="C66" s="2" t="s">
        <v>79</v>
      </c>
      <c r="D66" s="2" t="s">
        <v>598</v>
      </c>
    </row>
    <row r="67" spans="1:4" x14ac:dyDescent="0.25">
      <c r="A67" s="2" t="s">
        <v>12</v>
      </c>
      <c r="B67" s="2" t="s">
        <v>519</v>
      </c>
      <c r="C67" s="2" t="s">
        <v>81</v>
      </c>
      <c r="D67" s="2" t="s">
        <v>599</v>
      </c>
    </row>
    <row r="68" spans="1:4" x14ac:dyDescent="0.25">
      <c r="A68" s="2" t="s">
        <v>12</v>
      </c>
      <c r="B68" s="2" t="s">
        <v>519</v>
      </c>
      <c r="C68" s="2" t="s">
        <v>83</v>
      </c>
      <c r="D68" s="2" t="s">
        <v>600</v>
      </c>
    </row>
    <row r="69" spans="1:4" x14ac:dyDescent="0.25">
      <c r="A69" s="2" t="s">
        <v>12</v>
      </c>
      <c r="B69" s="2" t="s">
        <v>519</v>
      </c>
      <c r="C69" s="2" t="s">
        <v>85</v>
      </c>
      <c r="D69" s="2" t="s">
        <v>601</v>
      </c>
    </row>
    <row r="70" spans="1:4" x14ac:dyDescent="0.25">
      <c r="A70" s="2" t="s">
        <v>74</v>
      </c>
      <c r="B70" s="2" t="s">
        <v>519</v>
      </c>
      <c r="C70" s="2" t="s">
        <v>87</v>
      </c>
      <c r="D70" s="2" t="s">
        <v>602</v>
      </c>
    </row>
    <row r="71" spans="1:4" x14ac:dyDescent="0.25">
      <c r="A71" s="2" t="s">
        <v>74</v>
      </c>
      <c r="B71" s="2" t="s">
        <v>519</v>
      </c>
      <c r="C71" s="2" t="s">
        <v>89</v>
      </c>
      <c r="D71" s="2" t="s">
        <v>603</v>
      </c>
    </row>
    <row r="72" spans="1:4" x14ac:dyDescent="0.25">
      <c r="A72" s="3" t="s">
        <v>9</v>
      </c>
      <c r="B72" s="3" t="s">
        <v>519</v>
      </c>
      <c r="C72" s="3" t="s">
        <v>281</v>
      </c>
      <c r="D72" s="3" t="s">
        <v>604</v>
      </c>
    </row>
    <row r="73" spans="1:4" x14ac:dyDescent="0.25">
      <c r="A73" s="3" t="s">
        <v>9</v>
      </c>
      <c r="B73" s="3" t="s">
        <v>519</v>
      </c>
      <c r="C73" s="3" t="s">
        <v>307</v>
      </c>
      <c r="D73" s="3" t="s">
        <v>605</v>
      </c>
    </row>
    <row r="74" spans="1:4" x14ac:dyDescent="0.25">
      <c r="A74" s="3" t="s">
        <v>9</v>
      </c>
      <c r="B74" s="3" t="s">
        <v>519</v>
      </c>
      <c r="C74" s="3" t="s">
        <v>320</v>
      </c>
      <c r="D74" s="3" t="s">
        <v>606</v>
      </c>
    </row>
    <row r="75" spans="1:4" x14ac:dyDescent="0.25">
      <c r="A75" s="3" t="s">
        <v>9</v>
      </c>
      <c r="B75" s="3" t="s">
        <v>519</v>
      </c>
      <c r="C75" s="3" t="s">
        <v>322</v>
      </c>
      <c r="D75" s="3" t="s">
        <v>607</v>
      </c>
    </row>
    <row r="76" spans="1:4" x14ac:dyDescent="0.25">
      <c r="A76" s="3" t="s">
        <v>9</v>
      </c>
      <c r="B76" s="3" t="s">
        <v>519</v>
      </c>
      <c r="C76" s="3" t="s">
        <v>287</v>
      </c>
      <c r="D76" s="3" t="s">
        <v>608</v>
      </c>
    </row>
    <row r="77" spans="1:4" x14ac:dyDescent="0.25">
      <c r="A77" s="3" t="s">
        <v>9</v>
      </c>
      <c r="B77" s="3" t="s">
        <v>519</v>
      </c>
      <c r="C77" s="3" t="s">
        <v>328</v>
      </c>
      <c r="D77" s="3" t="s">
        <v>609</v>
      </c>
    </row>
    <row r="78" spans="1:4" x14ac:dyDescent="0.25">
      <c r="A78" s="3" t="s">
        <v>6</v>
      </c>
      <c r="B78" s="3" t="s">
        <v>519</v>
      </c>
      <c r="C78" s="3" t="s">
        <v>610</v>
      </c>
      <c r="D78" s="3" t="s">
        <v>611</v>
      </c>
    </row>
    <row r="79" spans="1:4" x14ac:dyDescent="0.25">
      <c r="A79" s="3" t="s">
        <v>9</v>
      </c>
      <c r="B79" s="3" t="s">
        <v>519</v>
      </c>
      <c r="C79" s="3" t="s">
        <v>114</v>
      </c>
      <c r="D79" s="3" t="s">
        <v>612</v>
      </c>
    </row>
    <row r="80" spans="1:4" x14ac:dyDescent="0.25">
      <c r="A80" s="2" t="s">
        <v>12</v>
      </c>
      <c r="B80" s="2" t="s">
        <v>519</v>
      </c>
      <c r="C80" s="2" t="s">
        <v>543</v>
      </c>
      <c r="D80" s="2" t="s">
        <v>613</v>
      </c>
    </row>
    <row r="81" spans="1:4" x14ac:dyDescent="0.25">
      <c r="A81" s="2" t="s">
        <v>12</v>
      </c>
      <c r="B81" s="2" t="s">
        <v>519</v>
      </c>
      <c r="C81" s="2" t="s">
        <v>344</v>
      </c>
      <c r="D81" s="2" t="s">
        <v>614</v>
      </c>
    </row>
    <row r="82" spans="1:4" x14ac:dyDescent="0.25">
      <c r="A82" s="2" t="s">
        <v>74</v>
      </c>
      <c r="B82" s="2" t="s">
        <v>519</v>
      </c>
      <c r="C82" s="2" t="s">
        <v>346</v>
      </c>
      <c r="D82" s="2" t="s">
        <v>615</v>
      </c>
    </row>
    <row r="83" spans="1:4" x14ac:dyDescent="0.25">
      <c r="A83" s="2" t="s">
        <v>74</v>
      </c>
      <c r="B83" s="2" t="s">
        <v>519</v>
      </c>
      <c r="C83" s="2" t="s">
        <v>348</v>
      </c>
      <c r="D83" s="2" t="s">
        <v>616</v>
      </c>
    </row>
    <row r="84" spans="1:4" x14ac:dyDescent="0.25">
      <c r="A84" s="3" t="s">
        <v>9</v>
      </c>
      <c r="B84" s="3" t="s">
        <v>519</v>
      </c>
      <c r="C84" s="3" t="s">
        <v>548</v>
      </c>
      <c r="D84" s="3" t="s">
        <v>617</v>
      </c>
    </row>
    <row r="85" spans="1:4" x14ac:dyDescent="0.25">
      <c r="A85" s="3" t="s">
        <v>9</v>
      </c>
      <c r="B85" s="3" t="s">
        <v>519</v>
      </c>
      <c r="C85" s="3" t="s">
        <v>550</v>
      </c>
      <c r="D85" s="3" t="s">
        <v>618</v>
      </c>
    </row>
    <row r="86" spans="1:4" x14ac:dyDescent="0.25">
      <c r="A86" s="2" t="s">
        <v>12</v>
      </c>
      <c r="B86" s="2" t="s">
        <v>519</v>
      </c>
      <c r="C86" s="2" t="s">
        <v>552</v>
      </c>
      <c r="D86" s="2" t="s">
        <v>619</v>
      </c>
    </row>
    <row r="87" spans="1:4" x14ac:dyDescent="0.25">
      <c r="A87" s="3" t="s">
        <v>9</v>
      </c>
      <c r="B87" s="3" t="s">
        <v>519</v>
      </c>
      <c r="C87" s="3" t="s">
        <v>554</v>
      </c>
      <c r="D87" s="3" t="s">
        <v>620</v>
      </c>
    </row>
    <row r="88" spans="1:4" x14ac:dyDescent="0.25">
      <c r="A88" s="3" t="s">
        <v>9</v>
      </c>
      <c r="B88" s="3" t="s">
        <v>519</v>
      </c>
      <c r="C88" s="3" t="s">
        <v>556</v>
      </c>
      <c r="D88" s="3" t="s">
        <v>621</v>
      </c>
    </row>
    <row r="89" spans="1:4" x14ac:dyDescent="0.25">
      <c r="A89" s="3" t="s">
        <v>9</v>
      </c>
      <c r="B89" s="3" t="s">
        <v>519</v>
      </c>
      <c r="C89" s="3" t="s">
        <v>558</v>
      </c>
      <c r="D89" s="3" t="s">
        <v>622</v>
      </c>
    </row>
    <row r="90" spans="1:4" x14ac:dyDescent="0.25">
      <c r="A90" s="3" t="s">
        <v>9</v>
      </c>
      <c r="B90" s="3" t="s">
        <v>519</v>
      </c>
      <c r="C90" s="3" t="s">
        <v>560</v>
      </c>
      <c r="D90" s="3" t="s">
        <v>623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BA48B-F3C6-4997-8BA6-5B07ABCEC12B}">
  <dimension ref="A1:H3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N11" sqref="N11"/>
    </sheetView>
  </sheetViews>
  <sheetFormatPr defaultColWidth="8.6640625" defaultRowHeight="15" customHeight="1" x14ac:dyDescent="0.2"/>
  <cols>
    <col min="1" max="3" width="8.6640625" style="20"/>
    <col min="4" max="4" width="15.6640625" style="20" bestFit="1" customWidth="1"/>
    <col min="5" max="16384" width="8.6640625" style="20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ht="16.05" customHeight="1" x14ac:dyDescent="0.2">
      <c r="A2" s="3" t="s">
        <v>6</v>
      </c>
      <c r="B2" s="5" t="s">
        <v>1</v>
      </c>
      <c r="C2" s="4" t="s">
        <v>624</v>
      </c>
      <c r="D2" s="3" t="s">
        <v>7</v>
      </c>
      <c r="F2" s="20">
        <f>A01泛微粒贷!F2+A02微账户!F2+A03汽车金融!F2+A04财富!F2+A05小鹅!F2</f>
        <v>0</v>
      </c>
      <c r="G2" s="20" t="e">
        <f ca="1">A01泛微粒贷!G2+A02微账户!G2+A03汽车金融!G2+A04财富!G2+A05小鹅!G2</f>
        <v>#DIV/0!</v>
      </c>
    </row>
    <row r="3" spans="1:8" ht="15" customHeight="1" x14ac:dyDescent="0.2">
      <c r="A3" s="3" t="s">
        <v>9</v>
      </c>
      <c r="B3" s="5" t="s">
        <v>1</v>
      </c>
      <c r="C3" s="4" t="s">
        <v>625</v>
      </c>
      <c r="D3" s="3" t="s">
        <v>10</v>
      </c>
      <c r="F3" s="20">
        <f>A01泛微粒贷!F3+A02微账户!F3+A03汽车金融!F3+A04财富!F3+A05小鹅!F3</f>
        <v>0</v>
      </c>
      <c r="G3" s="20" t="e">
        <f ca="1">A01泛微粒贷!G3+A02微账户!G3+A03汽车金融!G3+A04财富!G3+A05小鹅!G3</f>
        <v>#NAME?</v>
      </c>
    </row>
    <row r="4" spans="1:8" ht="15" customHeight="1" x14ac:dyDescent="0.2">
      <c r="A4" s="5" t="s">
        <v>12</v>
      </c>
      <c r="B4" s="5" t="s">
        <v>1</v>
      </c>
      <c r="C4" s="7" t="s">
        <v>626</v>
      </c>
      <c r="D4" s="5" t="s">
        <v>627</v>
      </c>
      <c r="F4" s="20">
        <f>A01泛微粒贷!F4+A02微账户!F4+A03汽车金融!F4+A04财富!F4+A05小鹅!F4</f>
        <v>0</v>
      </c>
      <c r="G4" s="20">
        <f>A01泛微粒贷!G4+A02微账户!G4+A03汽车金融!G4+A04财富!G4+A05小鹅!G4</f>
        <v>0</v>
      </c>
    </row>
    <row r="5" spans="1:8" ht="15" customHeight="1" x14ac:dyDescent="0.2">
      <c r="A5" s="5" t="s">
        <v>74</v>
      </c>
      <c r="B5" s="5" t="s">
        <v>1</v>
      </c>
      <c r="C5" s="7" t="s">
        <v>628</v>
      </c>
      <c r="D5" s="5" t="s">
        <v>13</v>
      </c>
      <c r="F5" s="20" t="e">
        <f>A01泛微粒贷!#REF!+A02微账户!F5+A03汽车金融!#REF!+A04财富!#REF!+A05小鹅!#REF!</f>
        <v>#REF!</v>
      </c>
      <c r="G5" s="20" t="e">
        <f ca="1">A01泛微粒贷!#REF!+A02微账户!G5+A03汽车金融!#REF!+A04财富!#REF!+A05小鹅!#REF!</f>
        <v>#REF!</v>
      </c>
    </row>
    <row r="6" spans="1:8" ht="15" customHeight="1" x14ac:dyDescent="0.2">
      <c r="A6" s="5" t="s">
        <v>74</v>
      </c>
      <c r="B6" s="5" t="s">
        <v>15</v>
      </c>
      <c r="C6" s="7" t="s">
        <v>629</v>
      </c>
      <c r="D6" s="5" t="s">
        <v>630</v>
      </c>
      <c r="F6" s="20" t="e">
        <f>A01泛微粒贷!#REF!+A02微账户!F6+A03汽车金融!#REF!+A04财富!#REF!+A05小鹅!#REF!</f>
        <v>#REF!</v>
      </c>
      <c r="G6" s="20" t="e">
        <f>A01泛微粒贷!#REF!+A02微账户!G6+A03汽车金融!#REF!+A04财富!#REF!+A05小鹅!#REF!</f>
        <v>#REF!</v>
      </c>
    </row>
    <row r="7" spans="1:8" ht="15" customHeight="1" x14ac:dyDescent="0.2">
      <c r="A7" s="5" t="s">
        <v>12</v>
      </c>
      <c r="B7" s="5" t="s">
        <v>1</v>
      </c>
      <c r="C7" s="7" t="s">
        <v>631</v>
      </c>
      <c r="D7" s="5" t="s">
        <v>632</v>
      </c>
      <c r="F7" s="20">
        <f>A01泛微粒贷!F5+A02微账户!F7+A03汽车金融!F5+A04财富!F5+A05小鹅!F5</f>
        <v>0</v>
      </c>
      <c r="G7" s="20">
        <f>A01泛微粒贷!G5+A02微账户!G7+A03汽车金融!G5+A04财富!G5+A05小鹅!G5</f>
        <v>0</v>
      </c>
    </row>
    <row r="8" spans="1:8" ht="15" customHeight="1" x14ac:dyDescent="0.2">
      <c r="A8" s="5" t="s">
        <v>74</v>
      </c>
      <c r="B8" s="5" t="s">
        <v>15</v>
      </c>
      <c r="C8" s="7" t="s">
        <v>633</v>
      </c>
      <c r="D8" s="5" t="s">
        <v>16</v>
      </c>
      <c r="F8" s="20" t="e">
        <f>A01泛微粒贷!#REF!+A02微账户!F8+A03汽车金融!#REF!+A04财富!#REF!+A05小鹅!#REF!</f>
        <v>#REF!</v>
      </c>
      <c r="G8" s="20" t="e">
        <f>A01泛微粒贷!#REF!+A02微账户!G8+A03汽车金融!#REF!+A04财富!#REF!+A05小鹅!#REF!</f>
        <v>#REF!</v>
      </c>
    </row>
    <row r="9" spans="1:8" ht="15" customHeight="1" x14ac:dyDescent="0.2">
      <c r="A9" s="5" t="s">
        <v>74</v>
      </c>
      <c r="B9" s="5" t="s">
        <v>1</v>
      </c>
      <c r="C9" s="7" t="s">
        <v>634</v>
      </c>
      <c r="D9" s="5" t="s">
        <v>635</v>
      </c>
      <c r="F9" s="20" t="e">
        <f>A01泛微粒贷!#REF!+A02微账户!F9+A03汽车金融!#REF!+A04财富!#REF!+A05小鹅!#REF!</f>
        <v>#REF!</v>
      </c>
      <c r="G9" s="20" t="e">
        <f ca="1">A01泛微粒贷!#REF!+A02微账户!G9+A03汽车金融!#REF!+A04财富!#REF!+A05小鹅!#REF!</f>
        <v>#REF!</v>
      </c>
    </row>
    <row r="10" spans="1:8" ht="15" customHeight="1" x14ac:dyDescent="0.2">
      <c r="A10" s="3" t="s">
        <v>9</v>
      </c>
      <c r="B10" s="5" t="s">
        <v>1</v>
      </c>
      <c r="C10" s="4" t="s">
        <v>636</v>
      </c>
      <c r="D10" s="3" t="s">
        <v>17</v>
      </c>
      <c r="F10" s="20">
        <f>A01泛微粒贷!F6+A02微账户!F10+A03汽车金融!F6+A04财富!F6+A05小鹅!F6</f>
        <v>0</v>
      </c>
      <c r="G10" s="20" t="e">
        <f>A01泛微粒贷!G6+A02微账户!G10+A03汽车金融!G6+A04财富!G6+A05小鹅!G6</f>
        <v>#DIV/0!</v>
      </c>
    </row>
    <row r="11" spans="1:8" ht="15" customHeight="1" x14ac:dyDescent="0.2">
      <c r="A11" s="5" t="s">
        <v>12</v>
      </c>
      <c r="B11" s="5" t="s">
        <v>1</v>
      </c>
      <c r="C11" s="7" t="s">
        <v>637</v>
      </c>
      <c r="D11" s="5" t="s">
        <v>19</v>
      </c>
      <c r="F11" s="20" t="e">
        <f>A01泛微粒贷!#REF!+A02微账户!F11+A03汽车金融!#REF!+A04财富!#REF!+A05小鹅!#REF!</f>
        <v>#REF!</v>
      </c>
      <c r="G11" s="20" t="e">
        <f>A01泛微粒贷!#REF!+A02微账户!G11+A03汽车金融!#REF!+A04财富!#REF!+A05小鹅!#REF!</f>
        <v>#REF!</v>
      </c>
    </row>
    <row r="12" spans="1:8" ht="15" customHeight="1" x14ac:dyDescent="0.2">
      <c r="A12" s="5" t="s">
        <v>12</v>
      </c>
      <c r="B12" s="5" t="s">
        <v>15</v>
      </c>
      <c r="C12" s="7" t="s">
        <v>638</v>
      </c>
      <c r="D12" s="5" t="s">
        <v>21</v>
      </c>
      <c r="F12" s="20" t="e">
        <f>A01泛微粒贷!#REF!+A02微账户!F12+A03汽车金融!#REF!+A04财富!#REF!+A05小鹅!#REF!</f>
        <v>#REF!</v>
      </c>
      <c r="G12" s="20" t="e">
        <f>A01泛微粒贷!#REF!+A02微账户!G12+A03汽车金融!#REF!+A04财富!#REF!+A05小鹅!#REF!</f>
        <v>#REF!</v>
      </c>
    </row>
    <row r="13" spans="1:8" ht="15" customHeight="1" x14ac:dyDescent="0.2">
      <c r="A13" s="3" t="s">
        <v>9</v>
      </c>
      <c r="B13" s="5" t="s">
        <v>1</v>
      </c>
      <c r="C13" s="4" t="s">
        <v>639</v>
      </c>
      <c r="D13" s="3" t="s">
        <v>23</v>
      </c>
      <c r="F13" s="20">
        <f>A01泛微粒贷!F7+A02微账户!F13+A03汽车金融!F7+A04财富!F7+A05小鹅!F7</f>
        <v>0</v>
      </c>
      <c r="G13" s="20">
        <f>A01泛微粒贷!G7+A02微账户!G13+A03汽车金融!G7+A04财富!G7+A05小鹅!G7</f>
        <v>0</v>
      </c>
    </row>
    <row r="14" spans="1:8" ht="15" customHeight="1" x14ac:dyDescent="0.2">
      <c r="A14" s="3" t="s">
        <v>6</v>
      </c>
      <c r="B14" s="5" t="s">
        <v>15</v>
      </c>
      <c r="C14" s="4" t="s">
        <v>640</v>
      </c>
      <c r="D14" s="3" t="s">
        <v>641</v>
      </c>
      <c r="F14" s="20">
        <f>A01泛微粒贷!F8+A02微账户!F14+A03汽车金融!F8+A04财富!F8+A05小鹅!F8</f>
        <v>0</v>
      </c>
      <c r="G14" s="20">
        <f>A01泛微粒贷!G8+A02微账户!G14+A03汽车金融!G8+A04财富!G8+A05小鹅!G8</f>
        <v>0</v>
      </c>
    </row>
    <row r="15" spans="1:8" ht="15" customHeight="1" x14ac:dyDescent="0.2">
      <c r="A15" s="3" t="s">
        <v>6</v>
      </c>
      <c r="B15" s="5" t="s">
        <v>1</v>
      </c>
      <c r="C15" s="4" t="s">
        <v>642</v>
      </c>
      <c r="D15" s="3" t="s">
        <v>35</v>
      </c>
      <c r="F15" s="20">
        <f>A01泛微粒贷!F9+A02微账户!F15+A03汽车金融!F9+A04财富!F9+A05小鹅!F9</f>
        <v>0</v>
      </c>
      <c r="G15" s="20" t="e">
        <f>A01泛微粒贷!G9+A02微账户!G15+A03汽车金融!G9+A04财富!G9+A05小鹅!G9</f>
        <v>#DIV/0!</v>
      </c>
    </row>
    <row r="16" spans="1:8" ht="15" customHeight="1" x14ac:dyDescent="0.2">
      <c r="A16" s="3" t="s">
        <v>6</v>
      </c>
      <c r="B16" s="5" t="s">
        <v>15</v>
      </c>
      <c r="C16" s="4" t="s">
        <v>643</v>
      </c>
      <c r="D16" s="3" t="s">
        <v>37</v>
      </c>
      <c r="F16" s="20">
        <f>A01泛微粒贷!F10+A02微账户!F16+A03汽车金融!F10+A04财富!F10+A05小鹅!F10</f>
        <v>0</v>
      </c>
      <c r="G16" s="20">
        <f>A01泛微粒贷!G10+A02微账户!G16+A03汽车金融!G10+A04财富!G10+A05小鹅!G10</f>
        <v>0</v>
      </c>
    </row>
    <row r="17" spans="1:7" ht="15" customHeight="1" x14ac:dyDescent="0.2">
      <c r="A17" s="3" t="s">
        <v>6</v>
      </c>
      <c r="B17" s="5" t="s">
        <v>15</v>
      </c>
      <c r="C17" s="4" t="s">
        <v>644</v>
      </c>
      <c r="D17" s="3" t="s">
        <v>645</v>
      </c>
      <c r="F17" s="20">
        <f>A01泛微粒贷!F11+A02微账户!F17+A03汽车金融!F11+A04财富!F11+A05小鹅!F11</f>
        <v>0</v>
      </c>
      <c r="G17" s="20">
        <f>A01泛微粒贷!G11+A02微账户!G17+A03汽车金融!G11+A04财富!G11+A05小鹅!G11</f>
        <v>0</v>
      </c>
    </row>
    <row r="18" spans="1:7" ht="15" customHeight="1" x14ac:dyDescent="0.2">
      <c r="A18" s="3" t="s">
        <v>9</v>
      </c>
      <c r="B18" s="5" t="s">
        <v>15</v>
      </c>
      <c r="C18" s="4" t="s">
        <v>646</v>
      </c>
      <c r="D18" s="3" t="s">
        <v>647</v>
      </c>
      <c r="F18" s="20">
        <f>A01泛微粒贷!F12+A02微账户!F18+A03汽车金融!F12+A04财富!F12+A05小鹅!F12</f>
        <v>0</v>
      </c>
      <c r="G18" s="20">
        <f>A01泛微粒贷!G12+A02微账户!G18+A03汽车金融!G12+A04财富!G12+A05小鹅!G12</f>
        <v>0</v>
      </c>
    </row>
    <row r="19" spans="1:7" ht="15" customHeight="1" x14ac:dyDescent="0.2">
      <c r="A19" s="5" t="s">
        <v>12</v>
      </c>
      <c r="B19" s="5" t="s">
        <v>15</v>
      </c>
      <c r="C19" s="7" t="s">
        <v>648</v>
      </c>
      <c r="D19" s="5" t="s">
        <v>43</v>
      </c>
      <c r="F19" s="20">
        <f>A01泛微粒贷!F13+A02微账户!F19+A03汽车金融!F13+A04财富!F13+A05小鹅!F13</f>
        <v>0</v>
      </c>
      <c r="G19" s="20">
        <f>A01泛微粒贷!G13+A02微账户!G19+A03汽车金融!G13+A04财富!G13+A05小鹅!G13</f>
        <v>0</v>
      </c>
    </row>
    <row r="20" spans="1:7" ht="15" customHeight="1" x14ac:dyDescent="0.2">
      <c r="A20" s="5" t="s">
        <v>12</v>
      </c>
      <c r="B20" s="5" t="s">
        <v>15</v>
      </c>
      <c r="C20" s="7" t="s">
        <v>649</v>
      </c>
      <c r="D20" s="5" t="s">
        <v>650</v>
      </c>
      <c r="F20" s="20">
        <f>A01泛微粒贷!F14+A02微账户!F20+A03汽车金融!F14+A04财富!F14+A05小鹅!F14</f>
        <v>0</v>
      </c>
      <c r="G20" s="20">
        <f>A01泛微粒贷!G14+A02微账户!G20+A03汽车金融!G14+A04财富!G14+A05小鹅!G14</f>
        <v>0</v>
      </c>
    </row>
    <row r="21" spans="1:7" ht="15" customHeight="1" x14ac:dyDescent="0.2">
      <c r="A21" s="3" t="s">
        <v>9</v>
      </c>
      <c r="B21" s="5" t="s">
        <v>15</v>
      </c>
      <c r="C21" s="4" t="s">
        <v>651</v>
      </c>
      <c r="D21" s="3" t="s">
        <v>49</v>
      </c>
      <c r="F21" s="20">
        <f>A01泛微粒贷!F15+A02微账户!F21+A03汽车金融!F15+A04财富!F15+A05小鹅!F15</f>
        <v>0</v>
      </c>
      <c r="G21" s="20">
        <f>A01泛微粒贷!G15+A02微账户!G21+A03汽车金融!G15+A04财富!G15+A05小鹅!G15</f>
        <v>0</v>
      </c>
    </row>
    <row r="22" spans="1:7" ht="15" customHeight="1" x14ac:dyDescent="0.2">
      <c r="A22" s="5" t="s">
        <v>12</v>
      </c>
      <c r="B22" s="5" t="s">
        <v>15</v>
      </c>
      <c r="C22" s="7" t="s">
        <v>652</v>
      </c>
      <c r="D22" s="5" t="s">
        <v>51</v>
      </c>
      <c r="F22" s="20">
        <f>A01泛微粒贷!F16+A02微账户!F22+A03汽车金融!F16+A04财富!F16+A05小鹅!F16</f>
        <v>0</v>
      </c>
      <c r="G22" s="20">
        <f>A01泛微粒贷!G16+A02微账户!G22+A03汽车金融!G16+A04财富!G16+A05小鹅!G16</f>
        <v>0</v>
      </c>
    </row>
    <row r="23" spans="1:7" ht="15" customHeight="1" x14ac:dyDescent="0.2">
      <c r="A23" s="5" t="s">
        <v>12</v>
      </c>
      <c r="B23" s="5" t="s">
        <v>15</v>
      </c>
      <c r="C23" s="7" t="s">
        <v>653</v>
      </c>
      <c r="D23" s="5" t="s">
        <v>53</v>
      </c>
      <c r="F23" s="20">
        <f>A01泛微粒贷!F17+A02微账户!F23+A03汽车金融!F17+A04财富!F17+A05小鹅!F17</f>
        <v>0</v>
      </c>
      <c r="G23" s="20">
        <f>A01泛微粒贷!G17+A02微账户!G23+A03汽车金融!G17+A04财富!G17+A05小鹅!G17</f>
        <v>0</v>
      </c>
    </row>
    <row r="24" spans="1:7" ht="15" customHeight="1" x14ac:dyDescent="0.2">
      <c r="A24" s="3" t="s">
        <v>9</v>
      </c>
      <c r="B24" s="5" t="s">
        <v>15</v>
      </c>
      <c r="C24" s="4" t="s">
        <v>654</v>
      </c>
      <c r="D24" s="3" t="s">
        <v>55</v>
      </c>
      <c r="F24" s="20">
        <f>A01泛微粒贷!F18+A02微账户!F24+A03汽车金融!F18+A04财富!F18+A05小鹅!F18</f>
        <v>0</v>
      </c>
      <c r="G24" s="20">
        <f>A01泛微粒贷!G18+A02微账户!G24+A03汽车金融!G18+A04财富!G18+A05小鹅!G18</f>
        <v>0</v>
      </c>
    </row>
    <row r="25" spans="1:7" ht="15" customHeight="1" x14ac:dyDescent="0.2">
      <c r="A25" s="5" t="s">
        <v>12</v>
      </c>
      <c r="B25" s="5" t="s">
        <v>15</v>
      </c>
      <c r="C25" s="7" t="s">
        <v>655</v>
      </c>
      <c r="D25" s="5" t="s">
        <v>656</v>
      </c>
      <c r="F25" s="20">
        <f>A01泛微粒贷!F19+A02微账户!F25+A03汽车金融!F19+A04财富!F19+A05小鹅!F19</f>
        <v>0</v>
      </c>
      <c r="G25" s="20">
        <f>A01泛微粒贷!G19+A02微账户!G25+A03汽车金融!G19+A04财富!G19+A05小鹅!G19</f>
        <v>0</v>
      </c>
    </row>
    <row r="26" spans="1:7" ht="15" customHeight="1" x14ac:dyDescent="0.2">
      <c r="A26" s="5" t="s">
        <v>74</v>
      </c>
      <c r="B26" s="5" t="s">
        <v>15</v>
      </c>
      <c r="C26" s="7" t="s">
        <v>657</v>
      </c>
      <c r="D26" s="5" t="s">
        <v>658</v>
      </c>
      <c r="F26" s="20">
        <f>A01泛微粒贷!F20+A02微账户!F26+A03汽车金融!F20+A04财富!F20+A05小鹅!F20</f>
        <v>0</v>
      </c>
      <c r="G26" s="20">
        <f>A01泛微粒贷!G20+A02微账户!G26+A03汽车金融!G20+A04财富!G20+A05小鹅!G20</f>
        <v>0</v>
      </c>
    </row>
    <row r="27" spans="1:7" ht="15" customHeight="1" x14ac:dyDescent="0.2">
      <c r="A27" s="5" t="s">
        <v>74</v>
      </c>
      <c r="B27" s="5" t="s">
        <v>15</v>
      </c>
      <c r="C27" s="7" t="s">
        <v>659</v>
      </c>
      <c r="D27" s="5" t="s">
        <v>660</v>
      </c>
      <c r="F27" s="20">
        <f>A01泛微粒贷!F21+A02微账户!F27+A03汽车金融!F21+A04财富!F21+A05小鹅!F21</f>
        <v>0</v>
      </c>
      <c r="G27" s="20">
        <f>A01泛微粒贷!G21+A02微账户!G27+A03汽车金融!G21+A04财富!G21+A05小鹅!G21</f>
        <v>0</v>
      </c>
    </row>
    <row r="28" spans="1:7" ht="15" customHeight="1" x14ac:dyDescent="0.2">
      <c r="A28" s="5" t="s">
        <v>12</v>
      </c>
      <c r="B28" s="5" t="s">
        <v>15</v>
      </c>
      <c r="C28" s="7" t="s">
        <v>661</v>
      </c>
      <c r="D28" s="5" t="s">
        <v>662</v>
      </c>
      <c r="F28" s="20">
        <f>A01泛微粒贷!F22+A02微账户!F28+A03汽车金融!F22+A04财富!F22+A05小鹅!F22</f>
        <v>0</v>
      </c>
      <c r="G28" s="20" t="e">
        <f ca="1">A01泛微粒贷!G22+A02微账户!G28+A03汽车金融!G22+A04财富!G22+A05小鹅!G22</f>
        <v>#NAME?</v>
      </c>
    </row>
    <row r="29" spans="1:7" ht="15" customHeight="1" x14ac:dyDescent="0.2">
      <c r="A29" s="5" t="s">
        <v>12</v>
      </c>
      <c r="B29" s="5" t="s">
        <v>15</v>
      </c>
      <c r="C29" s="7" t="s">
        <v>663</v>
      </c>
      <c r="D29" s="5" t="s">
        <v>664</v>
      </c>
      <c r="F29" s="20">
        <f>A01泛微粒贷!F23+A02微账户!F29+A03汽车金融!F23+A04财富!F23+A05小鹅!F23</f>
        <v>0</v>
      </c>
      <c r="G29" s="20">
        <f>A01泛微粒贷!G23+A02微账户!G29+A03汽车金融!G23+A04财富!G23+A05小鹅!G23</f>
        <v>0</v>
      </c>
    </row>
    <row r="30" spans="1:7" ht="15" customHeight="1" x14ac:dyDescent="0.2">
      <c r="A30" s="5" t="s">
        <v>12</v>
      </c>
      <c r="B30" s="5" t="s">
        <v>15</v>
      </c>
      <c r="C30" s="7" t="s">
        <v>665</v>
      </c>
      <c r="D30" s="5" t="s">
        <v>666</v>
      </c>
      <c r="F30" s="20">
        <f>A01泛微粒贷!F24+A02微账户!F30+A03汽车金融!F24+A04财富!F24+A05小鹅!F24</f>
        <v>0</v>
      </c>
      <c r="G30" s="20" t="e">
        <f ca="1">A01泛微粒贷!G24+A02微账户!G30+A03汽车金融!G24+A04财富!G24+A05小鹅!G24</f>
        <v>#NAME?</v>
      </c>
    </row>
    <row r="31" spans="1:7" ht="15" customHeight="1" x14ac:dyDescent="0.2">
      <c r="A31" s="3" t="s">
        <v>9</v>
      </c>
      <c r="B31" s="5" t="s">
        <v>15</v>
      </c>
      <c r="C31" s="4" t="s">
        <v>667</v>
      </c>
      <c r="D31" s="3" t="s">
        <v>668</v>
      </c>
      <c r="F31" s="20" t="e">
        <f>A01泛微粒贷!F25+A02微账户!#REF!+A03汽车金融!F25+A04财富!F25+A05小鹅!F25</f>
        <v>#REF!</v>
      </c>
      <c r="G31" s="20" t="e">
        <f>A01泛微粒贷!G25+A02微账户!#REF!+A03汽车金融!G25+A04财富!G25+A05小鹅!G25</f>
        <v>#REF!</v>
      </c>
    </row>
    <row r="32" spans="1:7" ht="15" customHeight="1" x14ac:dyDescent="0.2">
      <c r="A32" s="3" t="s">
        <v>9</v>
      </c>
      <c r="B32" s="5" t="s">
        <v>15</v>
      </c>
      <c r="C32" s="4" t="s">
        <v>669</v>
      </c>
      <c r="D32" s="3" t="s">
        <v>57</v>
      </c>
      <c r="F32" s="20" t="e">
        <f>A01泛微粒贷!F26+A02微账户!#REF!+A03汽车金融!F26+A04财富!F26+A05小鹅!F26</f>
        <v>#REF!</v>
      </c>
      <c r="G32" s="20" t="e">
        <f>A01泛微粒贷!G26+A02微账户!#REF!+A03汽车金融!G26+A04财富!G26+A05小鹅!G26</f>
        <v>#REF!</v>
      </c>
    </row>
    <row r="33" spans="1:7" ht="15" customHeight="1" x14ac:dyDescent="0.2">
      <c r="A33" s="3" t="s">
        <v>6</v>
      </c>
      <c r="B33" s="5" t="s">
        <v>1</v>
      </c>
      <c r="C33" s="4" t="s">
        <v>670</v>
      </c>
      <c r="D33" s="3" t="s">
        <v>59</v>
      </c>
      <c r="F33" s="20" t="e">
        <f>A01泛微粒贷!F27+A02微账户!#REF!+A03汽车金融!F27+A04财富!F27+A05小鹅!F27</f>
        <v>#REF!</v>
      </c>
      <c r="G33" s="20" t="e">
        <f>A01泛微粒贷!G27+A02微账户!#REF!+A03汽车金融!G27+A04财富!G27+A05小鹅!G27</f>
        <v>#REF!</v>
      </c>
    </row>
    <row r="34" spans="1:7" ht="15" customHeight="1" x14ac:dyDescent="0.2">
      <c r="A34" s="3" t="s">
        <v>6</v>
      </c>
      <c r="B34" s="5" t="s">
        <v>517</v>
      </c>
      <c r="C34" s="4" t="s">
        <v>671</v>
      </c>
      <c r="D34" s="3" t="s">
        <v>672</v>
      </c>
      <c r="F34" s="20" t="e">
        <f>A01泛微粒贷!F28+A02微账户!#REF!+A03汽车金融!F28+A04财富!F28+A05小鹅!F28</f>
        <v>#REF!</v>
      </c>
      <c r="G34" s="20" t="e">
        <f>A01泛微粒贷!G28+A02微账户!#REF!+A03汽车金融!G28+A04财富!G28+A05小鹅!G28</f>
        <v>#DIV/0!</v>
      </c>
    </row>
    <row r="35" spans="1:7" ht="15" customHeight="1" x14ac:dyDescent="0.2">
      <c r="A35" s="3" t="s">
        <v>6</v>
      </c>
      <c r="B35" s="5" t="s">
        <v>15</v>
      </c>
      <c r="C35" s="4" t="s">
        <v>673</v>
      </c>
      <c r="D35" s="3" t="s">
        <v>674</v>
      </c>
      <c r="F35" s="20" t="e">
        <f>A01泛微粒贷!F29+A02微账户!#REF!+A03汽车金融!F29+A04财富!F29+A05小鹅!F29</f>
        <v>#REF!</v>
      </c>
      <c r="G35" s="20" t="e">
        <f>A01泛微粒贷!G29+A02微账户!#REF!+A03汽车金融!G29+A04财富!G29+A05小鹅!G29</f>
        <v>#REF!</v>
      </c>
    </row>
    <row r="36" spans="1:7" ht="15" customHeight="1" x14ac:dyDescent="0.2">
      <c r="A36" s="3" t="s">
        <v>6</v>
      </c>
      <c r="B36" s="5" t="s">
        <v>517</v>
      </c>
      <c r="C36" s="4" t="s">
        <v>675</v>
      </c>
      <c r="D36" s="3" t="s">
        <v>61</v>
      </c>
      <c r="F36" s="20" t="e">
        <f>A01泛微粒贷!F30+A02微账户!#REF!+A03汽车金融!F30+A04财富!F30+A05小鹅!F30</f>
        <v>#REF!</v>
      </c>
      <c r="G36" s="20" t="e">
        <f>A01泛微粒贷!G30+A02微账户!#REF!+A03汽车金融!G30+A04财富!G30+A05小鹅!G30</f>
        <v>#DIV/0!</v>
      </c>
    </row>
  </sheetData>
  <phoneticPr fontId="2" type="noConversion"/>
  <pageMargins left="0.7" right="0.7" top="0.75" bottom="0.75" header="0.3" footer="0.3"/>
  <ignoredErrors>
    <ignoredError sqref="G7:G11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23071-41B4-409B-9C43-8CB6CFBA1C91}">
  <dimension ref="A1:H160"/>
  <sheetViews>
    <sheetView zoomScaleNormal="100" workbookViewId="0">
      <pane xSplit="4" ySplit="1" topLeftCell="E56" activePane="bottomRight" state="frozen"/>
      <selection pane="topRight" activeCell="E1" sqref="E1"/>
      <selection pane="bottomLeft" activeCell="A2" sqref="A2"/>
      <selection pane="bottomRight" activeCell="M84" sqref="M84"/>
    </sheetView>
  </sheetViews>
  <sheetFormatPr defaultColWidth="8.6640625" defaultRowHeight="15" customHeight="1" x14ac:dyDescent="0.25"/>
  <cols>
    <col min="1" max="2" width="8.6640625" style="15"/>
    <col min="3" max="3" width="13" style="15" bestFit="1" customWidth="1"/>
    <col min="4" max="4" width="33.109375" style="15" bestFit="1" customWidth="1"/>
    <col min="5" max="5" width="8.6640625" style="15" customWidth="1"/>
    <col min="6" max="7" width="8.6640625" style="15"/>
    <col min="8" max="8" width="18.21875" style="15" bestFit="1" customWidth="1"/>
    <col min="9" max="16384" width="8.6640625" style="15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ht="15" customHeight="1" x14ac:dyDescent="0.25">
      <c r="A2" s="3" t="s">
        <v>6</v>
      </c>
      <c r="B2" s="5" t="s">
        <v>1</v>
      </c>
      <c r="C2" s="4" t="s">
        <v>1236</v>
      </c>
      <c r="D2" s="3" t="s">
        <v>7</v>
      </c>
      <c r="F2" s="15">
        <f>F3+F6+F7</f>
        <v>0</v>
      </c>
      <c r="G2" s="15" t="e">
        <f>G3+G6+G7</f>
        <v>#DIV/0!</v>
      </c>
    </row>
    <row r="3" spans="1:8" ht="15" customHeight="1" x14ac:dyDescent="0.25">
      <c r="A3" s="3" t="s">
        <v>9</v>
      </c>
      <c r="B3" s="5" t="s">
        <v>1</v>
      </c>
      <c r="C3" s="4" t="s">
        <v>1237</v>
      </c>
      <c r="D3" s="3" t="s">
        <v>10</v>
      </c>
      <c r="F3" s="15">
        <f>F4+F5</f>
        <v>0</v>
      </c>
      <c r="G3" s="15">
        <f>G4+G5</f>
        <v>0</v>
      </c>
    </row>
    <row r="4" spans="1:8" ht="15" customHeight="1" x14ac:dyDescent="0.25">
      <c r="A4" s="5" t="s">
        <v>12</v>
      </c>
      <c r="B4" s="5" t="s">
        <v>1</v>
      </c>
      <c r="C4" s="7" t="s">
        <v>1238</v>
      </c>
      <c r="D4" s="5" t="s">
        <v>627</v>
      </c>
      <c r="F4" s="15">
        <f>F54-F90</f>
        <v>0</v>
      </c>
      <c r="G4" s="15">
        <f>G54-G90</f>
        <v>0</v>
      </c>
    </row>
    <row r="5" spans="1:8" ht="15" customHeight="1" x14ac:dyDescent="0.25">
      <c r="A5" s="5" t="s">
        <v>12</v>
      </c>
      <c r="B5" s="5" t="s">
        <v>1</v>
      </c>
      <c r="C5" s="7" t="s">
        <v>1239</v>
      </c>
      <c r="D5" s="5" t="s">
        <v>632</v>
      </c>
      <c r="F5" s="15">
        <f>F111-F102</f>
        <v>0</v>
      </c>
      <c r="G5" s="15">
        <f>G111-G102</f>
        <v>0</v>
      </c>
    </row>
    <row r="6" spans="1:8" ht="15" customHeight="1" x14ac:dyDescent="0.25">
      <c r="A6" s="3" t="s">
        <v>9</v>
      </c>
      <c r="B6" s="5" t="s">
        <v>1</v>
      </c>
      <c r="C6" s="4" t="s">
        <v>1240</v>
      </c>
      <c r="D6" s="3" t="s">
        <v>1174</v>
      </c>
      <c r="F6" s="15">
        <f>F118-F135</f>
        <v>0</v>
      </c>
      <c r="G6" s="15" t="e">
        <f>G118-G135</f>
        <v>#DIV/0!</v>
      </c>
    </row>
    <row r="7" spans="1:8" ht="15" customHeight="1" x14ac:dyDescent="0.25">
      <c r="A7" s="3" t="s">
        <v>9</v>
      </c>
      <c r="B7" s="5" t="s">
        <v>1</v>
      </c>
      <c r="C7" s="4" t="s">
        <v>1241</v>
      </c>
      <c r="D7" s="3" t="s">
        <v>23</v>
      </c>
      <c r="F7" s="15">
        <f>F157+F159</f>
        <v>0</v>
      </c>
      <c r="G7" s="15">
        <f>G157+G159</f>
        <v>0</v>
      </c>
    </row>
    <row r="8" spans="1:8" ht="15" customHeight="1" x14ac:dyDescent="0.25">
      <c r="A8" s="3" t="s">
        <v>6</v>
      </c>
      <c r="B8" s="5" t="s">
        <v>15</v>
      </c>
      <c r="C8" s="4" t="s">
        <v>1242</v>
      </c>
      <c r="D8" s="3" t="s">
        <v>641</v>
      </c>
    </row>
    <row r="9" spans="1:8" ht="15" customHeight="1" x14ac:dyDescent="0.25">
      <c r="A9" s="3" t="s">
        <v>6</v>
      </c>
      <c r="B9" s="5" t="s">
        <v>1</v>
      </c>
      <c r="C9" s="4" t="s">
        <v>1243</v>
      </c>
      <c r="D9" s="3" t="s">
        <v>35</v>
      </c>
      <c r="F9" s="15">
        <f>F2-F8</f>
        <v>0</v>
      </c>
      <c r="G9" s="15" t="e">
        <f>G2-G8</f>
        <v>#DIV/0!</v>
      </c>
    </row>
    <row r="10" spans="1:8" ht="15" customHeight="1" x14ac:dyDescent="0.25">
      <c r="A10" s="3" t="s">
        <v>6</v>
      </c>
      <c r="B10" s="5" t="s">
        <v>15</v>
      </c>
      <c r="C10" s="4" t="s">
        <v>1244</v>
      </c>
      <c r="D10" s="3" t="s">
        <v>37</v>
      </c>
    </row>
    <row r="11" spans="1:8" ht="15" customHeight="1" x14ac:dyDescent="0.25">
      <c r="A11" s="3" t="s">
        <v>6</v>
      </c>
      <c r="B11" s="5" t="s">
        <v>15</v>
      </c>
      <c r="C11" s="4" t="s">
        <v>1245</v>
      </c>
      <c r="D11" s="3" t="s">
        <v>645</v>
      </c>
      <c r="F11" s="15">
        <f>F12+F15+F18+F25+F26</f>
        <v>0</v>
      </c>
      <c r="G11" s="15">
        <f>G12+G15+G18+G25+G26</f>
        <v>0</v>
      </c>
    </row>
    <row r="12" spans="1:8" ht="15" customHeight="1" x14ac:dyDescent="0.25">
      <c r="A12" s="3" t="s">
        <v>9</v>
      </c>
      <c r="B12" s="5" t="s">
        <v>15</v>
      </c>
      <c r="C12" s="4" t="s">
        <v>1246</v>
      </c>
      <c r="D12" s="3" t="s">
        <v>647</v>
      </c>
      <c r="F12" s="15">
        <f>F13+F14</f>
        <v>0</v>
      </c>
      <c r="G12" s="15">
        <f>G13+G14</f>
        <v>0</v>
      </c>
    </row>
    <row r="13" spans="1:8" ht="15" customHeight="1" x14ac:dyDescent="0.25">
      <c r="A13" s="5" t="s">
        <v>12</v>
      </c>
      <c r="B13" s="5" t="s">
        <v>15</v>
      </c>
      <c r="C13" s="7" t="s">
        <v>1247</v>
      </c>
      <c r="D13" s="5" t="s">
        <v>43</v>
      </c>
    </row>
    <row r="14" spans="1:8" ht="15" customHeight="1" x14ac:dyDescent="0.25">
      <c r="A14" s="5" t="s">
        <v>12</v>
      </c>
      <c r="B14" s="5" t="s">
        <v>15</v>
      </c>
      <c r="C14" s="7" t="s">
        <v>1248</v>
      </c>
      <c r="D14" s="5" t="s">
        <v>650</v>
      </c>
    </row>
    <row r="15" spans="1:8" ht="15" customHeight="1" x14ac:dyDescent="0.25">
      <c r="A15" s="3" t="s">
        <v>9</v>
      </c>
      <c r="B15" s="5" t="s">
        <v>15</v>
      </c>
      <c r="C15" s="4" t="s">
        <v>1249</v>
      </c>
      <c r="D15" s="3" t="s">
        <v>49</v>
      </c>
      <c r="F15" s="15">
        <f>F16+F17</f>
        <v>0</v>
      </c>
      <c r="G15" s="15">
        <f>G16+G17</f>
        <v>0</v>
      </c>
    </row>
    <row r="16" spans="1:8" ht="15" customHeight="1" x14ac:dyDescent="0.25">
      <c r="A16" s="5" t="s">
        <v>12</v>
      </c>
      <c r="B16" s="5" t="s">
        <v>15</v>
      </c>
      <c r="C16" s="7" t="s">
        <v>1250</v>
      </c>
      <c r="D16" s="5" t="s">
        <v>51</v>
      </c>
    </row>
    <row r="17" spans="1:7" ht="15" customHeight="1" x14ac:dyDescent="0.25">
      <c r="A17" s="5" t="s">
        <v>12</v>
      </c>
      <c r="B17" s="5" t="s">
        <v>15</v>
      </c>
      <c r="C17" s="7" t="s">
        <v>1251</v>
      </c>
      <c r="D17" s="5" t="s">
        <v>53</v>
      </c>
    </row>
    <row r="18" spans="1:7" ht="15" customHeight="1" x14ac:dyDescent="0.25">
      <c r="A18" s="3" t="s">
        <v>9</v>
      </c>
      <c r="B18" s="5" t="s">
        <v>15</v>
      </c>
      <c r="C18" s="4" t="s">
        <v>1252</v>
      </c>
      <c r="D18" s="3" t="s">
        <v>55</v>
      </c>
      <c r="F18" s="15">
        <f>F19+F22+F23+F24</f>
        <v>0</v>
      </c>
      <c r="G18" s="15">
        <f>G19+G22+G23+G24</f>
        <v>0</v>
      </c>
    </row>
    <row r="19" spans="1:7" ht="15" customHeight="1" x14ac:dyDescent="0.25">
      <c r="A19" s="5" t="s">
        <v>12</v>
      </c>
      <c r="B19" s="5" t="s">
        <v>15</v>
      </c>
      <c r="C19" s="7" t="s">
        <v>1253</v>
      </c>
      <c r="D19" s="5" t="s">
        <v>656</v>
      </c>
      <c r="F19" s="15">
        <f>F20+F21</f>
        <v>0</v>
      </c>
      <c r="G19" s="15">
        <f>G20+G21</f>
        <v>0</v>
      </c>
    </row>
    <row r="20" spans="1:7" ht="15" customHeight="1" x14ac:dyDescent="0.25">
      <c r="A20" s="5" t="s">
        <v>74</v>
      </c>
      <c r="B20" s="5" t="s">
        <v>15</v>
      </c>
      <c r="C20" s="7" t="s">
        <v>1254</v>
      </c>
      <c r="D20" s="5" t="s">
        <v>658</v>
      </c>
    </row>
    <row r="21" spans="1:7" ht="15" customHeight="1" x14ac:dyDescent="0.25">
      <c r="A21" s="5" t="s">
        <v>74</v>
      </c>
      <c r="B21" s="5" t="s">
        <v>15</v>
      </c>
      <c r="C21" s="7" t="s">
        <v>1255</v>
      </c>
      <c r="D21" s="5" t="s">
        <v>660</v>
      </c>
    </row>
    <row r="22" spans="1:7" ht="15" customHeight="1" x14ac:dyDescent="0.25">
      <c r="A22" s="5" t="s">
        <v>12</v>
      </c>
      <c r="B22" s="5" t="s">
        <v>15</v>
      </c>
      <c r="C22" s="7" t="s">
        <v>1256</v>
      </c>
      <c r="D22" s="5" t="s">
        <v>662</v>
      </c>
    </row>
    <row r="23" spans="1:7" ht="15" customHeight="1" x14ac:dyDescent="0.25">
      <c r="A23" s="5" t="s">
        <v>12</v>
      </c>
      <c r="B23" s="5" t="s">
        <v>15</v>
      </c>
      <c r="C23" s="7" t="s">
        <v>1257</v>
      </c>
      <c r="D23" s="5" t="s">
        <v>664</v>
      </c>
    </row>
    <row r="24" spans="1:7" ht="15" customHeight="1" x14ac:dyDescent="0.25">
      <c r="A24" s="5" t="s">
        <v>12</v>
      </c>
      <c r="B24" s="5" t="s">
        <v>15</v>
      </c>
      <c r="C24" s="7" t="s">
        <v>1258</v>
      </c>
      <c r="D24" s="5" t="s">
        <v>666</v>
      </c>
    </row>
    <row r="25" spans="1:7" ht="15" customHeight="1" x14ac:dyDescent="0.25">
      <c r="A25" s="3" t="s">
        <v>9</v>
      </c>
      <c r="B25" s="5" t="s">
        <v>15</v>
      </c>
      <c r="C25" s="4" t="s">
        <v>1259</v>
      </c>
      <c r="D25" s="3" t="s">
        <v>668</v>
      </c>
    </row>
    <row r="26" spans="1:7" ht="15" customHeight="1" x14ac:dyDescent="0.25">
      <c r="A26" s="3" t="s">
        <v>9</v>
      </c>
      <c r="B26" s="5" t="s">
        <v>15</v>
      </c>
      <c r="C26" s="4" t="s">
        <v>1260</v>
      </c>
      <c r="D26" s="3" t="s">
        <v>57</v>
      </c>
    </row>
    <row r="27" spans="1:7" ht="15" customHeight="1" x14ac:dyDescent="0.25">
      <c r="A27" s="3" t="s">
        <v>6</v>
      </c>
      <c r="B27" s="5" t="s">
        <v>1</v>
      </c>
      <c r="C27" s="4" t="s">
        <v>1261</v>
      </c>
      <c r="D27" s="3" t="s">
        <v>59</v>
      </c>
    </row>
    <row r="28" spans="1:7" ht="15" customHeight="1" x14ac:dyDescent="0.25">
      <c r="A28" s="3" t="s">
        <v>6</v>
      </c>
      <c r="B28" s="5" t="s">
        <v>517</v>
      </c>
      <c r="C28" s="4" t="s">
        <v>1262</v>
      </c>
      <c r="D28" s="3" t="s">
        <v>672</v>
      </c>
      <c r="F28" s="15">
        <f>F9-F10-F11+F27</f>
        <v>0</v>
      </c>
      <c r="G28" s="15" t="e">
        <f>G9-G10-G11+G27</f>
        <v>#DIV/0!</v>
      </c>
    </row>
    <row r="29" spans="1:7" ht="15" customHeight="1" x14ac:dyDescent="0.25">
      <c r="A29" s="3" t="s">
        <v>6</v>
      </c>
      <c r="B29" s="5" t="s">
        <v>15</v>
      </c>
      <c r="C29" s="4" t="s">
        <v>1263</v>
      </c>
      <c r="D29" s="3" t="s">
        <v>674</v>
      </c>
    </row>
    <row r="30" spans="1:7" ht="15" customHeight="1" x14ac:dyDescent="0.25">
      <c r="A30" s="3" t="s">
        <v>6</v>
      </c>
      <c r="B30" s="5" t="s">
        <v>517</v>
      </c>
      <c r="C30" s="4" t="s">
        <v>1264</v>
      </c>
      <c r="D30" s="3" t="s">
        <v>61</v>
      </c>
      <c r="F30" s="15">
        <f>F28-F29</f>
        <v>0</v>
      </c>
      <c r="G30" s="15" t="e">
        <f>G28-G29</f>
        <v>#DIV/0!</v>
      </c>
    </row>
    <row r="31" spans="1:7" ht="15" customHeight="1" x14ac:dyDescent="0.25">
      <c r="A31" s="5"/>
      <c r="B31" s="5"/>
      <c r="C31" s="14"/>
      <c r="D31" s="14"/>
    </row>
    <row r="32" spans="1:7" ht="15" customHeight="1" x14ac:dyDescent="0.25">
      <c r="A32" s="3" t="s">
        <v>6</v>
      </c>
      <c r="B32" s="5" t="s">
        <v>67</v>
      </c>
      <c r="C32" s="13" t="s">
        <v>1265</v>
      </c>
      <c r="D32" s="13" t="s">
        <v>851</v>
      </c>
      <c r="F32" s="15">
        <f>F33+F38+F39</f>
        <v>0</v>
      </c>
      <c r="G32" s="15">
        <f>G33+G38+G39</f>
        <v>0</v>
      </c>
    </row>
    <row r="33" spans="1:7" ht="15" customHeight="1" x14ac:dyDescent="0.25">
      <c r="A33" s="3" t="s">
        <v>9</v>
      </c>
      <c r="B33" s="5" t="s">
        <v>67</v>
      </c>
      <c r="C33" s="13" t="s">
        <v>1266</v>
      </c>
      <c r="D33" s="13" t="s">
        <v>1216</v>
      </c>
      <c r="F33" s="15">
        <f>F34</f>
        <v>0</v>
      </c>
      <c r="G33" s="15">
        <f>G34</f>
        <v>0</v>
      </c>
    </row>
    <row r="34" spans="1:7" ht="15" customHeight="1" x14ac:dyDescent="0.25">
      <c r="A34" s="5" t="s">
        <v>12</v>
      </c>
      <c r="B34" s="5" t="s">
        <v>67</v>
      </c>
      <c r="C34" s="14" t="s">
        <v>1267</v>
      </c>
      <c r="D34" s="14" t="s">
        <v>142</v>
      </c>
      <c r="F34" s="15">
        <f>F35+F37</f>
        <v>0</v>
      </c>
      <c r="G34" s="15">
        <f>G35+G37</f>
        <v>0</v>
      </c>
    </row>
    <row r="35" spans="1:7" ht="15" customHeight="1" x14ac:dyDescent="0.25">
      <c r="A35" s="5" t="s">
        <v>74</v>
      </c>
      <c r="B35" s="5" t="s">
        <v>67</v>
      </c>
      <c r="C35" s="14" t="s">
        <v>1268</v>
      </c>
      <c r="D35" s="14" t="s">
        <v>75</v>
      </c>
    </row>
    <row r="36" spans="1:7" ht="15" customHeight="1" x14ac:dyDescent="0.25">
      <c r="A36" s="5" t="s">
        <v>1395</v>
      </c>
      <c r="B36" s="5" t="s">
        <v>67</v>
      </c>
      <c r="C36" s="14" t="s">
        <v>2112</v>
      </c>
      <c r="D36" s="14" t="s">
        <v>2126</v>
      </c>
    </row>
    <row r="37" spans="1:7" ht="15" customHeight="1" x14ac:dyDescent="0.25">
      <c r="A37" s="5" t="s">
        <v>74</v>
      </c>
      <c r="B37" s="5" t="s">
        <v>67</v>
      </c>
      <c r="C37" s="14" t="s">
        <v>2111</v>
      </c>
      <c r="D37" s="14" t="s">
        <v>77</v>
      </c>
    </row>
    <row r="38" spans="1:7" ht="15" customHeight="1" x14ac:dyDescent="0.25">
      <c r="A38" s="3" t="s">
        <v>9</v>
      </c>
      <c r="B38" s="5" t="s">
        <v>67</v>
      </c>
      <c r="C38" s="13" t="s">
        <v>1269</v>
      </c>
      <c r="D38" s="13" t="s">
        <v>853</v>
      </c>
    </row>
    <row r="39" spans="1:7" ht="15" customHeight="1" x14ac:dyDescent="0.25">
      <c r="A39" s="3" t="s">
        <v>9</v>
      </c>
      <c r="B39" s="5" t="s">
        <v>67</v>
      </c>
      <c r="C39" s="13" t="s">
        <v>1270</v>
      </c>
      <c r="D39" s="13" t="s">
        <v>854</v>
      </c>
    </row>
    <row r="40" spans="1:7" ht="15" customHeight="1" x14ac:dyDescent="0.25">
      <c r="A40" s="3" t="s">
        <v>6</v>
      </c>
      <c r="B40" s="5" t="s">
        <v>521</v>
      </c>
      <c r="C40" s="13" t="s">
        <v>1271</v>
      </c>
      <c r="D40" s="13" t="s">
        <v>855</v>
      </c>
      <c r="F40" s="15">
        <f>F41+F46+F47</f>
        <v>0</v>
      </c>
      <c r="G40" s="15">
        <f>G41+G46+G47</f>
        <v>0</v>
      </c>
    </row>
    <row r="41" spans="1:7" ht="15" customHeight="1" x14ac:dyDescent="0.25">
      <c r="A41" s="3" t="s">
        <v>9</v>
      </c>
      <c r="B41" s="5" t="s">
        <v>521</v>
      </c>
      <c r="C41" s="13" t="s">
        <v>1272</v>
      </c>
      <c r="D41" s="13" t="s">
        <v>852</v>
      </c>
      <c r="F41" s="15">
        <f>F42</f>
        <v>0</v>
      </c>
      <c r="G41" s="15">
        <f>G42</f>
        <v>0</v>
      </c>
    </row>
    <row r="42" spans="1:7" ht="15" customHeight="1" x14ac:dyDescent="0.25">
      <c r="A42" s="5" t="s">
        <v>12</v>
      </c>
      <c r="B42" s="5" t="s">
        <v>521</v>
      </c>
      <c r="C42" s="14" t="s">
        <v>1273</v>
      </c>
      <c r="D42" s="14" t="s">
        <v>142</v>
      </c>
      <c r="F42" s="15">
        <f>F43+F45</f>
        <v>0</v>
      </c>
      <c r="G42" s="15">
        <f>G43+G45</f>
        <v>0</v>
      </c>
    </row>
    <row r="43" spans="1:7" ht="15" customHeight="1" x14ac:dyDescent="0.25">
      <c r="A43" s="5" t="s">
        <v>74</v>
      </c>
      <c r="B43" s="5" t="s">
        <v>521</v>
      </c>
      <c r="C43" s="14" t="s">
        <v>1274</v>
      </c>
      <c r="D43" s="14" t="s">
        <v>75</v>
      </c>
    </row>
    <row r="44" spans="1:7" ht="15" customHeight="1" x14ac:dyDescent="0.25">
      <c r="A44" s="5" t="s">
        <v>1395</v>
      </c>
      <c r="B44" s="5" t="s">
        <v>521</v>
      </c>
      <c r="C44" s="14" t="s">
        <v>2113</v>
      </c>
      <c r="D44" s="14" t="s">
        <v>2126</v>
      </c>
    </row>
    <row r="45" spans="1:7" ht="15" customHeight="1" x14ac:dyDescent="0.25">
      <c r="A45" s="5" t="s">
        <v>74</v>
      </c>
      <c r="B45" s="5" t="s">
        <v>521</v>
      </c>
      <c r="C45" s="14" t="s">
        <v>2114</v>
      </c>
      <c r="D45" s="14" t="s">
        <v>77</v>
      </c>
    </row>
    <row r="46" spans="1:7" ht="15" customHeight="1" x14ac:dyDescent="0.25">
      <c r="A46" s="3" t="s">
        <v>9</v>
      </c>
      <c r="B46" s="5" t="s">
        <v>521</v>
      </c>
      <c r="C46" s="13" t="s">
        <v>1275</v>
      </c>
      <c r="D46" s="13" t="s">
        <v>853</v>
      </c>
    </row>
    <row r="47" spans="1:7" ht="15" customHeight="1" x14ac:dyDescent="0.25">
      <c r="A47" s="3" t="s">
        <v>9</v>
      </c>
      <c r="B47" s="5" t="s">
        <v>521</v>
      </c>
      <c r="C47" s="13" t="s">
        <v>1276</v>
      </c>
      <c r="D47" s="13" t="s">
        <v>854</v>
      </c>
    </row>
    <row r="48" spans="1:7" ht="15" customHeight="1" x14ac:dyDescent="0.25">
      <c r="A48" s="3"/>
      <c r="B48" s="5"/>
      <c r="C48" s="13"/>
      <c r="D48" s="13"/>
    </row>
    <row r="49" spans="1:8" ht="15" customHeight="1" x14ac:dyDescent="0.25">
      <c r="A49" s="3" t="s">
        <v>6</v>
      </c>
      <c r="B49" s="5" t="s">
        <v>111</v>
      </c>
      <c r="C49" s="13" t="s">
        <v>1987</v>
      </c>
      <c r="D49" s="13" t="s">
        <v>887</v>
      </c>
      <c r="F49" s="15">
        <f>F50</f>
        <v>0</v>
      </c>
      <c r="G49" s="15">
        <f>G50</f>
        <v>0</v>
      </c>
    </row>
    <row r="50" spans="1:8" ht="15" customHeight="1" x14ac:dyDescent="0.25">
      <c r="A50" s="3" t="s">
        <v>9</v>
      </c>
      <c r="B50" s="5" t="s">
        <v>111</v>
      </c>
      <c r="C50" s="13" t="s">
        <v>1989</v>
      </c>
      <c r="D50" s="13" t="s">
        <v>150</v>
      </c>
    </row>
    <row r="51" spans="1:8" ht="15" customHeight="1" x14ac:dyDescent="0.25">
      <c r="A51" s="3" t="s">
        <v>6</v>
      </c>
      <c r="B51" s="5" t="s">
        <v>539</v>
      </c>
      <c r="C51" s="13" t="s">
        <v>1988</v>
      </c>
      <c r="D51" s="13" t="s">
        <v>893</v>
      </c>
      <c r="F51" s="15">
        <f>F52</f>
        <v>0</v>
      </c>
      <c r="G51" s="15">
        <f>G52</f>
        <v>0</v>
      </c>
    </row>
    <row r="52" spans="1:8" ht="15" customHeight="1" x14ac:dyDescent="0.25">
      <c r="A52" s="3" t="s">
        <v>9</v>
      </c>
      <c r="B52" s="5" t="s">
        <v>539</v>
      </c>
      <c r="C52" s="13" t="s">
        <v>1990</v>
      </c>
      <c r="D52" s="13" t="s">
        <v>150</v>
      </c>
    </row>
    <row r="53" spans="1:8" ht="15" customHeight="1" x14ac:dyDescent="0.25">
      <c r="A53" s="3"/>
      <c r="B53" s="5"/>
      <c r="C53" s="13"/>
      <c r="D53" s="13"/>
    </row>
    <row r="54" spans="1:8" ht="15" customHeight="1" x14ac:dyDescent="0.25">
      <c r="A54" s="3" t="s">
        <v>6</v>
      </c>
      <c r="B54" s="3" t="s">
        <v>1</v>
      </c>
      <c r="C54" s="13" t="s">
        <v>1186</v>
      </c>
      <c r="D54" s="13" t="s">
        <v>1176</v>
      </c>
      <c r="E54" s="19"/>
      <c r="F54" s="19">
        <f>F55+F84</f>
        <v>0</v>
      </c>
      <c r="G54" s="19">
        <f>G55+G84</f>
        <v>0</v>
      </c>
      <c r="H54" s="19"/>
    </row>
    <row r="55" spans="1:8" ht="15" customHeight="1" x14ac:dyDescent="0.25">
      <c r="A55" s="3" t="s">
        <v>9</v>
      </c>
      <c r="B55" s="3" t="s">
        <v>1</v>
      </c>
      <c r="C55" s="13" t="s">
        <v>1187</v>
      </c>
      <c r="D55" s="13" t="s">
        <v>1182</v>
      </c>
      <c r="E55" s="19"/>
      <c r="F55" s="19">
        <f>F56+F74</f>
        <v>0</v>
      </c>
      <c r="G55" s="19">
        <f>G56+G74</f>
        <v>0</v>
      </c>
      <c r="H55" s="19"/>
    </row>
    <row r="56" spans="1:8" s="19" customFormat="1" ht="15" customHeight="1" x14ac:dyDescent="0.25">
      <c r="A56" s="3" t="s">
        <v>12</v>
      </c>
      <c r="B56" s="3" t="s">
        <v>1</v>
      </c>
      <c r="C56" s="13" t="s">
        <v>1188</v>
      </c>
      <c r="D56" s="13" t="s">
        <v>1183</v>
      </c>
      <c r="G56" s="19">
        <f>G58+G71-G64-G69-G72</f>
        <v>0</v>
      </c>
    </row>
    <row r="57" spans="1:8" ht="15" customHeight="1" x14ac:dyDescent="0.25">
      <c r="A57" s="21" t="s">
        <v>74</v>
      </c>
      <c r="B57" s="21" t="s">
        <v>518</v>
      </c>
      <c r="C57" s="16" t="s">
        <v>1189</v>
      </c>
      <c r="D57" s="16" t="s">
        <v>1184</v>
      </c>
      <c r="E57" s="22"/>
      <c r="F57" s="22" t="e">
        <f>F56/F43</f>
        <v>#DIV/0!</v>
      </c>
      <c r="G57" s="22" t="e">
        <f>G56/G43</f>
        <v>#DIV/0!</v>
      </c>
      <c r="H57" s="22" t="s">
        <v>1163</v>
      </c>
    </row>
    <row r="58" spans="1:8" ht="15" customHeight="1" x14ac:dyDescent="0.25">
      <c r="A58" s="21" t="s">
        <v>74</v>
      </c>
      <c r="B58" s="21" t="s">
        <v>1</v>
      </c>
      <c r="C58" s="16" t="s">
        <v>1190</v>
      </c>
      <c r="D58" s="16" t="s">
        <v>1198</v>
      </c>
      <c r="E58" s="22"/>
      <c r="F58" s="22">
        <f>F56-F71+F64+F69+F72</f>
        <v>0</v>
      </c>
      <c r="G58" s="22">
        <f>G43*G60/1.06*(1-G61)</f>
        <v>0</v>
      </c>
      <c r="H58" s="22" t="s">
        <v>1167</v>
      </c>
    </row>
    <row r="59" spans="1:8" ht="15" customHeight="1" x14ac:dyDescent="0.25">
      <c r="A59" s="5" t="s">
        <v>1395</v>
      </c>
      <c r="B59" s="5" t="s">
        <v>518</v>
      </c>
      <c r="C59" s="14" t="s">
        <v>1396</v>
      </c>
      <c r="D59" s="14" t="s">
        <v>1387</v>
      </c>
      <c r="F59" s="15" t="e">
        <f>F58/F43</f>
        <v>#DIV/0!</v>
      </c>
      <c r="G59" s="15" t="e">
        <f>G58/G43</f>
        <v>#DIV/0!</v>
      </c>
      <c r="H59" s="15" t="s">
        <v>1163</v>
      </c>
    </row>
    <row r="60" spans="1:8" ht="15" customHeight="1" x14ac:dyDescent="0.25">
      <c r="A60" s="5" t="s">
        <v>1395</v>
      </c>
      <c r="B60" s="5" t="s">
        <v>518</v>
      </c>
      <c r="C60" s="14" t="s">
        <v>1397</v>
      </c>
      <c r="D60" s="14" t="s">
        <v>1388</v>
      </c>
    </row>
    <row r="61" spans="1:8" ht="15" customHeight="1" x14ac:dyDescent="0.25">
      <c r="A61" s="5" t="s">
        <v>1395</v>
      </c>
      <c r="B61" s="5" t="s">
        <v>518</v>
      </c>
      <c r="C61" s="14" t="s">
        <v>1398</v>
      </c>
      <c r="D61" s="14" t="s">
        <v>1389</v>
      </c>
    </row>
    <row r="62" spans="1:8" ht="15" customHeight="1" x14ac:dyDescent="0.25">
      <c r="A62" s="5" t="s">
        <v>1395</v>
      </c>
      <c r="B62" s="5" t="s">
        <v>518</v>
      </c>
      <c r="C62" s="14" t="s">
        <v>1399</v>
      </c>
      <c r="D62" s="14" t="s">
        <v>1390</v>
      </c>
    </row>
    <row r="63" spans="1:8" ht="15" customHeight="1" x14ac:dyDescent="0.25">
      <c r="A63" s="5" t="s">
        <v>1395</v>
      </c>
      <c r="B63" s="5" t="s">
        <v>518</v>
      </c>
      <c r="C63" s="14" t="s">
        <v>1406</v>
      </c>
      <c r="D63" s="14" t="s">
        <v>1391</v>
      </c>
    </row>
    <row r="64" spans="1:8" ht="15" customHeight="1" x14ac:dyDescent="0.25">
      <c r="A64" s="21" t="s">
        <v>74</v>
      </c>
      <c r="B64" s="21" t="s">
        <v>15</v>
      </c>
      <c r="C64" s="16" t="s">
        <v>1191</v>
      </c>
      <c r="D64" s="16" t="s">
        <v>1199</v>
      </c>
      <c r="E64" s="22"/>
      <c r="F64" s="22"/>
      <c r="G64" s="22">
        <f>(G43*(G60/1.06*(1-G61)*0.995-G68)-G69)*G66*(1-G67)/1.06</f>
        <v>0</v>
      </c>
      <c r="H64" s="22" t="s">
        <v>1164</v>
      </c>
    </row>
    <row r="65" spans="1:8" ht="15" customHeight="1" x14ac:dyDescent="0.25">
      <c r="A65" s="5" t="s">
        <v>1395</v>
      </c>
      <c r="B65" s="5" t="s">
        <v>518</v>
      </c>
      <c r="C65" s="14" t="s">
        <v>1400</v>
      </c>
      <c r="D65" s="14" t="s">
        <v>1401</v>
      </c>
      <c r="F65" s="15" t="e">
        <f>F64/F43</f>
        <v>#DIV/0!</v>
      </c>
      <c r="G65" s="15" t="e">
        <f>G64/G43</f>
        <v>#DIV/0!</v>
      </c>
      <c r="H65" s="15" t="s">
        <v>1163</v>
      </c>
    </row>
    <row r="66" spans="1:8" ht="15" customHeight="1" x14ac:dyDescent="0.25">
      <c r="A66" s="5" t="s">
        <v>1395</v>
      </c>
      <c r="B66" s="5" t="s">
        <v>518</v>
      </c>
      <c r="C66" s="14" t="s">
        <v>1407</v>
      </c>
      <c r="D66" s="14" t="s">
        <v>1402</v>
      </c>
    </row>
    <row r="67" spans="1:8" ht="15" customHeight="1" x14ac:dyDescent="0.25">
      <c r="A67" s="5" t="s">
        <v>1395</v>
      </c>
      <c r="B67" s="5" t="s">
        <v>518</v>
      </c>
      <c r="C67" s="14" t="s">
        <v>1408</v>
      </c>
      <c r="D67" s="14" t="s">
        <v>1403</v>
      </c>
    </row>
    <row r="68" spans="1:8" ht="15" customHeight="1" x14ac:dyDescent="0.25">
      <c r="A68" s="5" t="s">
        <v>1395</v>
      </c>
      <c r="B68" s="5" t="s">
        <v>518</v>
      </c>
      <c r="C68" s="14" t="s">
        <v>1409</v>
      </c>
      <c r="D68" s="14" t="s">
        <v>1404</v>
      </c>
      <c r="F68" s="15">
        <f>A02微账户!F137</f>
        <v>0</v>
      </c>
      <c r="G68" s="15">
        <f>A02微账户!G137</f>
        <v>0</v>
      </c>
    </row>
    <row r="69" spans="1:8" ht="15" customHeight="1" x14ac:dyDescent="0.25">
      <c r="A69" s="21" t="s">
        <v>74</v>
      </c>
      <c r="B69" s="21" t="s">
        <v>15</v>
      </c>
      <c r="C69" s="16" t="s">
        <v>1392</v>
      </c>
      <c r="D69" s="16" t="s">
        <v>1200</v>
      </c>
      <c r="E69" s="22"/>
      <c r="F69" s="22"/>
      <c r="G69" s="22">
        <f>G44*G70</f>
        <v>0</v>
      </c>
      <c r="H69" s="22" t="s">
        <v>1164</v>
      </c>
    </row>
    <row r="70" spans="1:8" ht="15" customHeight="1" x14ac:dyDescent="0.25">
      <c r="A70" s="5" t="s">
        <v>1395</v>
      </c>
      <c r="B70" s="5" t="s">
        <v>518</v>
      </c>
      <c r="C70" s="14" t="s">
        <v>1410</v>
      </c>
      <c r="D70" s="14" t="s">
        <v>1405</v>
      </c>
      <c r="F70" s="15" t="e">
        <f>F69/F44</f>
        <v>#DIV/0!</v>
      </c>
      <c r="H70" s="15" t="s">
        <v>1163</v>
      </c>
    </row>
    <row r="71" spans="1:8" ht="15" customHeight="1" x14ac:dyDescent="0.25">
      <c r="A71" s="21" t="s">
        <v>74</v>
      </c>
      <c r="B71" s="21" t="s">
        <v>1</v>
      </c>
      <c r="C71" s="16" t="s">
        <v>1393</v>
      </c>
      <c r="D71" s="16" t="s">
        <v>1201</v>
      </c>
      <c r="E71" s="22"/>
      <c r="F71" s="22"/>
      <c r="G71" s="22"/>
      <c r="H71" s="22"/>
    </row>
    <row r="72" spans="1:8" ht="15" customHeight="1" x14ac:dyDescent="0.25">
      <c r="A72" s="21" t="s">
        <v>74</v>
      </c>
      <c r="B72" s="21" t="s">
        <v>15</v>
      </c>
      <c r="C72" s="16" t="s">
        <v>1411</v>
      </c>
      <c r="D72" s="16" t="s">
        <v>1202</v>
      </c>
      <c r="E72" s="22"/>
      <c r="F72" s="22">
        <f>F71*F66*(1-F67)/1.06</f>
        <v>0</v>
      </c>
      <c r="G72" s="22">
        <f>G71*G66*(1-G67)/1.06</f>
        <v>0</v>
      </c>
      <c r="H72" s="22"/>
    </row>
    <row r="73" spans="1:8" s="24" customFormat="1" ht="15" customHeight="1" x14ac:dyDescent="0.25">
      <c r="A73" s="25"/>
      <c r="B73" s="25"/>
      <c r="C73" s="26"/>
      <c r="D73" s="26"/>
    </row>
    <row r="74" spans="1:8" ht="15" customHeight="1" x14ac:dyDescent="0.25">
      <c r="A74" s="3" t="s">
        <v>12</v>
      </c>
      <c r="B74" s="3" t="s">
        <v>1</v>
      </c>
      <c r="C74" s="13" t="s">
        <v>1192</v>
      </c>
      <c r="D74" s="13" t="s">
        <v>1185</v>
      </c>
      <c r="G74" s="15">
        <f>G76-G79</f>
        <v>0</v>
      </c>
    </row>
    <row r="75" spans="1:8" ht="15" customHeight="1" x14ac:dyDescent="0.25">
      <c r="A75" s="21" t="s">
        <v>74</v>
      </c>
      <c r="B75" s="21" t="s">
        <v>518</v>
      </c>
      <c r="C75" s="16" t="s">
        <v>1193</v>
      </c>
      <c r="D75" s="16" t="s">
        <v>1195</v>
      </c>
      <c r="E75" s="22"/>
      <c r="F75" s="22" t="e">
        <f>F74/F45</f>
        <v>#DIV/0!</v>
      </c>
      <c r="G75" s="22" t="e">
        <f>G74/G45</f>
        <v>#DIV/0!</v>
      </c>
      <c r="H75" s="22" t="s">
        <v>1163</v>
      </c>
    </row>
    <row r="76" spans="1:8" ht="15" customHeight="1" x14ac:dyDescent="0.25">
      <c r="A76" s="21" t="s">
        <v>74</v>
      </c>
      <c r="B76" s="21" t="s">
        <v>1</v>
      </c>
      <c r="C76" s="16" t="s">
        <v>1194</v>
      </c>
      <c r="D76" s="16" t="s">
        <v>1197</v>
      </c>
      <c r="E76" s="22"/>
      <c r="F76" s="22">
        <f>F74+F79</f>
        <v>0</v>
      </c>
      <c r="G76" s="22">
        <f>G45*G78</f>
        <v>0</v>
      </c>
      <c r="H76" s="22" t="s">
        <v>1164</v>
      </c>
    </row>
    <row r="77" spans="1:8" ht="15" customHeight="1" x14ac:dyDescent="0.25">
      <c r="A77" s="5" t="s">
        <v>1395</v>
      </c>
      <c r="B77" s="5" t="s">
        <v>518</v>
      </c>
      <c r="C77" s="14" t="s">
        <v>1414</v>
      </c>
      <c r="D77" s="14" t="s">
        <v>1412</v>
      </c>
    </row>
    <row r="78" spans="1:8" ht="15" customHeight="1" x14ac:dyDescent="0.25">
      <c r="A78" s="5" t="s">
        <v>1395</v>
      </c>
      <c r="B78" s="5" t="s">
        <v>518</v>
      </c>
      <c r="C78" s="14" t="s">
        <v>1415</v>
      </c>
      <c r="D78" s="14" t="s">
        <v>1413</v>
      </c>
      <c r="F78" s="15" t="e">
        <f>F76/F45</f>
        <v>#DIV/0!</v>
      </c>
      <c r="G78" s="15">
        <f>G77*0.9957/1.06</f>
        <v>0</v>
      </c>
      <c r="H78" s="15" t="s">
        <v>1165</v>
      </c>
    </row>
    <row r="79" spans="1:8" ht="15" customHeight="1" x14ac:dyDescent="0.25">
      <c r="A79" s="21" t="s">
        <v>74</v>
      </c>
      <c r="B79" s="21" t="s">
        <v>15</v>
      </c>
      <c r="C79" s="16" t="s">
        <v>1416</v>
      </c>
      <c r="D79" s="16" t="s">
        <v>1196</v>
      </c>
      <c r="E79" s="22"/>
      <c r="F79" s="22"/>
      <c r="G79" s="22">
        <f>G76*G81*G82</f>
        <v>0</v>
      </c>
      <c r="H79" s="22"/>
    </row>
    <row r="80" spans="1:8" ht="15" customHeight="1" x14ac:dyDescent="0.25">
      <c r="A80" s="5" t="s">
        <v>1395</v>
      </c>
      <c r="B80" s="5" t="s">
        <v>518</v>
      </c>
      <c r="C80" s="14" t="s">
        <v>1417</v>
      </c>
      <c r="D80" s="14" t="s">
        <v>1420</v>
      </c>
      <c r="F80" s="15" t="e">
        <f>F79/F45</f>
        <v>#DIV/0!</v>
      </c>
      <c r="G80" s="15" t="e">
        <f>G79/G45</f>
        <v>#DIV/0!</v>
      </c>
      <c r="H80" s="15" t="s">
        <v>1163</v>
      </c>
    </row>
    <row r="81" spans="1:8" ht="15" customHeight="1" x14ac:dyDescent="0.25">
      <c r="A81" s="5" t="s">
        <v>1395</v>
      </c>
      <c r="B81" s="5" t="s">
        <v>518</v>
      </c>
      <c r="C81" s="14" t="s">
        <v>1418</v>
      </c>
      <c r="D81" s="14" t="s">
        <v>1421</v>
      </c>
    </row>
    <row r="82" spans="1:8" ht="15" customHeight="1" x14ac:dyDescent="0.25">
      <c r="A82" s="5" t="s">
        <v>1395</v>
      </c>
      <c r="B82" s="5" t="s">
        <v>518</v>
      </c>
      <c r="C82" s="14" t="s">
        <v>1419</v>
      </c>
      <c r="D82" s="14" t="s">
        <v>1422</v>
      </c>
    </row>
    <row r="83" spans="1:8" ht="15" customHeight="1" x14ac:dyDescent="0.25">
      <c r="A83" s="5"/>
      <c r="B83" s="5"/>
      <c r="C83" s="14"/>
      <c r="D83" s="14"/>
    </row>
    <row r="84" spans="1:8" ht="15" customHeight="1" x14ac:dyDescent="0.25">
      <c r="A84" s="3" t="s">
        <v>9</v>
      </c>
      <c r="B84" s="5" t="s">
        <v>1</v>
      </c>
      <c r="C84" s="13" t="s">
        <v>1203</v>
      </c>
      <c r="D84" s="13" t="s">
        <v>1363</v>
      </c>
      <c r="F84" s="15">
        <f>F85</f>
        <v>0</v>
      </c>
      <c r="G84" s="15">
        <f>G85</f>
        <v>0</v>
      </c>
    </row>
    <row r="85" spans="1:8" ht="15" customHeight="1" x14ac:dyDescent="0.25">
      <c r="A85" s="3" t="s">
        <v>12</v>
      </c>
      <c r="B85" s="5" t="s">
        <v>1</v>
      </c>
      <c r="C85" s="13" t="s">
        <v>1896</v>
      </c>
      <c r="D85" s="13" t="s">
        <v>1364</v>
      </c>
      <c r="G85" s="15">
        <f>G87*G88</f>
        <v>0</v>
      </c>
      <c r="H85" s="15" t="s">
        <v>1164</v>
      </c>
    </row>
    <row r="86" spans="1:8" ht="15" customHeight="1" x14ac:dyDescent="0.25">
      <c r="A86" s="5" t="s">
        <v>74</v>
      </c>
      <c r="B86" s="5" t="s">
        <v>67</v>
      </c>
      <c r="C86" s="14" t="s">
        <v>1897</v>
      </c>
      <c r="D86" s="14" t="s">
        <v>1365</v>
      </c>
    </row>
    <row r="87" spans="1:8" ht="15" customHeight="1" x14ac:dyDescent="0.25">
      <c r="A87" s="5" t="s">
        <v>74</v>
      </c>
      <c r="B87" s="5" t="s">
        <v>521</v>
      </c>
      <c r="C87" s="14" t="s">
        <v>1898</v>
      </c>
      <c r="D87" s="14" t="s">
        <v>1366</v>
      </c>
    </row>
    <row r="88" spans="1:8" ht="15" customHeight="1" x14ac:dyDescent="0.25">
      <c r="A88" s="5" t="s">
        <v>74</v>
      </c>
      <c r="B88" s="5" t="s">
        <v>518</v>
      </c>
      <c r="C88" s="14" t="s">
        <v>1899</v>
      </c>
      <c r="D88" s="14" t="s">
        <v>1367</v>
      </c>
      <c r="F88" s="15" t="e">
        <f>F85/F87</f>
        <v>#DIV/0!</v>
      </c>
      <c r="H88" s="15" t="s">
        <v>1163</v>
      </c>
    </row>
    <row r="89" spans="1:8" ht="15" customHeight="1" x14ac:dyDescent="0.25">
      <c r="A89" s="5"/>
      <c r="B89" s="5"/>
      <c r="C89" s="14"/>
      <c r="D89" s="14"/>
    </row>
    <row r="90" spans="1:8" ht="15" customHeight="1" x14ac:dyDescent="0.25">
      <c r="A90" s="3" t="s">
        <v>6</v>
      </c>
      <c r="B90" s="3" t="s">
        <v>15</v>
      </c>
      <c r="C90" s="13" t="s">
        <v>1204</v>
      </c>
      <c r="D90" s="13" t="s">
        <v>868</v>
      </c>
      <c r="E90" s="19"/>
      <c r="F90" s="19">
        <f>F91+F96+F99</f>
        <v>0</v>
      </c>
      <c r="G90" s="19">
        <f>G91+G96+G99</f>
        <v>0</v>
      </c>
      <c r="H90" s="19"/>
    </row>
    <row r="91" spans="1:8" ht="15" customHeight="1" x14ac:dyDescent="0.25">
      <c r="A91" s="3" t="s">
        <v>9</v>
      </c>
      <c r="B91" s="3" t="s">
        <v>15</v>
      </c>
      <c r="C91" s="13" t="s">
        <v>1205</v>
      </c>
      <c r="D91" s="13" t="s">
        <v>1177</v>
      </c>
      <c r="E91" s="19"/>
      <c r="F91" s="19">
        <f>F92+F94</f>
        <v>0</v>
      </c>
      <c r="G91" s="19">
        <f>G92+G94</f>
        <v>0</v>
      </c>
      <c r="H91" s="19"/>
    </row>
    <row r="92" spans="1:8" ht="15" customHeight="1" x14ac:dyDescent="0.25">
      <c r="A92" s="5" t="s">
        <v>12</v>
      </c>
      <c r="B92" s="5" t="s">
        <v>15</v>
      </c>
      <c r="C92" s="14" t="s">
        <v>1211</v>
      </c>
      <c r="D92" s="14" t="s">
        <v>1178</v>
      </c>
      <c r="G92" s="15">
        <f>G43*G93</f>
        <v>0</v>
      </c>
      <c r="H92" s="15" t="s">
        <v>1164</v>
      </c>
    </row>
    <row r="93" spans="1:8" ht="15" customHeight="1" x14ac:dyDescent="0.25">
      <c r="A93" s="5" t="s">
        <v>74</v>
      </c>
      <c r="B93" s="5" t="s">
        <v>518</v>
      </c>
      <c r="C93" s="14" t="s">
        <v>1213</v>
      </c>
      <c r="D93" s="14" t="s">
        <v>1206</v>
      </c>
      <c r="F93" s="15" t="e">
        <f>F92/F43</f>
        <v>#DIV/0!</v>
      </c>
      <c r="H93" s="15" t="s">
        <v>1163</v>
      </c>
    </row>
    <row r="94" spans="1:8" ht="15" customHeight="1" x14ac:dyDescent="0.25">
      <c r="A94" s="5" t="s">
        <v>12</v>
      </c>
      <c r="B94" s="5" t="s">
        <v>15</v>
      </c>
      <c r="C94" s="14" t="s">
        <v>1212</v>
      </c>
      <c r="D94" s="14" t="s">
        <v>1179</v>
      </c>
      <c r="G94" s="15">
        <f>G45*G95</f>
        <v>0</v>
      </c>
      <c r="H94" s="15" t="s">
        <v>1164</v>
      </c>
    </row>
    <row r="95" spans="1:8" ht="15" customHeight="1" x14ac:dyDescent="0.25">
      <c r="A95" s="5" t="s">
        <v>74</v>
      </c>
      <c r="B95" s="5" t="s">
        <v>518</v>
      </c>
      <c r="C95" s="14" t="s">
        <v>1214</v>
      </c>
      <c r="D95" s="14" t="s">
        <v>1207</v>
      </c>
      <c r="F95" s="15" t="e">
        <f>F94/F45</f>
        <v>#DIV/0!</v>
      </c>
      <c r="H95" s="15" t="s">
        <v>1163</v>
      </c>
    </row>
    <row r="96" spans="1:8" ht="15" customHeight="1" x14ac:dyDescent="0.25">
      <c r="A96" s="3" t="s">
        <v>9</v>
      </c>
      <c r="B96" s="3" t="s">
        <v>15</v>
      </c>
      <c r="C96" s="13" t="s">
        <v>1215</v>
      </c>
      <c r="D96" s="13" t="s">
        <v>1180</v>
      </c>
      <c r="E96" s="19"/>
      <c r="F96" s="19">
        <f>F97</f>
        <v>0</v>
      </c>
      <c r="G96" s="19">
        <f>G97</f>
        <v>0</v>
      </c>
      <c r="H96" s="19"/>
    </row>
    <row r="97" spans="1:8" ht="15" customHeight="1" x14ac:dyDescent="0.25">
      <c r="A97" s="5" t="s">
        <v>12</v>
      </c>
      <c r="B97" s="5" t="s">
        <v>15</v>
      </c>
      <c r="C97" s="14" t="s">
        <v>1900</v>
      </c>
      <c r="D97" s="14" t="s">
        <v>1181</v>
      </c>
      <c r="G97" s="15">
        <f>G87*G98</f>
        <v>0</v>
      </c>
      <c r="H97" s="15" t="s">
        <v>1164</v>
      </c>
    </row>
    <row r="98" spans="1:8" ht="15" customHeight="1" x14ac:dyDescent="0.25">
      <c r="A98" s="5" t="s">
        <v>74</v>
      </c>
      <c r="B98" s="5" t="s">
        <v>518</v>
      </c>
      <c r="C98" s="14" t="s">
        <v>1901</v>
      </c>
      <c r="D98" s="14" t="s">
        <v>1208</v>
      </c>
      <c r="F98" s="15" t="e">
        <f>F97/F87</f>
        <v>#DIV/0!</v>
      </c>
      <c r="H98" s="15" t="s">
        <v>1163</v>
      </c>
    </row>
    <row r="99" spans="1:8" ht="15" customHeight="1" x14ac:dyDescent="0.25">
      <c r="A99" s="3" t="s">
        <v>9</v>
      </c>
      <c r="B99" s="3" t="s">
        <v>15</v>
      </c>
      <c r="C99" s="13" t="s">
        <v>1503</v>
      </c>
      <c r="D99" s="13" t="s">
        <v>1209</v>
      </c>
      <c r="E99" s="19"/>
      <c r="F99" s="19">
        <f>F100</f>
        <v>0</v>
      </c>
      <c r="G99" s="19">
        <f>G100</f>
        <v>0</v>
      </c>
      <c r="H99" s="19"/>
    </row>
    <row r="100" spans="1:8" ht="15" customHeight="1" x14ac:dyDescent="0.25">
      <c r="A100" s="5" t="s">
        <v>12</v>
      </c>
      <c r="B100" s="5" t="s">
        <v>15</v>
      </c>
      <c r="C100" s="14" t="s">
        <v>1504</v>
      </c>
      <c r="D100" s="14" t="s">
        <v>1210</v>
      </c>
    </row>
    <row r="101" spans="1:8" ht="15" customHeight="1" x14ac:dyDescent="0.25">
      <c r="A101" s="5"/>
      <c r="B101" s="5"/>
      <c r="C101" s="14"/>
      <c r="D101" s="14"/>
    </row>
    <row r="102" spans="1:8" s="19" customFormat="1" ht="15" customHeight="1" x14ac:dyDescent="0.25">
      <c r="A102" s="3" t="s">
        <v>6</v>
      </c>
      <c r="B102" s="3" t="s">
        <v>15</v>
      </c>
      <c r="C102" s="13" t="s">
        <v>1217</v>
      </c>
      <c r="D102" s="13" t="s">
        <v>1218</v>
      </c>
      <c r="F102" s="19">
        <f>F103+F105</f>
        <v>0</v>
      </c>
      <c r="G102" s="19">
        <f>G103+G105</f>
        <v>0</v>
      </c>
    </row>
    <row r="103" spans="1:8" ht="15" customHeight="1" x14ac:dyDescent="0.25">
      <c r="A103" s="3" t="s">
        <v>9</v>
      </c>
      <c r="B103" s="3" t="s">
        <v>15</v>
      </c>
      <c r="C103" s="13" t="s">
        <v>1219</v>
      </c>
      <c r="D103" s="13" t="s">
        <v>1377</v>
      </c>
      <c r="E103" s="19"/>
      <c r="F103" s="19"/>
      <c r="G103" s="19">
        <f>G52*G104</f>
        <v>0</v>
      </c>
      <c r="H103" s="15" t="s">
        <v>1164</v>
      </c>
    </row>
    <row r="104" spans="1:8" ht="15" customHeight="1" x14ac:dyDescent="0.25">
      <c r="A104" s="5" t="s">
        <v>12</v>
      </c>
      <c r="B104" s="5" t="s">
        <v>518</v>
      </c>
      <c r="C104" s="14" t="s">
        <v>1220</v>
      </c>
      <c r="D104" s="14" t="s">
        <v>1587</v>
      </c>
      <c r="F104" s="15" t="e">
        <f>F103/F52</f>
        <v>#DIV/0!</v>
      </c>
      <c r="H104" s="15" t="s">
        <v>1163</v>
      </c>
    </row>
    <row r="105" spans="1:8" ht="15" customHeight="1" x14ac:dyDescent="0.25">
      <c r="A105" s="3" t="s">
        <v>9</v>
      </c>
      <c r="B105" s="3" t="s">
        <v>15</v>
      </c>
      <c r="C105" s="13" t="s">
        <v>1221</v>
      </c>
      <c r="D105" s="13" t="s">
        <v>867</v>
      </c>
      <c r="E105" s="19"/>
      <c r="F105" s="19">
        <f>F106</f>
        <v>0</v>
      </c>
      <c r="G105" s="19">
        <f>G106</f>
        <v>0</v>
      </c>
      <c r="H105" s="19"/>
    </row>
    <row r="106" spans="1:8" ht="15" customHeight="1" x14ac:dyDescent="0.25">
      <c r="A106" s="5" t="s">
        <v>12</v>
      </c>
      <c r="B106" s="5" t="s">
        <v>15</v>
      </c>
      <c r="C106" s="14" t="s">
        <v>1902</v>
      </c>
      <c r="D106" s="14" t="s">
        <v>1222</v>
      </c>
      <c r="G106" s="15">
        <f>G108*G109</f>
        <v>0</v>
      </c>
      <c r="H106" s="15" t="s">
        <v>1164</v>
      </c>
    </row>
    <row r="107" spans="1:8" ht="15" customHeight="1" x14ac:dyDescent="0.25">
      <c r="A107" s="5" t="s">
        <v>74</v>
      </c>
      <c r="B107" s="5" t="s">
        <v>111</v>
      </c>
      <c r="C107" s="14" t="s">
        <v>1903</v>
      </c>
      <c r="D107" s="14" t="s">
        <v>1223</v>
      </c>
    </row>
    <row r="108" spans="1:8" ht="15" customHeight="1" x14ac:dyDescent="0.25">
      <c r="A108" s="5" t="s">
        <v>74</v>
      </c>
      <c r="B108" s="5" t="s">
        <v>539</v>
      </c>
      <c r="C108" s="14" t="s">
        <v>1904</v>
      </c>
      <c r="D108" s="14" t="s">
        <v>1224</v>
      </c>
    </row>
    <row r="109" spans="1:8" ht="15" customHeight="1" x14ac:dyDescent="0.25">
      <c r="A109" s="5" t="s">
        <v>74</v>
      </c>
      <c r="B109" s="5" t="s">
        <v>518</v>
      </c>
      <c r="C109" s="14" t="s">
        <v>1905</v>
      </c>
      <c r="D109" s="14" t="s">
        <v>1225</v>
      </c>
      <c r="F109" s="15" t="e">
        <f>F106/F108</f>
        <v>#DIV/0!</v>
      </c>
      <c r="H109" s="15" t="s">
        <v>1163</v>
      </c>
    </row>
    <row r="110" spans="1:8" ht="15" customHeight="1" x14ac:dyDescent="0.25">
      <c r="A110" s="5"/>
      <c r="B110" s="5"/>
      <c r="C110" s="14"/>
      <c r="D110" s="14"/>
    </row>
    <row r="111" spans="1:8" s="19" customFormat="1" ht="15" customHeight="1" x14ac:dyDescent="0.25">
      <c r="A111" s="3" t="s">
        <v>6</v>
      </c>
      <c r="B111" s="3" t="s">
        <v>1</v>
      </c>
      <c r="C111" s="13" t="s">
        <v>1226</v>
      </c>
      <c r="D111" s="13" t="s">
        <v>898</v>
      </c>
      <c r="F111" s="19">
        <f>F112+F114</f>
        <v>0</v>
      </c>
      <c r="G111" s="19">
        <f>G112+G114</f>
        <v>0</v>
      </c>
    </row>
    <row r="112" spans="1:8" s="19" customFormat="1" ht="15" customHeight="1" x14ac:dyDescent="0.25">
      <c r="A112" s="3" t="s">
        <v>9</v>
      </c>
      <c r="B112" s="3" t="s">
        <v>1</v>
      </c>
      <c r="C112" s="13" t="s">
        <v>1227</v>
      </c>
      <c r="D112" s="13" t="s">
        <v>1229</v>
      </c>
      <c r="G112" s="19">
        <f>G52*G113</f>
        <v>0</v>
      </c>
      <c r="H112" s="15" t="s">
        <v>1164</v>
      </c>
    </row>
    <row r="113" spans="1:8" ht="15" customHeight="1" x14ac:dyDescent="0.25">
      <c r="A113" s="15" t="s">
        <v>12</v>
      </c>
      <c r="B113" s="15" t="s">
        <v>518</v>
      </c>
      <c r="C113" s="14" t="s">
        <v>1228</v>
      </c>
      <c r="D113" s="15" t="s">
        <v>1597</v>
      </c>
      <c r="F113" s="15" t="e">
        <f>F112/F52</f>
        <v>#DIV/0!</v>
      </c>
      <c r="H113" s="15" t="s">
        <v>1163</v>
      </c>
    </row>
    <row r="114" spans="1:8" s="19" customFormat="1" ht="15" customHeight="1" x14ac:dyDescent="0.25">
      <c r="A114" s="19" t="s">
        <v>9</v>
      </c>
      <c r="B114" s="19" t="s">
        <v>1</v>
      </c>
      <c r="C114" s="13" t="s">
        <v>1231</v>
      </c>
      <c r="D114" s="19" t="s">
        <v>1232</v>
      </c>
      <c r="F114" s="19">
        <f>F115</f>
        <v>0</v>
      </c>
      <c r="G114" s="19">
        <f>G115</f>
        <v>0</v>
      </c>
    </row>
    <row r="115" spans="1:8" ht="15" customHeight="1" x14ac:dyDescent="0.25">
      <c r="A115" s="15" t="s">
        <v>12</v>
      </c>
      <c r="B115" s="15" t="s">
        <v>1</v>
      </c>
      <c r="C115" s="14" t="s">
        <v>1906</v>
      </c>
      <c r="D115" s="15" t="s">
        <v>1233</v>
      </c>
      <c r="G115" s="15">
        <f>G108*G116</f>
        <v>0</v>
      </c>
      <c r="H115" s="15" t="s">
        <v>1164</v>
      </c>
    </row>
    <row r="116" spans="1:8" ht="15" customHeight="1" x14ac:dyDescent="0.25">
      <c r="A116" s="15" t="s">
        <v>74</v>
      </c>
      <c r="B116" s="15" t="s">
        <v>518</v>
      </c>
      <c r="C116" s="14" t="s">
        <v>1907</v>
      </c>
      <c r="D116" s="15" t="s">
        <v>1234</v>
      </c>
      <c r="F116" s="15" t="e">
        <f>F115/F108</f>
        <v>#DIV/0!</v>
      </c>
      <c r="H116" s="15" t="s">
        <v>1163</v>
      </c>
    </row>
    <row r="117" spans="1:8" ht="15" customHeight="1" x14ac:dyDescent="0.25">
      <c r="C117" s="14"/>
    </row>
    <row r="118" spans="1:8" ht="15" customHeight="1" x14ac:dyDescent="0.25">
      <c r="A118" s="3" t="s">
        <v>6</v>
      </c>
      <c r="B118" s="5" t="s">
        <v>1</v>
      </c>
      <c r="C118" s="13" t="s">
        <v>1235</v>
      </c>
      <c r="D118" s="13" t="s">
        <v>869</v>
      </c>
      <c r="G118" s="15" t="e">
        <f>G119+G127+G131+G132+G133</f>
        <v>#DIV/0!</v>
      </c>
    </row>
    <row r="119" spans="1:8" ht="15" customHeight="1" x14ac:dyDescent="0.25">
      <c r="A119" s="3" t="s">
        <v>9</v>
      </c>
      <c r="B119" s="5" t="s">
        <v>1</v>
      </c>
      <c r="C119" s="13" t="s">
        <v>1277</v>
      </c>
      <c r="D119" s="13" t="s">
        <v>1283</v>
      </c>
      <c r="G119" s="15">
        <f>G121+G126</f>
        <v>0</v>
      </c>
    </row>
    <row r="120" spans="1:8" ht="15" customHeight="1" x14ac:dyDescent="0.25">
      <c r="A120" s="5" t="s">
        <v>12</v>
      </c>
      <c r="B120" s="5" t="s">
        <v>518</v>
      </c>
      <c r="C120" s="14" t="s">
        <v>1278</v>
      </c>
      <c r="D120" s="14" t="s">
        <v>1423</v>
      </c>
      <c r="F120" s="15" t="e">
        <f>F119/F46</f>
        <v>#DIV/0!</v>
      </c>
      <c r="G120" s="15" t="e">
        <f>G119/G46</f>
        <v>#DIV/0!</v>
      </c>
      <c r="H120" s="15" t="s">
        <v>1163</v>
      </c>
    </row>
    <row r="121" spans="1:8" ht="15" customHeight="1" x14ac:dyDescent="0.25">
      <c r="A121" s="5" t="s">
        <v>12</v>
      </c>
      <c r="B121" s="5" t="s">
        <v>1</v>
      </c>
      <c r="C121" s="14" t="s">
        <v>1279</v>
      </c>
      <c r="D121" s="14" t="s">
        <v>1286</v>
      </c>
      <c r="G121" s="15">
        <f>G46*G122</f>
        <v>0</v>
      </c>
      <c r="H121" s="15" t="s">
        <v>1164</v>
      </c>
    </row>
    <row r="122" spans="1:8" ht="15" customHeight="1" x14ac:dyDescent="0.25">
      <c r="A122" s="5" t="s">
        <v>74</v>
      </c>
      <c r="B122" s="5" t="s">
        <v>518</v>
      </c>
      <c r="C122" s="14" t="s">
        <v>1425</v>
      </c>
      <c r="D122" s="14" t="s">
        <v>1285</v>
      </c>
      <c r="F122" s="15" t="e">
        <f>F121/F46</f>
        <v>#DIV/0!</v>
      </c>
      <c r="G122" s="15">
        <f>G123*G124*G125/1.06</f>
        <v>0</v>
      </c>
      <c r="H122" s="15" t="s">
        <v>1165</v>
      </c>
    </row>
    <row r="123" spans="1:8" ht="15" customHeight="1" x14ac:dyDescent="0.25">
      <c r="A123" s="5" t="s">
        <v>74</v>
      </c>
      <c r="B123" s="5" t="s">
        <v>518</v>
      </c>
      <c r="C123" s="14" t="s">
        <v>1426</v>
      </c>
      <c r="D123" s="14" t="s">
        <v>1302</v>
      </c>
      <c r="G123" s="15">
        <f>G60+G63</f>
        <v>0</v>
      </c>
    </row>
    <row r="124" spans="1:8" ht="15" customHeight="1" x14ac:dyDescent="0.25">
      <c r="A124" s="5" t="s">
        <v>74</v>
      </c>
      <c r="B124" s="5" t="s">
        <v>518</v>
      </c>
      <c r="C124" s="14" t="s">
        <v>1427</v>
      </c>
      <c r="D124" s="14" t="s">
        <v>872</v>
      </c>
    </row>
    <row r="125" spans="1:8" ht="15" customHeight="1" x14ac:dyDescent="0.25">
      <c r="A125" s="5" t="s">
        <v>74</v>
      </c>
      <c r="B125" s="5" t="s">
        <v>518</v>
      </c>
      <c r="C125" s="14" t="s">
        <v>1428</v>
      </c>
      <c r="D125" s="14" t="s">
        <v>873</v>
      </c>
    </row>
    <row r="126" spans="1:8" ht="15" customHeight="1" x14ac:dyDescent="0.25">
      <c r="A126" s="5" t="s">
        <v>12</v>
      </c>
      <c r="B126" s="5" t="s">
        <v>1</v>
      </c>
      <c r="C126" s="14" t="s">
        <v>1424</v>
      </c>
      <c r="D126" s="14" t="s">
        <v>1284</v>
      </c>
    </row>
    <row r="127" spans="1:8" ht="15" customHeight="1" x14ac:dyDescent="0.25">
      <c r="A127" s="3" t="s">
        <v>9</v>
      </c>
      <c r="B127" s="5" t="s">
        <v>1</v>
      </c>
      <c r="C127" s="13" t="s">
        <v>2338</v>
      </c>
      <c r="D127" s="13" t="s">
        <v>1621</v>
      </c>
      <c r="G127" s="15" t="e">
        <f>G136*G129*G130</f>
        <v>#DIV/0!</v>
      </c>
    </row>
    <row r="128" spans="1:8" ht="15" customHeight="1" x14ac:dyDescent="0.25">
      <c r="A128" s="5" t="s">
        <v>12</v>
      </c>
      <c r="B128" s="5" t="s">
        <v>518</v>
      </c>
      <c r="C128" s="14" t="s">
        <v>2339</v>
      </c>
      <c r="D128" s="14" t="s">
        <v>871</v>
      </c>
      <c r="F128" s="15" t="e">
        <f>F127/F46</f>
        <v>#DIV/0!</v>
      </c>
      <c r="G128" s="15" t="e">
        <f>G127/G46</f>
        <v>#DIV/0!</v>
      </c>
      <c r="H128" s="15" t="s">
        <v>1163</v>
      </c>
    </row>
    <row r="129" spans="1:8" ht="15" customHeight="1" x14ac:dyDescent="0.25">
      <c r="A129" s="5" t="s">
        <v>74</v>
      </c>
      <c r="B129" s="5" t="s">
        <v>518</v>
      </c>
      <c r="C129" s="14" t="s">
        <v>2340</v>
      </c>
      <c r="D129" s="14" t="s">
        <v>874</v>
      </c>
      <c r="F129" s="15" t="e">
        <f>F46/F40</f>
        <v>#DIV/0!</v>
      </c>
      <c r="G129" s="15" t="e">
        <f>G46/G40</f>
        <v>#DIV/0!</v>
      </c>
    </row>
    <row r="130" spans="1:8" ht="15" customHeight="1" x14ac:dyDescent="0.25">
      <c r="A130" s="5" t="s">
        <v>74</v>
      </c>
      <c r="B130" s="5" t="s">
        <v>518</v>
      </c>
      <c r="C130" s="14" t="s">
        <v>2341</v>
      </c>
      <c r="D130" s="14" t="s">
        <v>875</v>
      </c>
      <c r="F130" s="15" t="e">
        <f>F127/(F136*F129)</f>
        <v>#DIV/0!</v>
      </c>
    </row>
    <row r="131" spans="1:8" ht="15" customHeight="1" x14ac:dyDescent="0.25">
      <c r="A131" s="3" t="s">
        <v>9</v>
      </c>
      <c r="B131" s="5" t="s">
        <v>1</v>
      </c>
      <c r="C131" s="13" t="s">
        <v>1280</v>
      </c>
      <c r="D131" s="13" t="s">
        <v>1619</v>
      </c>
    </row>
    <row r="132" spans="1:8" ht="15" customHeight="1" x14ac:dyDescent="0.25">
      <c r="A132" s="3" t="s">
        <v>9</v>
      </c>
      <c r="B132" s="5" t="s">
        <v>1</v>
      </c>
      <c r="C132" s="13" t="s">
        <v>1281</v>
      </c>
      <c r="D132" s="13" t="s">
        <v>1620</v>
      </c>
    </row>
    <row r="133" spans="1:8" ht="15" customHeight="1" x14ac:dyDescent="0.25">
      <c r="A133" s="3" t="s">
        <v>9</v>
      </c>
      <c r="B133" s="5" t="s">
        <v>1</v>
      </c>
      <c r="C133" s="13" t="s">
        <v>1282</v>
      </c>
      <c r="D133" s="13" t="s">
        <v>876</v>
      </c>
      <c r="F133" s="15">
        <f>F118-F119-F127-F131-F132</f>
        <v>0</v>
      </c>
    </row>
    <row r="134" spans="1:8" ht="15" customHeight="1" x14ac:dyDescent="0.25">
      <c r="A134" s="5"/>
      <c r="B134" s="5"/>
      <c r="C134" s="14"/>
      <c r="D134" s="14"/>
    </row>
    <row r="135" spans="1:8" ht="15" customHeight="1" x14ac:dyDescent="0.25">
      <c r="A135" s="3" t="s">
        <v>6</v>
      </c>
      <c r="B135" s="5" t="s">
        <v>15</v>
      </c>
      <c r="C135" s="13" t="s">
        <v>1287</v>
      </c>
      <c r="D135" s="13" t="s">
        <v>877</v>
      </c>
      <c r="G135" s="15">
        <f>G136+G138+G140+G142+G143+G150+G151+G154+G155</f>
        <v>0</v>
      </c>
    </row>
    <row r="136" spans="1:8" ht="15" customHeight="1" x14ac:dyDescent="0.25">
      <c r="A136" s="3" t="s">
        <v>9</v>
      </c>
      <c r="B136" s="5" t="s">
        <v>15</v>
      </c>
      <c r="C136" s="13" t="s">
        <v>1288</v>
      </c>
      <c r="D136" s="13" t="s">
        <v>878</v>
      </c>
      <c r="G136" s="15">
        <f>G40*G137</f>
        <v>0</v>
      </c>
      <c r="H136" s="15" t="s">
        <v>1164</v>
      </c>
    </row>
    <row r="137" spans="1:8" ht="15" customHeight="1" x14ac:dyDescent="0.25">
      <c r="A137" s="5" t="s">
        <v>12</v>
      </c>
      <c r="B137" s="5" t="s">
        <v>518</v>
      </c>
      <c r="C137" s="14" t="s">
        <v>1303</v>
      </c>
      <c r="D137" s="14" t="s">
        <v>879</v>
      </c>
      <c r="F137" s="15" t="e">
        <f>F136/F40</f>
        <v>#DIV/0!</v>
      </c>
      <c r="H137" s="15" t="s">
        <v>1163</v>
      </c>
    </row>
    <row r="138" spans="1:8" ht="15" customHeight="1" x14ac:dyDescent="0.25">
      <c r="A138" s="3" t="s">
        <v>9</v>
      </c>
      <c r="B138" s="5" t="s">
        <v>15</v>
      </c>
      <c r="C138" s="13" t="s">
        <v>1289</v>
      </c>
      <c r="D138" s="13" t="s">
        <v>880</v>
      </c>
      <c r="G138" s="15">
        <f>G40*G139</f>
        <v>0</v>
      </c>
      <c r="H138" s="15" t="s">
        <v>1164</v>
      </c>
    </row>
    <row r="139" spans="1:8" ht="15" customHeight="1" x14ac:dyDescent="0.25">
      <c r="A139" s="5" t="s">
        <v>12</v>
      </c>
      <c r="B139" s="5" t="s">
        <v>518</v>
      </c>
      <c r="C139" s="14" t="s">
        <v>1304</v>
      </c>
      <c r="D139" s="14" t="s">
        <v>879</v>
      </c>
      <c r="F139" s="15" t="e">
        <f>F138/F40</f>
        <v>#DIV/0!</v>
      </c>
      <c r="H139" s="15" t="s">
        <v>1163</v>
      </c>
    </row>
    <row r="140" spans="1:8" ht="15" customHeight="1" x14ac:dyDescent="0.25">
      <c r="A140" s="3" t="s">
        <v>9</v>
      </c>
      <c r="B140" s="5" t="s">
        <v>15</v>
      </c>
      <c r="C140" s="13" t="s">
        <v>1290</v>
      </c>
      <c r="D140" s="13" t="s">
        <v>881</v>
      </c>
      <c r="G140" s="15">
        <f>G40*G141</f>
        <v>0</v>
      </c>
      <c r="H140" s="15" t="s">
        <v>1164</v>
      </c>
    </row>
    <row r="141" spans="1:8" ht="15" customHeight="1" x14ac:dyDescent="0.25">
      <c r="A141" s="5" t="s">
        <v>12</v>
      </c>
      <c r="B141" s="5" t="s">
        <v>518</v>
      </c>
      <c r="C141" s="14" t="s">
        <v>1305</v>
      </c>
      <c r="D141" s="14" t="s">
        <v>879</v>
      </c>
      <c r="F141" s="15" t="e">
        <f>F140/F40</f>
        <v>#DIV/0!</v>
      </c>
      <c r="H141" s="15" t="s">
        <v>1163</v>
      </c>
    </row>
    <row r="142" spans="1:8" ht="15" customHeight="1" x14ac:dyDescent="0.25">
      <c r="A142" s="3" t="s">
        <v>9</v>
      </c>
      <c r="B142" s="5" t="s">
        <v>15</v>
      </c>
      <c r="C142" s="13" t="s">
        <v>1291</v>
      </c>
      <c r="D142" s="13" t="s">
        <v>882</v>
      </c>
    </row>
    <row r="143" spans="1:8" ht="15" customHeight="1" x14ac:dyDescent="0.25">
      <c r="A143" s="3" t="s">
        <v>9</v>
      </c>
      <c r="B143" s="5" t="s">
        <v>15</v>
      </c>
      <c r="C143" s="13" t="s">
        <v>1292</v>
      </c>
      <c r="D143" s="13" t="s">
        <v>1293</v>
      </c>
      <c r="G143" s="15">
        <f>G145+G149</f>
        <v>0</v>
      </c>
    </row>
    <row r="144" spans="1:8" ht="15" customHeight="1" x14ac:dyDescent="0.25">
      <c r="A144" s="5" t="s">
        <v>12</v>
      </c>
      <c r="B144" s="5" t="s">
        <v>518</v>
      </c>
      <c r="C144" s="14" t="s">
        <v>1295</v>
      </c>
      <c r="D144" s="14" t="s">
        <v>1294</v>
      </c>
      <c r="F144" s="15" t="e">
        <f>F143/F46</f>
        <v>#DIV/0!</v>
      </c>
      <c r="G144" s="15" t="e">
        <f>G143/G46</f>
        <v>#DIV/0!</v>
      </c>
      <c r="H144" s="15" t="s">
        <v>1163</v>
      </c>
    </row>
    <row r="145" spans="1:8" ht="15" customHeight="1" x14ac:dyDescent="0.25">
      <c r="A145" s="5" t="s">
        <v>12</v>
      </c>
      <c r="B145" s="5" t="s">
        <v>15</v>
      </c>
      <c r="C145" s="14" t="s">
        <v>1296</v>
      </c>
      <c r="D145" s="14" t="s">
        <v>1297</v>
      </c>
      <c r="G145" s="15">
        <f>G46*G123*(1-G147)*G124/1.06*G66*(1-G148)/1.06</f>
        <v>0</v>
      </c>
      <c r="H145" s="15" t="s">
        <v>1164</v>
      </c>
    </row>
    <row r="146" spans="1:8" ht="15" customHeight="1" x14ac:dyDescent="0.25">
      <c r="A146" s="5" t="s">
        <v>74</v>
      </c>
      <c r="B146" s="5" t="s">
        <v>518</v>
      </c>
      <c r="C146" s="14" t="s">
        <v>1429</v>
      </c>
      <c r="D146" s="14" t="s">
        <v>1298</v>
      </c>
      <c r="F146" s="15" t="e">
        <f>F145/F46</f>
        <v>#DIV/0!</v>
      </c>
      <c r="G146" s="15" t="e">
        <f>G145/G46</f>
        <v>#DIV/0!</v>
      </c>
      <c r="H146" s="15" t="s">
        <v>1163</v>
      </c>
    </row>
    <row r="147" spans="1:8" ht="15" customHeight="1" x14ac:dyDescent="0.25">
      <c r="A147" s="5" t="s">
        <v>74</v>
      </c>
      <c r="B147" s="5" t="s">
        <v>518</v>
      </c>
      <c r="C147" s="14" t="s">
        <v>1430</v>
      </c>
      <c r="D147" s="14" t="s">
        <v>1299</v>
      </c>
    </row>
    <row r="148" spans="1:8" ht="15" customHeight="1" x14ac:dyDescent="0.25">
      <c r="A148" s="5" t="s">
        <v>74</v>
      </c>
      <c r="B148" s="5" t="s">
        <v>518</v>
      </c>
      <c r="C148" s="14" t="s">
        <v>1431</v>
      </c>
      <c r="D148" s="14" t="s">
        <v>1300</v>
      </c>
    </row>
    <row r="149" spans="1:8" ht="15" customHeight="1" x14ac:dyDescent="0.25">
      <c r="A149" s="5" t="s">
        <v>12</v>
      </c>
      <c r="B149" s="5" t="s">
        <v>15</v>
      </c>
      <c r="C149" s="14" t="s">
        <v>1432</v>
      </c>
      <c r="D149" s="14" t="s">
        <v>1301</v>
      </c>
    </row>
    <row r="150" spans="1:8" ht="15" customHeight="1" x14ac:dyDescent="0.25">
      <c r="A150" s="3" t="s">
        <v>9</v>
      </c>
      <c r="B150" s="5" t="s">
        <v>15</v>
      </c>
      <c r="C150" s="13" t="s">
        <v>1309</v>
      </c>
      <c r="D150" s="13" t="s">
        <v>1306</v>
      </c>
    </row>
    <row r="151" spans="1:8" ht="15" customHeight="1" x14ac:dyDescent="0.25">
      <c r="A151" s="3" t="s">
        <v>9</v>
      </c>
      <c r="B151" s="5" t="s">
        <v>15</v>
      </c>
      <c r="C151" s="13" t="s">
        <v>1310</v>
      </c>
      <c r="D151" s="13" t="s">
        <v>1307</v>
      </c>
      <c r="G151" s="15">
        <f>G132*G152*G153/1.06</f>
        <v>0</v>
      </c>
    </row>
    <row r="152" spans="1:8" ht="15" customHeight="1" x14ac:dyDescent="0.25">
      <c r="A152" s="5" t="s">
        <v>12</v>
      </c>
      <c r="B152" s="5" t="s">
        <v>518</v>
      </c>
      <c r="C152" s="14" t="s">
        <v>1311</v>
      </c>
      <c r="D152" s="14" t="s">
        <v>1308</v>
      </c>
    </row>
    <row r="153" spans="1:8" ht="15" customHeight="1" x14ac:dyDescent="0.25">
      <c r="A153" s="5" t="s">
        <v>12</v>
      </c>
      <c r="B153" s="5" t="s">
        <v>518</v>
      </c>
      <c r="C153" s="14" t="s">
        <v>1312</v>
      </c>
      <c r="D153" s="14" t="s">
        <v>1166</v>
      </c>
    </row>
    <row r="154" spans="1:8" ht="15" customHeight="1" x14ac:dyDescent="0.25">
      <c r="A154" s="3" t="s">
        <v>9</v>
      </c>
      <c r="B154" s="5" t="s">
        <v>15</v>
      </c>
      <c r="C154" s="13" t="s">
        <v>1313</v>
      </c>
      <c r="D154" s="13" t="s">
        <v>1622</v>
      </c>
    </row>
    <row r="155" spans="1:8" ht="15" customHeight="1" x14ac:dyDescent="0.25">
      <c r="A155" s="3" t="s">
        <v>9</v>
      </c>
      <c r="B155" s="5" t="s">
        <v>15</v>
      </c>
      <c r="C155" s="13" t="s">
        <v>1314</v>
      </c>
      <c r="D155" s="13" t="s">
        <v>884</v>
      </c>
    </row>
    <row r="156" spans="1:8" ht="15" customHeight="1" x14ac:dyDescent="0.25">
      <c r="A156" s="5"/>
      <c r="B156" s="5"/>
      <c r="C156" s="14"/>
      <c r="D156" s="14"/>
    </row>
    <row r="157" spans="1:8" ht="15" customHeight="1" x14ac:dyDescent="0.25">
      <c r="A157" s="13" t="s">
        <v>6</v>
      </c>
      <c r="B157" s="14" t="s">
        <v>1</v>
      </c>
      <c r="C157" s="13" t="s">
        <v>1315</v>
      </c>
      <c r="D157" s="13" t="s">
        <v>1346</v>
      </c>
    </row>
    <row r="158" spans="1:8" ht="15" customHeight="1" x14ac:dyDescent="0.25">
      <c r="A158" s="5"/>
      <c r="B158" s="5"/>
      <c r="C158" s="14"/>
      <c r="D158" s="14"/>
    </row>
    <row r="159" spans="1:8" ht="15" customHeight="1" x14ac:dyDescent="0.25">
      <c r="A159" s="3" t="s">
        <v>6</v>
      </c>
      <c r="B159" s="5" t="s">
        <v>1</v>
      </c>
      <c r="C159" s="13" t="s">
        <v>1316</v>
      </c>
      <c r="D159" s="13" t="s">
        <v>886</v>
      </c>
    </row>
    <row r="160" spans="1:8" ht="15" customHeight="1" x14ac:dyDescent="0.25">
      <c r="A160" s="5"/>
      <c r="B160" s="5"/>
      <c r="C160" s="14"/>
      <c r="D160" s="14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64BD-4608-4B67-B641-D42EDD820677}">
  <dimension ref="A1:H147"/>
  <sheetViews>
    <sheetView workbookViewId="0">
      <pane xSplit="4" ySplit="1" topLeftCell="E8" activePane="bottomRight" state="frozen"/>
      <selection pane="topRight" activeCell="E1" sqref="E1"/>
      <selection pane="bottomLeft" activeCell="A2" sqref="A2"/>
      <selection pane="bottomRight" activeCell="H20" sqref="H20"/>
    </sheetView>
  </sheetViews>
  <sheetFormatPr defaultColWidth="8.6640625" defaultRowHeight="15" customHeight="1" x14ac:dyDescent="0.25"/>
  <cols>
    <col min="1" max="2" width="8.6640625" style="15"/>
    <col min="3" max="3" width="13" style="15" bestFit="1" customWidth="1"/>
    <col min="4" max="4" width="24.6640625" style="15" bestFit="1" customWidth="1"/>
    <col min="5" max="7" width="8.6640625" style="15"/>
    <col min="8" max="8" width="19.77734375" style="15" bestFit="1" customWidth="1"/>
    <col min="9" max="16384" width="8.6640625" style="15"/>
  </cols>
  <sheetData>
    <row r="1" spans="1:8" ht="15" customHeight="1" x14ac:dyDescent="0.25">
      <c r="A1" s="17" t="s">
        <v>2</v>
      </c>
      <c r="B1" s="17" t="s">
        <v>3</v>
      </c>
      <c r="C1" s="17" t="s">
        <v>4</v>
      </c>
      <c r="D1" s="17" t="s">
        <v>5</v>
      </c>
      <c r="E1" s="18" t="s">
        <v>229</v>
      </c>
      <c r="F1" s="18" t="s">
        <v>230</v>
      </c>
      <c r="G1" s="18" t="s">
        <v>231</v>
      </c>
      <c r="H1" s="18" t="s">
        <v>232</v>
      </c>
    </row>
    <row r="2" spans="1:8" ht="15" customHeight="1" x14ac:dyDescent="0.25">
      <c r="A2" s="3" t="s">
        <v>6</v>
      </c>
      <c r="B2" s="5" t="s">
        <v>1</v>
      </c>
      <c r="C2" s="4" t="s">
        <v>1317</v>
      </c>
      <c r="D2" s="3" t="s">
        <v>7</v>
      </c>
      <c r="F2" s="15">
        <f>F3+F6+F7</f>
        <v>0</v>
      </c>
      <c r="G2" s="15" t="e">
        <f ca="1">G3+G6+G7</f>
        <v>#NAME?</v>
      </c>
    </row>
    <row r="3" spans="1:8" ht="15" customHeight="1" x14ac:dyDescent="0.25">
      <c r="A3" s="3" t="s">
        <v>9</v>
      </c>
      <c r="B3" s="5" t="s">
        <v>1</v>
      </c>
      <c r="C3" s="4" t="s">
        <v>1318</v>
      </c>
      <c r="D3" s="3" t="s">
        <v>10</v>
      </c>
      <c r="F3" s="15">
        <f>F4+F5</f>
        <v>0</v>
      </c>
      <c r="G3" s="15" t="e">
        <f ca="1">G4+G5</f>
        <v>#NAME?</v>
      </c>
    </row>
    <row r="4" spans="1:8" ht="15" customHeight="1" x14ac:dyDescent="0.25">
      <c r="A4" s="5" t="s">
        <v>12</v>
      </c>
      <c r="B4" s="5" t="s">
        <v>1</v>
      </c>
      <c r="C4" s="7" t="s">
        <v>1319</v>
      </c>
      <c r="D4" s="5" t="s">
        <v>627</v>
      </c>
      <c r="F4" s="15">
        <f>F47-F54</f>
        <v>0</v>
      </c>
      <c r="G4" s="15">
        <f>G47-G54</f>
        <v>0</v>
      </c>
    </row>
    <row r="5" spans="1:8" ht="15" customHeight="1" x14ac:dyDescent="0.25">
      <c r="A5" s="5" t="s">
        <v>12</v>
      </c>
      <c r="B5" s="5" t="s">
        <v>1</v>
      </c>
      <c r="C5" s="7" t="s">
        <v>1320</v>
      </c>
      <c r="D5" s="5" t="s">
        <v>632</v>
      </c>
      <c r="F5" s="15">
        <f>F97-F62</f>
        <v>0</v>
      </c>
      <c r="G5" s="15" t="e">
        <f ca="1">G97-G62</f>
        <v>#NAME?</v>
      </c>
    </row>
    <row r="6" spans="1:8" ht="15" customHeight="1" x14ac:dyDescent="0.25">
      <c r="A6" s="3" t="s">
        <v>9</v>
      </c>
      <c r="B6" s="5" t="s">
        <v>1</v>
      </c>
      <c r="C6" s="4" t="s">
        <v>1321</v>
      </c>
      <c r="D6" s="3" t="s">
        <v>1174</v>
      </c>
      <c r="F6" s="15">
        <f>F120-F125</f>
        <v>0</v>
      </c>
      <c r="G6" s="15">
        <f>G120-G125</f>
        <v>0</v>
      </c>
    </row>
    <row r="7" spans="1:8" ht="15" customHeight="1" x14ac:dyDescent="0.25">
      <c r="A7" s="3" t="s">
        <v>9</v>
      </c>
      <c r="B7" s="5" t="s">
        <v>1</v>
      </c>
      <c r="C7" s="4" t="s">
        <v>1322</v>
      </c>
      <c r="D7" s="3" t="s">
        <v>23</v>
      </c>
      <c r="F7" s="15">
        <f>F131+F133</f>
        <v>0</v>
      </c>
      <c r="G7" s="15">
        <f>G131+G133</f>
        <v>0</v>
      </c>
    </row>
    <row r="8" spans="1:8" ht="15" customHeight="1" x14ac:dyDescent="0.25">
      <c r="A8" s="3" t="s">
        <v>6</v>
      </c>
      <c r="B8" s="5" t="s">
        <v>15</v>
      </c>
      <c r="C8" s="4" t="s">
        <v>1323</v>
      </c>
      <c r="D8" s="3" t="s">
        <v>641</v>
      </c>
    </row>
    <row r="9" spans="1:8" ht="15" customHeight="1" x14ac:dyDescent="0.25">
      <c r="A9" s="3" t="s">
        <v>6</v>
      </c>
      <c r="B9" s="5" t="s">
        <v>1</v>
      </c>
      <c r="C9" s="4" t="s">
        <v>1324</v>
      </c>
      <c r="D9" s="3" t="s">
        <v>35</v>
      </c>
      <c r="F9" s="15">
        <f>F2-F8</f>
        <v>0</v>
      </c>
      <c r="G9" s="15" t="e">
        <f ca="1">G2-G8</f>
        <v>#NAME?</v>
      </c>
    </row>
    <row r="10" spans="1:8" ht="15" customHeight="1" x14ac:dyDescent="0.25">
      <c r="A10" s="3" t="s">
        <v>6</v>
      </c>
      <c r="B10" s="5" t="s">
        <v>15</v>
      </c>
      <c r="C10" s="4" t="s">
        <v>1325</v>
      </c>
      <c r="D10" s="3" t="s">
        <v>37</v>
      </c>
    </row>
    <row r="11" spans="1:8" ht="15" customHeight="1" x14ac:dyDescent="0.25">
      <c r="A11" s="3" t="s">
        <v>6</v>
      </c>
      <c r="B11" s="5" t="s">
        <v>15</v>
      </c>
      <c r="C11" s="4" t="s">
        <v>1326</v>
      </c>
      <c r="D11" s="3" t="s">
        <v>645</v>
      </c>
      <c r="F11" s="15">
        <f>F12+F15+F18+F25+F26</f>
        <v>0</v>
      </c>
      <c r="G11" s="15">
        <f>G12+G15+G18+G25+G26</f>
        <v>0</v>
      </c>
    </row>
    <row r="12" spans="1:8" ht="15" customHeight="1" x14ac:dyDescent="0.25">
      <c r="A12" s="3" t="s">
        <v>9</v>
      </c>
      <c r="B12" s="5" t="s">
        <v>15</v>
      </c>
      <c r="C12" s="4" t="s">
        <v>1327</v>
      </c>
      <c r="D12" s="3" t="s">
        <v>647</v>
      </c>
      <c r="F12" s="15">
        <f>F13+F14</f>
        <v>0</v>
      </c>
      <c r="G12" s="15">
        <f>G13+G14</f>
        <v>0</v>
      </c>
    </row>
    <row r="13" spans="1:8" ht="15" customHeight="1" x14ac:dyDescent="0.25">
      <c r="A13" s="5" t="s">
        <v>12</v>
      </c>
      <c r="B13" s="5" t="s">
        <v>15</v>
      </c>
      <c r="C13" s="7" t="s">
        <v>1328</v>
      </c>
      <c r="D13" s="5" t="s">
        <v>43</v>
      </c>
    </row>
    <row r="14" spans="1:8" ht="15" customHeight="1" x14ac:dyDescent="0.25">
      <c r="A14" s="5" t="s">
        <v>12</v>
      </c>
      <c r="B14" s="5" t="s">
        <v>15</v>
      </c>
      <c r="C14" s="7" t="s">
        <v>1329</v>
      </c>
      <c r="D14" s="5" t="s">
        <v>650</v>
      </c>
    </row>
    <row r="15" spans="1:8" ht="15" customHeight="1" x14ac:dyDescent="0.25">
      <c r="A15" s="3" t="s">
        <v>9</v>
      </c>
      <c r="B15" s="5" t="s">
        <v>15</v>
      </c>
      <c r="C15" s="4" t="s">
        <v>1330</v>
      </c>
      <c r="D15" s="3" t="s">
        <v>49</v>
      </c>
      <c r="F15" s="15">
        <f>F16+F17</f>
        <v>0</v>
      </c>
      <c r="G15" s="15">
        <f>G16+G17</f>
        <v>0</v>
      </c>
    </row>
    <row r="16" spans="1:8" ht="15" customHeight="1" x14ac:dyDescent="0.25">
      <c r="A16" s="5" t="s">
        <v>12</v>
      </c>
      <c r="B16" s="5" t="s">
        <v>15</v>
      </c>
      <c r="C16" s="7" t="s">
        <v>1331</v>
      </c>
      <c r="D16" s="5" t="s">
        <v>51</v>
      </c>
    </row>
    <row r="17" spans="1:7" ht="15" customHeight="1" x14ac:dyDescent="0.25">
      <c r="A17" s="5" t="s">
        <v>12</v>
      </c>
      <c r="B17" s="5" t="s">
        <v>15</v>
      </c>
      <c r="C17" s="7" t="s">
        <v>1332</v>
      </c>
      <c r="D17" s="5" t="s">
        <v>53</v>
      </c>
    </row>
    <row r="18" spans="1:7" ht="15" customHeight="1" x14ac:dyDescent="0.25">
      <c r="A18" s="3" t="s">
        <v>9</v>
      </c>
      <c r="B18" s="5" t="s">
        <v>15</v>
      </c>
      <c r="C18" s="4" t="s">
        <v>1333</v>
      </c>
      <c r="D18" s="3" t="s">
        <v>55</v>
      </c>
      <c r="F18" s="15">
        <f>F19+F22+F23+F24</f>
        <v>0</v>
      </c>
      <c r="G18" s="15">
        <f>G19+G22+G23+G24</f>
        <v>0</v>
      </c>
    </row>
    <row r="19" spans="1:7" ht="15" customHeight="1" x14ac:dyDescent="0.25">
      <c r="A19" s="5" t="s">
        <v>12</v>
      </c>
      <c r="B19" s="5" t="s">
        <v>15</v>
      </c>
      <c r="C19" s="7" t="s">
        <v>1334</v>
      </c>
      <c r="D19" s="5" t="s">
        <v>656</v>
      </c>
      <c r="F19" s="15">
        <f>F20+F21</f>
        <v>0</v>
      </c>
      <c r="G19" s="15">
        <f>G20+G21</f>
        <v>0</v>
      </c>
    </row>
    <row r="20" spans="1:7" ht="15" customHeight="1" x14ac:dyDescent="0.25">
      <c r="A20" s="5" t="s">
        <v>74</v>
      </c>
      <c r="B20" s="5" t="s">
        <v>15</v>
      </c>
      <c r="C20" s="7" t="s">
        <v>1335</v>
      </c>
      <c r="D20" s="5" t="s">
        <v>658</v>
      </c>
    </row>
    <row r="21" spans="1:7" ht="15" customHeight="1" x14ac:dyDescent="0.25">
      <c r="A21" s="5" t="s">
        <v>74</v>
      </c>
      <c r="B21" s="5" t="s">
        <v>15</v>
      </c>
      <c r="C21" s="7" t="s">
        <v>1336</v>
      </c>
      <c r="D21" s="5" t="s">
        <v>660</v>
      </c>
    </row>
    <row r="22" spans="1:7" ht="15" customHeight="1" x14ac:dyDescent="0.25">
      <c r="A22" s="5" t="s">
        <v>12</v>
      </c>
      <c r="B22" s="5" t="s">
        <v>15</v>
      </c>
      <c r="C22" s="7" t="s">
        <v>1337</v>
      </c>
      <c r="D22" s="5" t="s">
        <v>662</v>
      </c>
    </row>
    <row r="23" spans="1:7" ht="15" customHeight="1" x14ac:dyDescent="0.25">
      <c r="A23" s="5" t="s">
        <v>12</v>
      </c>
      <c r="B23" s="5" t="s">
        <v>15</v>
      </c>
      <c r="C23" s="7" t="s">
        <v>1338</v>
      </c>
      <c r="D23" s="5" t="s">
        <v>664</v>
      </c>
    </row>
    <row r="24" spans="1:7" ht="15" customHeight="1" x14ac:dyDescent="0.25">
      <c r="A24" s="5" t="s">
        <v>12</v>
      </c>
      <c r="B24" s="5" t="s">
        <v>15</v>
      </c>
      <c r="C24" s="7" t="s">
        <v>1339</v>
      </c>
      <c r="D24" s="5" t="s">
        <v>666</v>
      </c>
    </row>
    <row r="25" spans="1:7" ht="15" customHeight="1" x14ac:dyDescent="0.25">
      <c r="A25" s="3" t="s">
        <v>9</v>
      </c>
      <c r="B25" s="5" t="s">
        <v>15</v>
      </c>
      <c r="C25" s="4" t="s">
        <v>1340</v>
      </c>
      <c r="D25" s="3" t="s">
        <v>668</v>
      </c>
    </row>
    <row r="26" spans="1:7" ht="15" customHeight="1" x14ac:dyDescent="0.25">
      <c r="A26" s="3" t="s">
        <v>9</v>
      </c>
      <c r="B26" s="5" t="s">
        <v>15</v>
      </c>
      <c r="C26" s="4" t="s">
        <v>1341</v>
      </c>
      <c r="D26" s="3" t="s">
        <v>57</v>
      </c>
    </row>
    <row r="27" spans="1:7" ht="15" customHeight="1" x14ac:dyDescent="0.25">
      <c r="A27" s="3" t="s">
        <v>6</v>
      </c>
      <c r="B27" s="5" t="s">
        <v>1</v>
      </c>
      <c r="C27" s="4" t="s">
        <v>1342</v>
      </c>
      <c r="D27" s="3" t="s">
        <v>59</v>
      </c>
    </row>
    <row r="28" spans="1:7" ht="15" customHeight="1" x14ac:dyDescent="0.25">
      <c r="A28" s="3" t="s">
        <v>6</v>
      </c>
      <c r="B28" s="5" t="s">
        <v>517</v>
      </c>
      <c r="C28" s="4" t="s">
        <v>1343</v>
      </c>
      <c r="D28" s="3" t="s">
        <v>672</v>
      </c>
      <c r="F28" s="15">
        <f>F9-F10-F11+F27</f>
        <v>0</v>
      </c>
      <c r="G28" s="15" t="e">
        <f ca="1">G9-G10-G11+G27</f>
        <v>#NAME?</v>
      </c>
    </row>
    <row r="29" spans="1:7" ht="15" customHeight="1" x14ac:dyDescent="0.25">
      <c r="A29" s="3" t="s">
        <v>6</v>
      </c>
      <c r="B29" s="5" t="s">
        <v>15</v>
      </c>
      <c r="C29" s="4" t="s">
        <v>1344</v>
      </c>
      <c r="D29" s="3" t="s">
        <v>674</v>
      </c>
    </row>
    <row r="30" spans="1:7" ht="15" customHeight="1" x14ac:dyDescent="0.25">
      <c r="A30" s="3" t="s">
        <v>6</v>
      </c>
      <c r="B30" s="5" t="s">
        <v>517</v>
      </c>
      <c r="C30" s="4" t="s">
        <v>1345</v>
      </c>
      <c r="D30" s="3" t="s">
        <v>61</v>
      </c>
      <c r="F30" s="15">
        <f>F28-F29</f>
        <v>0</v>
      </c>
      <c r="G30" s="15" t="e">
        <f ca="1">G28-G29</f>
        <v>#NAME?</v>
      </c>
    </row>
    <row r="31" spans="1:7" ht="15" customHeight="1" x14ac:dyDescent="0.25">
      <c r="A31" s="14"/>
      <c r="B31" s="14"/>
      <c r="C31" s="14"/>
      <c r="D31" s="14"/>
    </row>
    <row r="32" spans="1:7" ht="15" customHeight="1" x14ac:dyDescent="0.25">
      <c r="A32" s="13" t="s">
        <v>6</v>
      </c>
      <c r="B32" s="13" t="s">
        <v>111</v>
      </c>
      <c r="C32" s="13" t="s">
        <v>1347</v>
      </c>
      <c r="D32" s="13" t="s">
        <v>887</v>
      </c>
      <c r="F32" s="15">
        <f>F33+F36+F37+F38</f>
        <v>0</v>
      </c>
      <c r="G32" s="15">
        <f>G33+G36+G37+G38</f>
        <v>0</v>
      </c>
    </row>
    <row r="33" spans="1:7" ht="15" customHeight="1" x14ac:dyDescent="0.25">
      <c r="A33" s="13" t="s">
        <v>9</v>
      </c>
      <c r="B33" s="13" t="s">
        <v>111</v>
      </c>
      <c r="C33" s="13" t="s">
        <v>1348</v>
      </c>
      <c r="D33" s="13" t="s">
        <v>888</v>
      </c>
      <c r="F33" s="15">
        <f>F34+F35</f>
        <v>0</v>
      </c>
      <c r="G33" s="15">
        <f>G34+G35</f>
        <v>0</v>
      </c>
    </row>
    <row r="34" spans="1:7" ht="15" customHeight="1" x14ac:dyDescent="0.25">
      <c r="A34" s="14" t="s">
        <v>12</v>
      </c>
      <c r="B34" s="13" t="s">
        <v>111</v>
      </c>
      <c r="C34" s="14" t="s">
        <v>1349</v>
      </c>
      <c r="D34" s="14" t="s">
        <v>889</v>
      </c>
    </row>
    <row r="35" spans="1:7" ht="15" customHeight="1" x14ac:dyDescent="0.25">
      <c r="A35" s="14" t="s">
        <v>12</v>
      </c>
      <c r="B35" s="13" t="s">
        <v>111</v>
      </c>
      <c r="C35" s="14" t="s">
        <v>1350</v>
      </c>
      <c r="D35" s="14" t="s">
        <v>890</v>
      </c>
    </row>
    <row r="36" spans="1:7" ht="15" customHeight="1" x14ac:dyDescent="0.25">
      <c r="A36" s="13" t="s">
        <v>9</v>
      </c>
      <c r="B36" s="13" t="s">
        <v>111</v>
      </c>
      <c r="C36" s="13" t="s">
        <v>1351</v>
      </c>
      <c r="D36" s="13" t="s">
        <v>891</v>
      </c>
    </row>
    <row r="37" spans="1:7" ht="15" customHeight="1" x14ac:dyDescent="0.25">
      <c r="A37" s="13" t="s">
        <v>9</v>
      </c>
      <c r="B37" s="13" t="s">
        <v>111</v>
      </c>
      <c r="C37" s="13" t="s">
        <v>1352</v>
      </c>
      <c r="D37" s="13" t="s">
        <v>160</v>
      </c>
    </row>
    <row r="38" spans="1:7" ht="15" customHeight="1" x14ac:dyDescent="0.25">
      <c r="A38" s="13" t="s">
        <v>9</v>
      </c>
      <c r="B38" s="13" t="s">
        <v>111</v>
      </c>
      <c r="C38" s="13" t="s">
        <v>1353</v>
      </c>
      <c r="D38" s="13" t="s">
        <v>892</v>
      </c>
    </row>
    <row r="39" spans="1:7" ht="15" customHeight="1" x14ac:dyDescent="0.25">
      <c r="A39" s="13" t="s">
        <v>6</v>
      </c>
      <c r="B39" s="13" t="s">
        <v>539</v>
      </c>
      <c r="C39" s="13" t="s">
        <v>1354</v>
      </c>
      <c r="D39" s="13" t="s">
        <v>893</v>
      </c>
      <c r="F39" s="15">
        <f>F40+F43+F44+F45</f>
        <v>0</v>
      </c>
      <c r="G39" s="15">
        <f>G40+G43+G44+G45</f>
        <v>0</v>
      </c>
    </row>
    <row r="40" spans="1:7" ht="15" customHeight="1" x14ac:dyDescent="0.25">
      <c r="A40" s="13" t="s">
        <v>9</v>
      </c>
      <c r="B40" s="13" t="s">
        <v>539</v>
      </c>
      <c r="C40" s="13" t="s">
        <v>1355</v>
      </c>
      <c r="D40" s="13" t="s">
        <v>888</v>
      </c>
      <c r="F40" s="15">
        <f>F41+F42</f>
        <v>0</v>
      </c>
      <c r="G40" s="15">
        <f>G41+G42</f>
        <v>0</v>
      </c>
    </row>
    <row r="41" spans="1:7" ht="15" customHeight="1" x14ac:dyDescent="0.25">
      <c r="A41" s="14" t="s">
        <v>12</v>
      </c>
      <c r="B41" s="13" t="s">
        <v>539</v>
      </c>
      <c r="C41" s="14" t="s">
        <v>1356</v>
      </c>
      <c r="D41" s="14" t="s">
        <v>889</v>
      </c>
    </row>
    <row r="42" spans="1:7" ht="15" customHeight="1" x14ac:dyDescent="0.25">
      <c r="A42" s="14" t="s">
        <v>12</v>
      </c>
      <c r="B42" s="13" t="s">
        <v>539</v>
      </c>
      <c r="C42" s="14" t="s">
        <v>1357</v>
      </c>
      <c r="D42" s="14" t="s">
        <v>890</v>
      </c>
    </row>
    <row r="43" spans="1:7" ht="15" customHeight="1" x14ac:dyDescent="0.25">
      <c r="A43" s="13" t="s">
        <v>9</v>
      </c>
      <c r="B43" s="13" t="s">
        <v>539</v>
      </c>
      <c r="C43" s="13" t="s">
        <v>1358</v>
      </c>
      <c r="D43" s="13" t="s">
        <v>891</v>
      </c>
    </row>
    <row r="44" spans="1:7" ht="15" customHeight="1" x14ac:dyDescent="0.25">
      <c r="A44" s="13" t="s">
        <v>9</v>
      </c>
      <c r="B44" s="13" t="s">
        <v>539</v>
      </c>
      <c r="C44" s="13" t="s">
        <v>1359</v>
      </c>
      <c r="D44" s="13" t="s">
        <v>160</v>
      </c>
    </row>
    <row r="45" spans="1:7" ht="15" customHeight="1" x14ac:dyDescent="0.25">
      <c r="A45" s="13" t="s">
        <v>9</v>
      </c>
      <c r="B45" s="13" t="s">
        <v>539</v>
      </c>
      <c r="C45" s="13" t="s">
        <v>1360</v>
      </c>
      <c r="D45" s="13" t="s">
        <v>892</v>
      </c>
    </row>
    <row r="46" spans="1:7" ht="15" customHeight="1" x14ac:dyDescent="0.25">
      <c r="A46" s="14"/>
      <c r="B46" s="14"/>
      <c r="C46" s="14"/>
      <c r="D46" s="14"/>
    </row>
    <row r="47" spans="1:7" ht="15" customHeight="1" x14ac:dyDescent="0.25">
      <c r="A47" s="3" t="s">
        <v>6</v>
      </c>
      <c r="B47" s="3" t="s">
        <v>1</v>
      </c>
      <c r="C47" s="13" t="s">
        <v>1361</v>
      </c>
      <c r="D47" s="13" t="s">
        <v>1176</v>
      </c>
      <c r="F47" s="15">
        <f>F48</f>
        <v>0</v>
      </c>
      <c r="G47" s="15">
        <f>G48</f>
        <v>0</v>
      </c>
    </row>
    <row r="48" spans="1:7" ht="15" customHeight="1" x14ac:dyDescent="0.25">
      <c r="A48" s="3" t="s">
        <v>9</v>
      </c>
      <c r="B48" s="5" t="s">
        <v>1</v>
      </c>
      <c r="C48" s="13" t="s">
        <v>1362</v>
      </c>
      <c r="D48" s="13" t="s">
        <v>1363</v>
      </c>
      <c r="F48" s="15">
        <f>F49</f>
        <v>0</v>
      </c>
      <c r="G48" s="15">
        <f>G49</f>
        <v>0</v>
      </c>
    </row>
    <row r="49" spans="1:8" ht="15" customHeight="1" x14ac:dyDescent="0.25">
      <c r="A49" s="3" t="s">
        <v>12</v>
      </c>
      <c r="B49" s="5" t="s">
        <v>1</v>
      </c>
      <c r="C49" s="13" t="s">
        <v>1908</v>
      </c>
      <c r="D49" s="13" t="s">
        <v>1364</v>
      </c>
      <c r="G49" s="15">
        <f>G51*G52</f>
        <v>0</v>
      </c>
      <c r="H49" s="15" t="s">
        <v>1164</v>
      </c>
    </row>
    <row r="50" spans="1:8" ht="15" customHeight="1" x14ac:dyDescent="0.25">
      <c r="A50" s="5" t="s">
        <v>74</v>
      </c>
      <c r="B50" s="5" t="s">
        <v>67</v>
      </c>
      <c r="C50" s="14" t="s">
        <v>1909</v>
      </c>
      <c r="D50" s="14" t="s">
        <v>1365</v>
      </c>
    </row>
    <row r="51" spans="1:8" ht="15" customHeight="1" x14ac:dyDescent="0.25">
      <c r="A51" s="5" t="s">
        <v>74</v>
      </c>
      <c r="B51" s="5" t="s">
        <v>521</v>
      </c>
      <c r="C51" s="14" t="s">
        <v>1910</v>
      </c>
      <c r="D51" s="14" t="s">
        <v>1366</v>
      </c>
    </row>
    <row r="52" spans="1:8" ht="15" customHeight="1" x14ac:dyDescent="0.25">
      <c r="A52" s="5" t="s">
        <v>74</v>
      </c>
      <c r="B52" s="5" t="s">
        <v>518</v>
      </c>
      <c r="C52" s="14" t="s">
        <v>1911</v>
      </c>
      <c r="D52" s="14" t="s">
        <v>1367</v>
      </c>
      <c r="F52" s="15" t="e">
        <f>F49/F51</f>
        <v>#DIV/0!</v>
      </c>
      <c r="H52" s="15" t="s">
        <v>1163</v>
      </c>
    </row>
    <row r="53" spans="1:8" ht="15" customHeight="1" x14ac:dyDescent="0.25">
      <c r="C53" s="14"/>
      <c r="D53" s="14"/>
    </row>
    <row r="54" spans="1:8" ht="15" customHeight="1" x14ac:dyDescent="0.25">
      <c r="A54" s="3" t="s">
        <v>6</v>
      </c>
      <c r="B54" s="3" t="s">
        <v>15</v>
      </c>
      <c r="C54" s="13" t="s">
        <v>1368</v>
      </c>
      <c r="D54" s="13" t="s">
        <v>868</v>
      </c>
      <c r="F54" s="15">
        <f>F55+F58</f>
        <v>0</v>
      </c>
      <c r="G54" s="15">
        <f>G55+G58</f>
        <v>0</v>
      </c>
    </row>
    <row r="55" spans="1:8" ht="15" customHeight="1" x14ac:dyDescent="0.25">
      <c r="A55" s="3" t="s">
        <v>9</v>
      </c>
      <c r="B55" s="3" t="s">
        <v>15</v>
      </c>
      <c r="C55" s="13" t="s">
        <v>1369</v>
      </c>
      <c r="D55" s="13" t="s">
        <v>1180</v>
      </c>
      <c r="F55" s="15">
        <f>F56</f>
        <v>0</v>
      </c>
      <c r="G55" s="15">
        <f>G56</f>
        <v>0</v>
      </c>
    </row>
    <row r="56" spans="1:8" ht="15" customHeight="1" x14ac:dyDescent="0.25">
      <c r="A56" s="5" t="s">
        <v>12</v>
      </c>
      <c r="B56" s="5" t="s">
        <v>15</v>
      </c>
      <c r="C56" s="14" t="s">
        <v>1912</v>
      </c>
      <c r="D56" s="14" t="s">
        <v>1181</v>
      </c>
      <c r="G56" s="15">
        <f>G51*G57</f>
        <v>0</v>
      </c>
      <c r="H56" s="15" t="s">
        <v>1164</v>
      </c>
    </row>
    <row r="57" spans="1:8" ht="15" customHeight="1" x14ac:dyDescent="0.25">
      <c r="A57" s="5" t="s">
        <v>74</v>
      </c>
      <c r="B57" s="5" t="s">
        <v>518</v>
      </c>
      <c r="C57" s="14" t="s">
        <v>1913</v>
      </c>
      <c r="D57" s="14" t="s">
        <v>1208</v>
      </c>
      <c r="F57" s="15" t="e">
        <f>F56/F51</f>
        <v>#DIV/0!</v>
      </c>
      <c r="H57" s="15" t="s">
        <v>1163</v>
      </c>
    </row>
    <row r="58" spans="1:8" ht="15" customHeight="1" x14ac:dyDescent="0.25">
      <c r="A58" s="19" t="s">
        <v>9</v>
      </c>
      <c r="B58" s="19" t="s">
        <v>15</v>
      </c>
      <c r="C58" s="13" t="s">
        <v>1505</v>
      </c>
      <c r="D58" s="13" t="s">
        <v>1209</v>
      </c>
      <c r="F58" s="15">
        <f>F59+F60</f>
        <v>0</v>
      </c>
      <c r="G58" s="15">
        <f>G59+G60</f>
        <v>0</v>
      </c>
    </row>
    <row r="59" spans="1:8" ht="15" customHeight="1" x14ac:dyDescent="0.25">
      <c r="A59" s="14" t="s">
        <v>12</v>
      </c>
      <c r="B59" s="14" t="s">
        <v>15</v>
      </c>
      <c r="C59" s="14" t="s">
        <v>1506</v>
      </c>
      <c r="D59" s="14" t="s">
        <v>1371</v>
      </c>
    </row>
    <row r="60" spans="1:8" ht="15" customHeight="1" x14ac:dyDescent="0.25">
      <c r="A60" s="14" t="s">
        <v>12</v>
      </c>
      <c r="B60" s="14" t="s">
        <v>15</v>
      </c>
      <c r="C60" s="14" t="s">
        <v>1507</v>
      </c>
      <c r="D60" s="14" t="s">
        <v>1372</v>
      </c>
    </row>
    <row r="61" spans="1:8" ht="15" customHeight="1" x14ac:dyDescent="0.25">
      <c r="C61" s="14"/>
      <c r="D61" s="14"/>
    </row>
    <row r="62" spans="1:8" ht="15" customHeight="1" x14ac:dyDescent="0.25">
      <c r="A62" s="3" t="s">
        <v>6</v>
      </c>
      <c r="B62" s="3" t="s">
        <v>15</v>
      </c>
      <c r="C62" s="13" t="s">
        <v>1373</v>
      </c>
      <c r="D62" s="13" t="s">
        <v>1218</v>
      </c>
      <c r="F62" s="15">
        <f>F63+F91</f>
        <v>0</v>
      </c>
      <c r="G62" s="15" t="e">
        <f ca="1">G63+G91</f>
        <v>#NAME?</v>
      </c>
    </row>
    <row r="63" spans="1:8" ht="15" customHeight="1" x14ac:dyDescent="0.25">
      <c r="A63" s="3" t="s">
        <v>9</v>
      </c>
      <c r="B63" s="3" t="s">
        <v>15</v>
      </c>
      <c r="C63" s="13" t="s">
        <v>1374</v>
      </c>
      <c r="D63" s="13" t="s">
        <v>1377</v>
      </c>
      <c r="F63" s="15">
        <f>F64+F82+F86</f>
        <v>0</v>
      </c>
      <c r="G63" s="15" t="e">
        <f ca="1">G64+G82+G86</f>
        <v>#NAME?</v>
      </c>
    </row>
    <row r="64" spans="1:8" ht="15" customHeight="1" x14ac:dyDescent="0.25">
      <c r="A64" s="23" t="s">
        <v>1370</v>
      </c>
      <c r="B64" s="23" t="s">
        <v>520</v>
      </c>
      <c r="C64" s="23" t="s">
        <v>1378</v>
      </c>
      <c r="D64" s="23" t="s">
        <v>1462</v>
      </c>
      <c r="E64" s="24"/>
      <c r="F64" s="24">
        <f>F70+F76</f>
        <v>0</v>
      </c>
      <c r="G64" s="24" t="e">
        <f ca="1">G70+G76</f>
        <v>#NAME?</v>
      </c>
      <c r="H64" s="24"/>
    </row>
    <row r="65" spans="1:8" ht="15" customHeight="1" x14ac:dyDescent="0.25">
      <c r="A65" s="16" t="s">
        <v>74</v>
      </c>
      <c r="B65" s="22" t="s">
        <v>518</v>
      </c>
      <c r="C65" s="16" t="s">
        <v>1433</v>
      </c>
      <c r="D65" s="16" t="s">
        <v>1463</v>
      </c>
      <c r="E65" s="22"/>
      <c r="F65" s="22" t="e">
        <f>F64/F40</f>
        <v>#DIV/0!</v>
      </c>
      <c r="G65" s="22" t="e">
        <f ca="1">G64/G40</f>
        <v>#NAME?</v>
      </c>
      <c r="H65" s="22" t="s">
        <v>1163</v>
      </c>
    </row>
    <row r="66" spans="1:8" ht="15" customHeight="1" x14ac:dyDescent="0.25">
      <c r="A66" s="16" t="s">
        <v>74</v>
      </c>
      <c r="B66" s="16" t="s">
        <v>15</v>
      </c>
      <c r="C66" s="16" t="s">
        <v>1434</v>
      </c>
      <c r="D66" s="16" t="s">
        <v>1464</v>
      </c>
      <c r="E66" s="22"/>
      <c r="F66" s="22">
        <f>F74+F80</f>
        <v>0</v>
      </c>
      <c r="G66" s="22" t="e">
        <f ca="1">G74+G80</f>
        <v>#NAME?</v>
      </c>
      <c r="H66" s="22"/>
    </row>
    <row r="67" spans="1:8" ht="15" customHeight="1" x14ac:dyDescent="0.25">
      <c r="A67" s="14" t="s">
        <v>1395</v>
      </c>
      <c r="B67" s="15" t="s">
        <v>518</v>
      </c>
      <c r="C67" s="14" t="s">
        <v>1436</v>
      </c>
      <c r="D67" s="14" t="s">
        <v>1465</v>
      </c>
      <c r="F67" s="15" t="e">
        <f>F66/F40</f>
        <v>#DIV/0!</v>
      </c>
      <c r="G67" s="15" t="e">
        <f ca="1">G66/G40</f>
        <v>#NAME?</v>
      </c>
      <c r="H67" s="15" t="s">
        <v>1163</v>
      </c>
    </row>
    <row r="68" spans="1:8" ht="15" customHeight="1" x14ac:dyDescent="0.25">
      <c r="A68" s="16" t="s">
        <v>74</v>
      </c>
      <c r="B68" s="16" t="s">
        <v>15</v>
      </c>
      <c r="C68" s="16" t="s">
        <v>1435</v>
      </c>
      <c r="D68" s="16" t="s">
        <v>894</v>
      </c>
      <c r="E68" s="22"/>
      <c r="F68" s="22">
        <f>F72+F78</f>
        <v>0</v>
      </c>
      <c r="G68" s="22" t="e">
        <f ca="1">G72+G78</f>
        <v>#NAME?</v>
      </c>
      <c r="H68" s="22"/>
    </row>
    <row r="69" spans="1:8" ht="15" customHeight="1" x14ac:dyDescent="0.25">
      <c r="A69" s="14" t="s">
        <v>1395</v>
      </c>
      <c r="B69" s="15" t="s">
        <v>518</v>
      </c>
      <c r="C69" s="14" t="s">
        <v>1437</v>
      </c>
      <c r="D69" s="14" t="s">
        <v>1466</v>
      </c>
      <c r="F69" s="15" t="e">
        <f>F68/F40</f>
        <v>#DIV/0!</v>
      </c>
      <c r="G69" s="15" t="e">
        <f ca="1">G68/G40</f>
        <v>#NAME?</v>
      </c>
      <c r="H69" s="15" t="s">
        <v>1163</v>
      </c>
    </row>
    <row r="70" spans="1:8" ht="15" customHeight="1" x14ac:dyDescent="0.25">
      <c r="A70" s="16" t="s">
        <v>74</v>
      </c>
      <c r="B70" s="16" t="s">
        <v>15</v>
      </c>
      <c r="C70" s="16" t="s">
        <v>1438</v>
      </c>
      <c r="D70" s="16" t="s">
        <v>1439</v>
      </c>
      <c r="E70" s="22"/>
      <c r="F70" s="22"/>
      <c r="G70" s="22" t="e">
        <f ca="1">G72+G74</f>
        <v>#NAME?</v>
      </c>
      <c r="H70" s="22"/>
    </row>
    <row r="71" spans="1:8" ht="15" customHeight="1" x14ac:dyDescent="0.25">
      <c r="A71" s="14" t="s">
        <v>1394</v>
      </c>
      <c r="B71" s="15" t="s">
        <v>518</v>
      </c>
      <c r="C71" s="14" t="s">
        <v>1451</v>
      </c>
      <c r="D71" s="14" t="s">
        <v>1440</v>
      </c>
      <c r="F71" s="15" t="e">
        <f>F70/F41</f>
        <v>#DIV/0!</v>
      </c>
      <c r="G71" s="15" t="e">
        <f ca="1">G70/G41</f>
        <v>#NAME?</v>
      </c>
      <c r="H71" s="15" t="s">
        <v>1163</v>
      </c>
    </row>
    <row r="72" spans="1:8" ht="15" customHeight="1" x14ac:dyDescent="0.25">
      <c r="A72" s="14" t="s">
        <v>1394</v>
      </c>
      <c r="B72" s="14" t="s">
        <v>15</v>
      </c>
      <c r="C72" s="14" t="s">
        <v>1452</v>
      </c>
      <c r="D72" s="14" t="s">
        <v>1441</v>
      </c>
      <c r="F72" s="15">
        <f>F70-F74</f>
        <v>0</v>
      </c>
      <c r="G72" s="15" t="e">
        <f ca="1">G41*G73</f>
        <v>#NAME?</v>
      </c>
      <c r="H72" s="15" t="s">
        <v>1167</v>
      </c>
    </row>
    <row r="73" spans="1:8" ht="15" customHeight="1" x14ac:dyDescent="0.25">
      <c r="A73" s="14" t="s">
        <v>1394</v>
      </c>
      <c r="B73" s="15" t="s">
        <v>518</v>
      </c>
      <c r="C73" s="14" t="s">
        <v>1453</v>
      </c>
      <c r="D73" s="14" t="s">
        <v>1442</v>
      </c>
      <c r="F73" s="15" t="e">
        <f>F72/F41</f>
        <v>#DIV/0!</v>
      </c>
      <c r="G73" s="15" t="e" cm="1">
        <f t="array" aca="1" ref="G73" ca="1">G145*DAYS_YEAR()/360</f>
        <v>#NAME?</v>
      </c>
      <c r="H73" s="15" t="s">
        <v>1165</v>
      </c>
    </row>
    <row r="74" spans="1:8" ht="15" customHeight="1" x14ac:dyDescent="0.25">
      <c r="A74" s="14" t="s">
        <v>1394</v>
      </c>
      <c r="B74" s="14" t="s">
        <v>15</v>
      </c>
      <c r="C74" s="14" t="s">
        <v>1454</v>
      </c>
      <c r="D74" s="14" t="s">
        <v>1443</v>
      </c>
      <c r="G74" s="15" t="e">
        <f ca="1">G41*G75</f>
        <v>#NAME?</v>
      </c>
      <c r="H74" s="15" t="s">
        <v>1164</v>
      </c>
    </row>
    <row r="75" spans="1:8" ht="15" customHeight="1" x14ac:dyDescent="0.25">
      <c r="A75" s="14" t="s">
        <v>1394</v>
      </c>
      <c r="B75" s="15" t="s">
        <v>518</v>
      </c>
      <c r="C75" s="14" t="s">
        <v>1455</v>
      </c>
      <c r="D75" s="14" t="s">
        <v>1444</v>
      </c>
      <c r="F75" s="15" t="e">
        <f>F74/F41</f>
        <v>#DIV/0!</v>
      </c>
      <c r="G75" s="15" t="e" cm="1">
        <f t="array" aca="1" ref="G75" ca="1">(G146*DAYS_YEAR()/360*G139+G147*DAYS_YEAR()/360*0.05+G137*MAX(0,MIN(1-G139-0.05,G138))+G140*MAX(0,1-G139-5%-G138)-G73)*0.85</f>
        <v>#NAME?</v>
      </c>
      <c r="H75" s="15" t="s">
        <v>1165</v>
      </c>
    </row>
    <row r="76" spans="1:8" ht="15" customHeight="1" x14ac:dyDescent="0.25">
      <c r="A76" s="16" t="s">
        <v>74</v>
      </c>
      <c r="B76" s="16" t="s">
        <v>15</v>
      </c>
      <c r="C76" s="16" t="s">
        <v>1450</v>
      </c>
      <c r="D76" s="16" t="s">
        <v>1461</v>
      </c>
      <c r="E76" s="22"/>
      <c r="F76" s="22"/>
      <c r="G76" s="22" t="e">
        <f ca="1">G78+G80</f>
        <v>#NAME?</v>
      </c>
      <c r="H76" s="22"/>
    </row>
    <row r="77" spans="1:8" ht="15" customHeight="1" x14ac:dyDescent="0.25">
      <c r="A77" s="14" t="s">
        <v>1394</v>
      </c>
      <c r="B77" s="15" t="s">
        <v>518</v>
      </c>
      <c r="C77" s="14" t="s">
        <v>1456</v>
      </c>
      <c r="D77" s="14" t="s">
        <v>1445</v>
      </c>
      <c r="F77" s="15" t="e">
        <f>F76/F42</f>
        <v>#DIV/0!</v>
      </c>
      <c r="G77" s="15" t="e">
        <f ca="1">G76/G42</f>
        <v>#NAME?</v>
      </c>
      <c r="H77" s="15" t="s">
        <v>1163</v>
      </c>
    </row>
    <row r="78" spans="1:8" ht="15" customHeight="1" x14ac:dyDescent="0.25">
      <c r="A78" s="14" t="s">
        <v>1394</v>
      </c>
      <c r="B78" s="14" t="s">
        <v>15</v>
      </c>
      <c r="C78" s="14" t="s">
        <v>1457</v>
      </c>
      <c r="D78" s="14" t="s">
        <v>1446</v>
      </c>
      <c r="F78" s="15">
        <f>F76-F80</f>
        <v>0</v>
      </c>
      <c r="G78" s="15" t="e">
        <f ca="1">G42*G79</f>
        <v>#NAME?</v>
      </c>
      <c r="H78" s="15" t="s">
        <v>1167</v>
      </c>
    </row>
    <row r="79" spans="1:8" ht="15" customHeight="1" x14ac:dyDescent="0.25">
      <c r="A79" s="14" t="s">
        <v>1394</v>
      </c>
      <c r="B79" s="15" t="s">
        <v>518</v>
      </c>
      <c r="C79" s="14" t="s">
        <v>1458</v>
      </c>
      <c r="D79" s="14" t="s">
        <v>1447</v>
      </c>
      <c r="F79" s="15" t="e">
        <f>F78/F42</f>
        <v>#DIV/0!</v>
      </c>
      <c r="G79" s="15" t="e" cm="1">
        <f t="array" aca="1" ref="G79" ca="1">G145*DAYS_YEAR()/360</f>
        <v>#NAME?</v>
      </c>
      <c r="H79" s="15" t="s">
        <v>1165</v>
      </c>
    </row>
    <row r="80" spans="1:8" ht="15" customHeight="1" x14ac:dyDescent="0.25">
      <c r="A80" s="14" t="s">
        <v>1394</v>
      </c>
      <c r="B80" s="14" t="s">
        <v>15</v>
      </c>
      <c r="C80" s="14" t="s">
        <v>1459</v>
      </c>
      <c r="D80" s="14" t="s">
        <v>1448</v>
      </c>
      <c r="G80" s="15" t="e">
        <f ca="1">G42*G81</f>
        <v>#NAME?</v>
      </c>
      <c r="H80" s="15" t="s">
        <v>1164</v>
      </c>
    </row>
    <row r="81" spans="1:8" ht="15" customHeight="1" x14ac:dyDescent="0.25">
      <c r="A81" s="14" t="s">
        <v>1394</v>
      </c>
      <c r="B81" s="15" t="s">
        <v>518</v>
      </c>
      <c r="C81" s="14" t="s">
        <v>1460</v>
      </c>
      <c r="D81" s="14" t="s">
        <v>1449</v>
      </c>
      <c r="F81" s="15" t="e">
        <f>F80/F42</f>
        <v>#DIV/0!</v>
      </c>
      <c r="G81" s="15" t="e" cm="1">
        <f t="array" aca="1" ref="G81" ca="1">(G146*DAYS_YEAR()/360*G139+G147*DAYS_YEAR()/360*(1-G139-G143)+G144*G143-G79)*0.85</f>
        <v>#NAME?</v>
      </c>
      <c r="H81" s="15" t="s">
        <v>1165</v>
      </c>
    </row>
    <row r="82" spans="1:8" ht="15" customHeight="1" x14ac:dyDescent="0.25">
      <c r="A82" s="13" t="s">
        <v>12</v>
      </c>
      <c r="B82" s="13" t="s">
        <v>15</v>
      </c>
      <c r="C82" s="13" t="s">
        <v>1379</v>
      </c>
      <c r="D82" s="13" t="s">
        <v>1467</v>
      </c>
      <c r="G82" s="15">
        <f>G84*G85</f>
        <v>0</v>
      </c>
      <c r="H82" s="15" t="s">
        <v>1164</v>
      </c>
    </row>
    <row r="83" spans="1:8" ht="15" customHeight="1" x14ac:dyDescent="0.25">
      <c r="A83" s="15" t="s">
        <v>74</v>
      </c>
      <c r="B83" s="15" t="s">
        <v>111</v>
      </c>
      <c r="C83" s="14" t="s">
        <v>1381</v>
      </c>
      <c r="D83" s="14" t="s">
        <v>1468</v>
      </c>
    </row>
    <row r="84" spans="1:8" ht="15" customHeight="1" x14ac:dyDescent="0.25">
      <c r="A84" s="15" t="s">
        <v>74</v>
      </c>
      <c r="B84" s="15" t="s">
        <v>539</v>
      </c>
      <c r="C84" s="14" t="s">
        <v>1382</v>
      </c>
      <c r="D84" s="14" t="s">
        <v>1469</v>
      </c>
    </row>
    <row r="85" spans="1:8" ht="15" customHeight="1" x14ac:dyDescent="0.25">
      <c r="A85" s="15" t="s">
        <v>74</v>
      </c>
      <c r="B85" s="15" t="s">
        <v>518</v>
      </c>
      <c r="C85" s="14" t="s">
        <v>1383</v>
      </c>
      <c r="D85" s="14" t="s">
        <v>1470</v>
      </c>
      <c r="F85" s="15" t="e">
        <f>F82/F84</f>
        <v>#DIV/0!</v>
      </c>
      <c r="H85" s="15" t="s">
        <v>1163</v>
      </c>
    </row>
    <row r="86" spans="1:8" ht="15" customHeight="1" x14ac:dyDescent="0.25">
      <c r="A86" s="13" t="s">
        <v>12</v>
      </c>
      <c r="B86" s="13" t="s">
        <v>15</v>
      </c>
      <c r="C86" s="13" t="s">
        <v>1380</v>
      </c>
      <c r="D86" s="13" t="s">
        <v>1471</v>
      </c>
      <c r="G86" s="15">
        <f>G88*G89</f>
        <v>0</v>
      </c>
      <c r="H86" s="15" t="s">
        <v>1164</v>
      </c>
    </row>
    <row r="87" spans="1:8" ht="15" customHeight="1" x14ac:dyDescent="0.25">
      <c r="A87" s="15" t="s">
        <v>74</v>
      </c>
      <c r="B87" s="15" t="s">
        <v>111</v>
      </c>
      <c r="C87" s="14" t="s">
        <v>1384</v>
      </c>
      <c r="D87" s="14" t="s">
        <v>1472</v>
      </c>
    </row>
    <row r="88" spans="1:8" ht="15" customHeight="1" x14ac:dyDescent="0.25">
      <c r="A88" s="15" t="s">
        <v>74</v>
      </c>
      <c r="B88" s="15" t="s">
        <v>539</v>
      </c>
      <c r="C88" s="14" t="s">
        <v>1385</v>
      </c>
      <c r="D88" s="14" t="s">
        <v>1473</v>
      </c>
    </row>
    <row r="89" spans="1:8" ht="15" customHeight="1" x14ac:dyDescent="0.25">
      <c r="A89" s="15" t="s">
        <v>74</v>
      </c>
      <c r="B89" s="15" t="s">
        <v>518</v>
      </c>
      <c r="C89" s="14" t="s">
        <v>1386</v>
      </c>
      <c r="D89" s="14" t="s">
        <v>1474</v>
      </c>
      <c r="F89" s="15" t="e">
        <f>F86/F88</f>
        <v>#DIV/0!</v>
      </c>
      <c r="H89" s="15" t="s">
        <v>1163</v>
      </c>
    </row>
    <row r="90" spans="1:8" ht="15" customHeight="1" x14ac:dyDescent="0.25">
      <c r="A90" s="14"/>
      <c r="B90" s="14"/>
      <c r="C90" s="14"/>
      <c r="D90" s="14"/>
    </row>
    <row r="91" spans="1:8" ht="15" customHeight="1" x14ac:dyDescent="0.25">
      <c r="A91" s="3" t="s">
        <v>9</v>
      </c>
      <c r="B91" s="3" t="s">
        <v>15</v>
      </c>
      <c r="C91" s="13" t="s">
        <v>1375</v>
      </c>
      <c r="D91" s="13" t="s">
        <v>867</v>
      </c>
      <c r="E91" s="19"/>
      <c r="F91" s="19">
        <f>F92</f>
        <v>0</v>
      </c>
      <c r="G91" s="19">
        <f>G92</f>
        <v>0</v>
      </c>
      <c r="H91" s="19"/>
    </row>
    <row r="92" spans="1:8" ht="15" customHeight="1" x14ac:dyDescent="0.25">
      <c r="A92" s="5" t="s">
        <v>12</v>
      </c>
      <c r="B92" s="5" t="s">
        <v>15</v>
      </c>
      <c r="C92" s="14" t="s">
        <v>1914</v>
      </c>
      <c r="D92" s="14" t="s">
        <v>1222</v>
      </c>
      <c r="G92" s="15">
        <f>G94*G95</f>
        <v>0</v>
      </c>
      <c r="H92" s="15" t="s">
        <v>1164</v>
      </c>
    </row>
    <row r="93" spans="1:8" ht="15" customHeight="1" x14ac:dyDescent="0.25">
      <c r="A93" s="5" t="s">
        <v>74</v>
      </c>
      <c r="B93" s="5" t="s">
        <v>111</v>
      </c>
      <c r="C93" s="14" t="s">
        <v>1915</v>
      </c>
      <c r="D93" s="14" t="s">
        <v>1223</v>
      </c>
    </row>
    <row r="94" spans="1:8" ht="15" customHeight="1" x14ac:dyDescent="0.25">
      <c r="A94" s="5" t="s">
        <v>74</v>
      </c>
      <c r="B94" s="5" t="s">
        <v>539</v>
      </c>
      <c r="C94" s="14" t="s">
        <v>1916</v>
      </c>
      <c r="D94" s="14" t="s">
        <v>1224</v>
      </c>
    </row>
    <row r="95" spans="1:8" ht="15" customHeight="1" x14ac:dyDescent="0.25">
      <c r="A95" s="5" t="s">
        <v>74</v>
      </c>
      <c r="B95" s="5" t="s">
        <v>518</v>
      </c>
      <c r="C95" s="14" t="s">
        <v>1917</v>
      </c>
      <c r="D95" s="14" t="s">
        <v>1225</v>
      </c>
      <c r="F95" s="15" t="e">
        <f>F92/F94</f>
        <v>#DIV/0!</v>
      </c>
      <c r="H95" s="15" t="s">
        <v>1163</v>
      </c>
    </row>
    <row r="96" spans="1:8" ht="15" customHeight="1" x14ac:dyDescent="0.25">
      <c r="C96" s="14"/>
      <c r="D96" s="14"/>
    </row>
    <row r="97" spans="1:8" ht="15" customHeight="1" x14ac:dyDescent="0.25">
      <c r="A97" s="3" t="s">
        <v>6</v>
      </c>
      <c r="B97" s="3" t="s">
        <v>1</v>
      </c>
      <c r="C97" s="13" t="s">
        <v>1226</v>
      </c>
      <c r="D97" s="13" t="s">
        <v>898</v>
      </c>
      <c r="F97" s="15">
        <f>F98+F112+F115</f>
        <v>0</v>
      </c>
      <c r="G97" s="15" t="e">
        <f ca="1">G98+G112+G115</f>
        <v>#NAME?</v>
      </c>
    </row>
    <row r="98" spans="1:8" ht="15" customHeight="1" x14ac:dyDescent="0.25">
      <c r="A98" s="3" t="s">
        <v>9</v>
      </c>
      <c r="B98" s="3" t="s">
        <v>1</v>
      </c>
      <c r="C98" s="13" t="s">
        <v>1227</v>
      </c>
      <c r="D98" s="13" t="s">
        <v>1229</v>
      </c>
      <c r="E98" s="19"/>
      <c r="F98" s="19">
        <f>F99+F108+F110</f>
        <v>0</v>
      </c>
      <c r="G98" s="19" t="e">
        <f ca="1">G99+G108+G110</f>
        <v>#NAME?</v>
      </c>
      <c r="H98" s="19"/>
    </row>
    <row r="99" spans="1:8" ht="15" customHeight="1" x14ac:dyDescent="0.25">
      <c r="A99" s="5" t="s">
        <v>12</v>
      </c>
      <c r="B99" s="5" t="s">
        <v>1</v>
      </c>
      <c r="C99" s="14" t="s">
        <v>1228</v>
      </c>
      <c r="D99" s="14" t="s">
        <v>1477</v>
      </c>
      <c r="F99" s="15">
        <f>F102+F105</f>
        <v>0</v>
      </c>
      <c r="G99" s="15" t="e">
        <f ca="1">G102+G105</f>
        <v>#NAME?</v>
      </c>
    </row>
    <row r="100" spans="1:8" ht="15" customHeight="1" x14ac:dyDescent="0.25">
      <c r="A100" s="21" t="s">
        <v>74</v>
      </c>
      <c r="B100" s="21" t="s">
        <v>518</v>
      </c>
      <c r="C100" s="16" t="s">
        <v>1230</v>
      </c>
      <c r="D100" s="16" t="s">
        <v>1484</v>
      </c>
      <c r="E100" s="22"/>
      <c r="F100" s="22" t="e">
        <f>F99/F40</f>
        <v>#DIV/0!</v>
      </c>
      <c r="G100" s="22" t="e">
        <f ca="1">G99/G40</f>
        <v>#NAME?</v>
      </c>
      <c r="H100" s="22" t="s">
        <v>1163</v>
      </c>
    </row>
    <row r="101" spans="1:8" ht="15" customHeight="1" x14ac:dyDescent="0.25">
      <c r="A101" s="21" t="s">
        <v>74</v>
      </c>
      <c r="B101" s="21" t="s">
        <v>518</v>
      </c>
      <c r="C101" s="16" t="s">
        <v>1492</v>
      </c>
      <c r="D101" s="16" t="s">
        <v>1485</v>
      </c>
      <c r="E101" s="22"/>
      <c r="F101" s="22" t="e">
        <f>F100-F65</f>
        <v>#DIV/0!</v>
      </c>
      <c r="G101" s="22" t="e">
        <f ca="1">G100-G65</f>
        <v>#NAME?</v>
      </c>
      <c r="H101" s="22"/>
    </row>
    <row r="102" spans="1:8" ht="15" customHeight="1" x14ac:dyDescent="0.25">
      <c r="A102" s="21" t="s">
        <v>74</v>
      </c>
      <c r="B102" s="21" t="s">
        <v>1</v>
      </c>
      <c r="C102" s="16" t="s">
        <v>1493</v>
      </c>
      <c r="D102" s="16" t="s">
        <v>1486</v>
      </c>
      <c r="E102" s="22"/>
      <c r="F102" s="22"/>
      <c r="G102" s="22" t="e">
        <f ca="1">G41*G103</f>
        <v>#NAME?</v>
      </c>
      <c r="H102" s="22" t="s">
        <v>1164</v>
      </c>
    </row>
    <row r="103" spans="1:8" ht="15" customHeight="1" x14ac:dyDescent="0.25">
      <c r="A103" s="5" t="s">
        <v>1395</v>
      </c>
      <c r="B103" s="5" t="s">
        <v>518</v>
      </c>
      <c r="C103" s="14" t="s">
        <v>1495</v>
      </c>
      <c r="D103" s="14" t="s">
        <v>1488</v>
      </c>
      <c r="F103" s="15" t="e">
        <f>F102/F41</f>
        <v>#DIV/0!</v>
      </c>
      <c r="G103" s="15" t="e">
        <f ca="1">G71+G104</f>
        <v>#NAME?</v>
      </c>
      <c r="H103" s="15" t="s">
        <v>1165</v>
      </c>
    </row>
    <row r="104" spans="1:8" ht="15" customHeight="1" x14ac:dyDescent="0.25">
      <c r="A104" s="5" t="s">
        <v>1395</v>
      </c>
      <c r="B104" s="5" t="s">
        <v>518</v>
      </c>
      <c r="C104" s="14" t="s">
        <v>1496</v>
      </c>
      <c r="D104" s="14" t="s">
        <v>1489</v>
      </c>
      <c r="F104" s="15" t="e">
        <f>F103-F71</f>
        <v>#DIV/0!</v>
      </c>
    </row>
    <row r="105" spans="1:8" ht="15" customHeight="1" x14ac:dyDescent="0.25">
      <c r="A105" s="21" t="s">
        <v>74</v>
      </c>
      <c r="B105" s="21" t="s">
        <v>1</v>
      </c>
      <c r="C105" s="16" t="s">
        <v>1494</v>
      </c>
      <c r="D105" s="16" t="s">
        <v>1487</v>
      </c>
      <c r="E105" s="22"/>
      <c r="F105" s="22"/>
      <c r="G105" s="22" t="e">
        <f ca="1">G42*G106</f>
        <v>#NAME?</v>
      </c>
      <c r="H105" s="22" t="s">
        <v>1164</v>
      </c>
    </row>
    <row r="106" spans="1:8" ht="15" customHeight="1" x14ac:dyDescent="0.25">
      <c r="A106" s="5" t="s">
        <v>1395</v>
      </c>
      <c r="B106" s="5" t="s">
        <v>518</v>
      </c>
      <c r="C106" s="14" t="s">
        <v>1497</v>
      </c>
      <c r="D106" s="14" t="s">
        <v>1490</v>
      </c>
      <c r="F106" s="15" t="e">
        <f>F105/F42</f>
        <v>#DIV/0!</v>
      </c>
      <c r="G106" s="15" t="e">
        <f ca="1">G77+G107</f>
        <v>#NAME?</v>
      </c>
      <c r="H106" s="15" t="s">
        <v>1165</v>
      </c>
    </row>
    <row r="107" spans="1:8" ht="15" customHeight="1" x14ac:dyDescent="0.25">
      <c r="A107" s="5" t="s">
        <v>1395</v>
      </c>
      <c r="B107" s="5" t="s">
        <v>518</v>
      </c>
      <c r="C107" s="14" t="s">
        <v>1498</v>
      </c>
      <c r="D107" s="14" t="s">
        <v>1491</v>
      </c>
      <c r="F107" s="15" t="e">
        <f>F106-F77</f>
        <v>#DIV/0!</v>
      </c>
    </row>
    <row r="108" spans="1:8" ht="15" customHeight="1" x14ac:dyDescent="0.25">
      <c r="A108" s="5" t="s">
        <v>12</v>
      </c>
      <c r="B108" s="5" t="s">
        <v>1</v>
      </c>
      <c r="C108" s="14" t="s">
        <v>1475</v>
      </c>
      <c r="D108" s="15" t="s">
        <v>1478</v>
      </c>
      <c r="G108" s="15">
        <f>G84*G109</f>
        <v>0</v>
      </c>
      <c r="H108" s="15" t="s">
        <v>1164</v>
      </c>
    </row>
    <row r="109" spans="1:8" ht="15" customHeight="1" x14ac:dyDescent="0.25">
      <c r="A109" s="5" t="s">
        <v>74</v>
      </c>
      <c r="B109" s="5" t="s">
        <v>518</v>
      </c>
      <c r="C109" s="14" t="s">
        <v>1481</v>
      </c>
      <c r="D109" s="15" t="s">
        <v>1480</v>
      </c>
      <c r="F109" s="15" t="e">
        <f>F108/F84</f>
        <v>#DIV/0!</v>
      </c>
      <c r="H109" s="15" t="s">
        <v>1163</v>
      </c>
    </row>
    <row r="110" spans="1:8" ht="15" customHeight="1" x14ac:dyDescent="0.25">
      <c r="A110" s="5" t="s">
        <v>12</v>
      </c>
      <c r="B110" s="5" t="s">
        <v>1</v>
      </c>
      <c r="C110" s="14" t="s">
        <v>1476</v>
      </c>
      <c r="D110" s="15" t="s">
        <v>1479</v>
      </c>
      <c r="G110" s="15">
        <f>G88*G111</f>
        <v>0</v>
      </c>
      <c r="H110" s="15" t="s">
        <v>1164</v>
      </c>
    </row>
    <row r="111" spans="1:8" ht="15" customHeight="1" x14ac:dyDescent="0.25">
      <c r="A111" s="5" t="s">
        <v>74</v>
      </c>
      <c r="B111" s="5" t="s">
        <v>518</v>
      </c>
      <c r="C111" s="14" t="s">
        <v>1482</v>
      </c>
      <c r="D111" s="15" t="s">
        <v>1483</v>
      </c>
      <c r="F111" s="15" t="e">
        <f>F110/F88</f>
        <v>#DIV/0!</v>
      </c>
      <c r="H111" s="15" t="s">
        <v>1163</v>
      </c>
    </row>
    <row r="112" spans="1:8" ht="15" customHeight="1" x14ac:dyDescent="0.25">
      <c r="A112" s="19" t="s">
        <v>9</v>
      </c>
      <c r="B112" s="19" t="s">
        <v>1</v>
      </c>
      <c r="C112" s="13" t="s">
        <v>1231</v>
      </c>
      <c r="D112" s="19" t="s">
        <v>1232</v>
      </c>
      <c r="E112" s="19"/>
      <c r="F112" s="19">
        <f>F113</f>
        <v>0</v>
      </c>
      <c r="G112" s="19">
        <f>G113</f>
        <v>0</v>
      </c>
      <c r="H112" s="19"/>
    </row>
    <row r="113" spans="1:8" ht="15" customHeight="1" x14ac:dyDescent="0.25">
      <c r="A113" s="15" t="s">
        <v>12</v>
      </c>
      <c r="B113" s="15" t="s">
        <v>1</v>
      </c>
      <c r="C113" s="14" t="s">
        <v>1918</v>
      </c>
      <c r="D113" s="15" t="s">
        <v>1233</v>
      </c>
      <c r="G113" s="15">
        <f>G94*G114</f>
        <v>0</v>
      </c>
      <c r="H113" s="15" t="s">
        <v>1164</v>
      </c>
    </row>
    <row r="114" spans="1:8" ht="15" customHeight="1" x14ac:dyDescent="0.25">
      <c r="A114" s="15" t="s">
        <v>74</v>
      </c>
      <c r="B114" s="15" t="s">
        <v>518</v>
      </c>
      <c r="C114" s="14" t="s">
        <v>1919</v>
      </c>
      <c r="D114" s="15" t="s">
        <v>1234</v>
      </c>
      <c r="F114" s="15" t="e">
        <f>F113/F94</f>
        <v>#DIV/0!</v>
      </c>
      <c r="H114" s="15" t="s">
        <v>1163</v>
      </c>
    </row>
    <row r="115" spans="1:8" ht="15" customHeight="1" x14ac:dyDescent="0.25">
      <c r="A115" s="19" t="s">
        <v>9</v>
      </c>
      <c r="B115" s="19" t="s">
        <v>1</v>
      </c>
      <c r="C115" s="13" t="s">
        <v>1508</v>
      </c>
      <c r="D115" s="13" t="s">
        <v>1499</v>
      </c>
      <c r="E115" s="19"/>
      <c r="F115" s="19">
        <f>F116+F118</f>
        <v>0</v>
      </c>
      <c r="G115" s="19">
        <f>G116+G118</f>
        <v>0</v>
      </c>
      <c r="H115" s="19"/>
    </row>
    <row r="116" spans="1:8" ht="15" customHeight="1" x14ac:dyDescent="0.25">
      <c r="A116" s="14" t="s">
        <v>12</v>
      </c>
      <c r="B116" s="14" t="s">
        <v>1</v>
      </c>
      <c r="C116" s="14" t="s">
        <v>1509</v>
      </c>
      <c r="D116" s="14" t="s">
        <v>1500</v>
      </c>
      <c r="G116" s="15">
        <f>G44*G117</f>
        <v>0</v>
      </c>
    </row>
    <row r="117" spans="1:8" ht="15" customHeight="1" x14ac:dyDescent="0.25">
      <c r="A117" s="14" t="s">
        <v>74</v>
      </c>
      <c r="B117" s="14" t="s">
        <v>518</v>
      </c>
      <c r="C117" s="14" t="s">
        <v>1510</v>
      </c>
      <c r="D117" s="14" t="s">
        <v>1502</v>
      </c>
      <c r="F117" s="15" t="e">
        <f>F116/F44</f>
        <v>#DIV/0!</v>
      </c>
      <c r="H117" s="15" t="s">
        <v>1163</v>
      </c>
    </row>
    <row r="118" spans="1:8" ht="15" customHeight="1" x14ac:dyDescent="0.25">
      <c r="A118" s="14" t="s">
        <v>12</v>
      </c>
      <c r="B118" s="14" t="s">
        <v>1</v>
      </c>
      <c r="C118" s="14" t="s">
        <v>1511</v>
      </c>
      <c r="D118" s="14" t="s">
        <v>1501</v>
      </c>
    </row>
    <row r="119" spans="1:8" ht="15" customHeight="1" x14ac:dyDescent="0.25">
      <c r="A119" s="14"/>
      <c r="B119" s="14"/>
      <c r="C119" s="14"/>
      <c r="D119" s="14"/>
    </row>
    <row r="120" spans="1:8" ht="15" customHeight="1" x14ac:dyDescent="0.25">
      <c r="A120" s="3" t="s">
        <v>6</v>
      </c>
      <c r="B120" s="5" t="s">
        <v>1</v>
      </c>
      <c r="C120" s="13" t="s">
        <v>1512</v>
      </c>
      <c r="D120" s="13" t="s">
        <v>869</v>
      </c>
      <c r="G120" s="15">
        <f>G121+G123</f>
        <v>0</v>
      </c>
    </row>
    <row r="121" spans="1:8" ht="15" customHeight="1" x14ac:dyDescent="0.25">
      <c r="A121" s="13" t="s">
        <v>9</v>
      </c>
      <c r="B121" s="13" t="s">
        <v>1</v>
      </c>
      <c r="C121" s="13" t="s">
        <v>2342</v>
      </c>
      <c r="D121" s="13" t="s">
        <v>899</v>
      </c>
      <c r="G121" s="15">
        <f>G43*G122</f>
        <v>0</v>
      </c>
      <c r="H121" s="15" t="s">
        <v>1164</v>
      </c>
    </row>
    <row r="122" spans="1:8" ht="15" customHeight="1" x14ac:dyDescent="0.25">
      <c r="A122" s="14" t="s">
        <v>12</v>
      </c>
      <c r="B122" s="14" t="s">
        <v>518</v>
      </c>
      <c r="C122" s="14" t="s">
        <v>2343</v>
      </c>
      <c r="D122" s="14" t="s">
        <v>1517</v>
      </c>
      <c r="F122" s="15" t="e">
        <f>F121/F43</f>
        <v>#DIV/0!</v>
      </c>
      <c r="H122" s="15" t="s">
        <v>1163</v>
      </c>
    </row>
    <row r="123" spans="1:8" ht="15" customHeight="1" x14ac:dyDescent="0.25">
      <c r="A123" s="13" t="s">
        <v>9</v>
      </c>
      <c r="B123" s="13" t="s">
        <v>1</v>
      </c>
      <c r="C123" s="13" t="s">
        <v>1513</v>
      </c>
      <c r="D123" s="13" t="s">
        <v>884</v>
      </c>
      <c r="F123" s="15">
        <f>F120-F121</f>
        <v>0</v>
      </c>
    </row>
    <row r="124" spans="1:8" ht="15" customHeight="1" x14ac:dyDescent="0.25">
      <c r="A124" s="14"/>
      <c r="B124" s="14"/>
      <c r="C124" s="14"/>
      <c r="D124" s="14"/>
    </row>
    <row r="125" spans="1:8" ht="15" customHeight="1" x14ac:dyDescent="0.25">
      <c r="A125" s="13" t="s">
        <v>6</v>
      </c>
      <c r="B125" s="13" t="s">
        <v>15</v>
      </c>
      <c r="C125" s="13" t="s">
        <v>1514</v>
      </c>
      <c r="D125" s="13" t="s">
        <v>877</v>
      </c>
      <c r="G125" s="15">
        <f>G126+G128+G129</f>
        <v>0</v>
      </c>
    </row>
    <row r="126" spans="1:8" ht="15" customHeight="1" x14ac:dyDescent="0.25">
      <c r="A126" s="13" t="s">
        <v>9</v>
      </c>
      <c r="B126" s="13" t="s">
        <v>15</v>
      </c>
      <c r="C126" s="13" t="s">
        <v>2344</v>
      </c>
      <c r="D126" s="13" t="s">
        <v>1518</v>
      </c>
      <c r="G126" s="15">
        <f>G121*0.925</f>
        <v>0</v>
      </c>
    </row>
    <row r="127" spans="1:8" ht="15" customHeight="1" x14ac:dyDescent="0.25">
      <c r="A127" s="14" t="s">
        <v>12</v>
      </c>
      <c r="B127" s="14" t="s">
        <v>518</v>
      </c>
      <c r="C127" s="14" t="s">
        <v>2345</v>
      </c>
      <c r="D127" s="14" t="s">
        <v>1516</v>
      </c>
      <c r="F127" s="15" t="e">
        <f>F126/F43</f>
        <v>#DIV/0!</v>
      </c>
      <c r="G127" s="15" t="e">
        <f>G126/G43</f>
        <v>#DIV/0!</v>
      </c>
      <c r="H127" s="15" t="s">
        <v>1163</v>
      </c>
    </row>
    <row r="128" spans="1:8" ht="15" customHeight="1" x14ac:dyDescent="0.25">
      <c r="A128" s="13" t="s">
        <v>9</v>
      </c>
      <c r="B128" s="13" t="s">
        <v>15</v>
      </c>
      <c r="C128" s="13" t="s">
        <v>2346</v>
      </c>
      <c r="D128" s="13" t="s">
        <v>1567</v>
      </c>
      <c r="G128" s="15">
        <f>G44*(1-G139-0.05)*G137*0.85</f>
        <v>0</v>
      </c>
      <c r="H128" s="15" t="s">
        <v>1164</v>
      </c>
    </row>
    <row r="129" spans="1:8" ht="15" customHeight="1" x14ac:dyDescent="0.25">
      <c r="A129" s="13" t="s">
        <v>9</v>
      </c>
      <c r="B129" s="13" t="s">
        <v>15</v>
      </c>
      <c r="C129" s="13" t="s">
        <v>1515</v>
      </c>
      <c r="D129" s="13" t="s">
        <v>884</v>
      </c>
      <c r="F129" s="15">
        <f>F125-F126-F128</f>
        <v>0</v>
      </c>
    </row>
    <row r="130" spans="1:8" ht="15" customHeight="1" x14ac:dyDescent="0.25">
      <c r="A130" s="14"/>
      <c r="B130" s="14"/>
      <c r="C130" s="14"/>
      <c r="D130" s="14"/>
    </row>
    <row r="131" spans="1:8" ht="15" customHeight="1" x14ac:dyDescent="0.25">
      <c r="A131" s="13" t="s">
        <v>6</v>
      </c>
      <c r="B131" s="13" t="s">
        <v>1</v>
      </c>
      <c r="C131" s="13" t="s">
        <v>1519</v>
      </c>
      <c r="D131" s="13" t="s">
        <v>1346</v>
      </c>
    </row>
    <row r="132" spans="1:8" ht="15" customHeight="1" x14ac:dyDescent="0.25">
      <c r="A132" s="14"/>
      <c r="B132" s="14"/>
      <c r="C132" s="14"/>
      <c r="D132" s="14"/>
    </row>
    <row r="133" spans="1:8" ht="15" customHeight="1" x14ac:dyDescent="0.25">
      <c r="A133" s="13" t="s">
        <v>6</v>
      </c>
      <c r="B133" s="13" t="s">
        <v>1</v>
      </c>
      <c r="C133" s="13" t="s">
        <v>1520</v>
      </c>
      <c r="D133" s="13" t="s">
        <v>886</v>
      </c>
    </row>
    <row r="134" spans="1:8" ht="15" customHeight="1" x14ac:dyDescent="0.25">
      <c r="A134" s="14"/>
      <c r="B134" s="14"/>
      <c r="C134" s="14"/>
      <c r="D134" s="14"/>
    </row>
    <row r="135" spans="1:8" ht="15" customHeight="1" x14ac:dyDescent="0.25">
      <c r="A135" s="14"/>
      <c r="B135" s="14"/>
      <c r="C135" s="14"/>
      <c r="D135" s="14"/>
    </row>
    <row r="136" spans="1:8" ht="15" customHeight="1" x14ac:dyDescent="0.25">
      <c r="A136" s="13" t="s">
        <v>6</v>
      </c>
      <c r="B136" s="13" t="s">
        <v>518</v>
      </c>
      <c r="C136" s="13" t="s">
        <v>1521</v>
      </c>
      <c r="D136" s="13" t="s">
        <v>900</v>
      </c>
    </row>
    <row r="137" spans="1:8" ht="15" customHeight="1" x14ac:dyDescent="0.25">
      <c r="A137" s="14" t="s">
        <v>9</v>
      </c>
      <c r="B137" s="14" t="s">
        <v>518</v>
      </c>
      <c r="C137" s="14" t="s">
        <v>1522</v>
      </c>
      <c r="D137" s="14" t="s">
        <v>1168</v>
      </c>
    </row>
    <row r="138" spans="1:8" ht="15" customHeight="1" x14ac:dyDescent="0.25">
      <c r="A138" s="14" t="s">
        <v>9</v>
      </c>
      <c r="B138" s="14" t="s">
        <v>518</v>
      </c>
      <c r="C138" s="14" t="s">
        <v>1523</v>
      </c>
      <c r="D138" s="14" t="s">
        <v>1169</v>
      </c>
    </row>
    <row r="139" spans="1:8" ht="15" customHeight="1" x14ac:dyDescent="0.25">
      <c r="A139" s="14" t="s">
        <v>9</v>
      </c>
      <c r="B139" s="14" t="s">
        <v>518</v>
      </c>
      <c r="C139" s="14" t="s">
        <v>1524</v>
      </c>
      <c r="D139" s="14" t="s">
        <v>1170</v>
      </c>
    </row>
    <row r="140" spans="1:8" ht="15" customHeight="1" x14ac:dyDescent="0.25">
      <c r="A140" s="14" t="s">
        <v>9</v>
      </c>
      <c r="B140" s="14" t="s">
        <v>518</v>
      </c>
      <c r="C140" s="14" t="s">
        <v>1525</v>
      </c>
      <c r="D140" s="14" t="s">
        <v>1171</v>
      </c>
      <c r="F140" s="15" t="e">
        <f>F141/F142</f>
        <v>#DIV/0!</v>
      </c>
      <c r="G140" s="15" t="e">
        <f>G141/G142</f>
        <v>#DIV/0!</v>
      </c>
      <c r="H140" s="15" t="s">
        <v>1163</v>
      </c>
    </row>
    <row r="141" spans="1:8" ht="15" customHeight="1" x14ac:dyDescent="0.25">
      <c r="A141" s="14" t="s">
        <v>12</v>
      </c>
      <c r="B141" s="14" t="s">
        <v>1</v>
      </c>
      <c r="C141" s="14" t="s">
        <v>1526</v>
      </c>
      <c r="D141" s="14" t="s">
        <v>1172</v>
      </c>
    </row>
    <row r="142" spans="1:8" ht="15" customHeight="1" x14ac:dyDescent="0.25">
      <c r="A142" s="14" t="s">
        <v>12</v>
      </c>
      <c r="B142" s="14" t="s">
        <v>521</v>
      </c>
      <c r="C142" s="14" t="s">
        <v>1527</v>
      </c>
      <c r="D142" s="14" t="s">
        <v>1173</v>
      </c>
    </row>
    <row r="143" spans="1:8" ht="15" customHeight="1" x14ac:dyDescent="0.25">
      <c r="A143" s="14" t="s">
        <v>9</v>
      </c>
      <c r="B143" s="14" t="s">
        <v>518</v>
      </c>
      <c r="C143" s="14" t="s">
        <v>1528</v>
      </c>
      <c r="D143" s="14" t="s">
        <v>1533</v>
      </c>
    </row>
    <row r="144" spans="1:8" ht="15" customHeight="1" x14ac:dyDescent="0.25">
      <c r="A144" s="14" t="s">
        <v>9</v>
      </c>
      <c r="B144" s="14" t="s">
        <v>518</v>
      </c>
      <c r="C144" s="14" t="s">
        <v>1529</v>
      </c>
      <c r="D144" s="14" t="s">
        <v>1534</v>
      </c>
    </row>
    <row r="145" spans="1:4" ht="15" customHeight="1" x14ac:dyDescent="0.25">
      <c r="A145" s="14" t="s">
        <v>9</v>
      </c>
      <c r="B145" s="15" t="s">
        <v>518</v>
      </c>
      <c r="C145" s="14" t="s">
        <v>1530</v>
      </c>
      <c r="D145" s="15" t="s">
        <v>1537</v>
      </c>
    </row>
    <row r="146" spans="1:4" ht="15" customHeight="1" x14ac:dyDescent="0.25">
      <c r="A146" s="14" t="s">
        <v>9</v>
      </c>
      <c r="B146" s="15" t="s">
        <v>518</v>
      </c>
      <c r="C146" s="14" t="s">
        <v>1531</v>
      </c>
      <c r="D146" s="15" t="s">
        <v>1535</v>
      </c>
    </row>
    <row r="147" spans="1:4" ht="15" customHeight="1" x14ac:dyDescent="0.25">
      <c r="A147" s="14" t="s">
        <v>9</v>
      </c>
      <c r="B147" s="15" t="s">
        <v>518</v>
      </c>
      <c r="C147" s="14" t="s">
        <v>1532</v>
      </c>
      <c r="D147" s="15" t="s">
        <v>1536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FD7E0-FF3E-4326-A1A9-241061B697D7}">
  <dimension ref="A1:H102"/>
  <sheetViews>
    <sheetView workbookViewId="0">
      <pane xSplit="4" ySplit="1" topLeftCell="E80" activePane="bottomRight" state="frozen"/>
      <selection pane="topRight" activeCell="E1" sqref="E1"/>
      <selection pane="bottomLeft" activeCell="A2" sqref="A2"/>
      <selection pane="bottomRight" activeCell="C92" activeCellId="3" sqref="C86:D86 C88:D88 C90:D90 C92:D92"/>
    </sheetView>
  </sheetViews>
  <sheetFormatPr defaultColWidth="8.6640625" defaultRowHeight="15" customHeight="1" x14ac:dyDescent="0.25"/>
  <cols>
    <col min="1" max="2" width="8.6640625" style="15"/>
    <col min="3" max="3" width="11" style="15" bestFit="1" customWidth="1"/>
    <col min="4" max="4" width="17.44140625" style="15" bestFit="1" customWidth="1"/>
    <col min="5" max="7" width="8.6640625" style="15"/>
    <col min="8" max="8" width="10.109375" style="15" bestFit="1" customWidth="1"/>
    <col min="9" max="16384" width="8.6640625" style="15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ht="15" customHeight="1" x14ac:dyDescent="0.25">
      <c r="A2" s="3" t="s">
        <v>6</v>
      </c>
      <c r="B2" s="5" t="s">
        <v>1</v>
      </c>
      <c r="C2" s="4" t="s">
        <v>1538</v>
      </c>
      <c r="D2" s="3" t="s">
        <v>7</v>
      </c>
      <c r="F2" s="15">
        <f>F3+F6+F7</f>
        <v>0</v>
      </c>
      <c r="G2" s="15">
        <f>G3+G6+G7</f>
        <v>0</v>
      </c>
    </row>
    <row r="3" spans="1:8" ht="15" customHeight="1" x14ac:dyDescent="0.25">
      <c r="A3" s="5" t="s">
        <v>9</v>
      </c>
      <c r="B3" s="5" t="s">
        <v>1</v>
      </c>
      <c r="C3" s="4" t="s">
        <v>1539</v>
      </c>
      <c r="D3" s="3" t="s">
        <v>10</v>
      </c>
      <c r="F3" s="15">
        <f>F4+F5</f>
        <v>0</v>
      </c>
      <c r="G3" s="15">
        <f>G4+G5</f>
        <v>0</v>
      </c>
    </row>
    <row r="4" spans="1:8" ht="15" customHeight="1" x14ac:dyDescent="0.25">
      <c r="A4" s="5" t="s">
        <v>12</v>
      </c>
      <c r="B4" s="5" t="s">
        <v>1</v>
      </c>
      <c r="C4" s="7" t="s">
        <v>1540</v>
      </c>
      <c r="D4" s="5" t="s">
        <v>627</v>
      </c>
      <c r="F4" s="15">
        <f>F48-F52</f>
        <v>0</v>
      </c>
      <c r="G4" s="15">
        <f>G48-G52</f>
        <v>0</v>
      </c>
    </row>
    <row r="5" spans="1:8" ht="15" customHeight="1" x14ac:dyDescent="0.25">
      <c r="A5" s="5" t="s">
        <v>12</v>
      </c>
      <c r="B5" s="5" t="s">
        <v>1</v>
      </c>
      <c r="C5" s="7" t="s">
        <v>1541</v>
      </c>
      <c r="D5" s="5" t="s">
        <v>632</v>
      </c>
      <c r="F5" s="15">
        <f>F67-F58</f>
        <v>0</v>
      </c>
      <c r="G5" s="15">
        <f>G67-G58</f>
        <v>0</v>
      </c>
    </row>
    <row r="6" spans="1:8" ht="15" customHeight="1" x14ac:dyDescent="0.25">
      <c r="A6" s="5" t="s">
        <v>9</v>
      </c>
      <c r="B6" s="5" t="s">
        <v>1</v>
      </c>
      <c r="C6" s="4" t="s">
        <v>1542</v>
      </c>
      <c r="D6" s="3" t="s">
        <v>1174</v>
      </c>
      <c r="F6" s="15">
        <f>F79-F85</f>
        <v>0</v>
      </c>
      <c r="G6" s="15">
        <f>G79-G85</f>
        <v>0</v>
      </c>
    </row>
    <row r="7" spans="1:8" ht="15" customHeight="1" x14ac:dyDescent="0.25">
      <c r="A7" s="5" t="s">
        <v>9</v>
      </c>
      <c r="B7" s="5" t="s">
        <v>1</v>
      </c>
      <c r="C7" s="4" t="s">
        <v>1543</v>
      </c>
      <c r="D7" s="3" t="s">
        <v>23</v>
      </c>
      <c r="F7" s="15">
        <f>F99+F101</f>
        <v>0</v>
      </c>
      <c r="G7" s="15">
        <f>G99+G101</f>
        <v>0</v>
      </c>
    </row>
    <row r="8" spans="1:8" ht="15" customHeight="1" x14ac:dyDescent="0.25">
      <c r="A8" s="3" t="s">
        <v>6</v>
      </c>
      <c r="B8" s="5" t="s">
        <v>15</v>
      </c>
      <c r="C8" s="4" t="s">
        <v>1544</v>
      </c>
      <c r="D8" s="3" t="s">
        <v>641</v>
      </c>
    </row>
    <row r="9" spans="1:8" ht="15" customHeight="1" x14ac:dyDescent="0.25">
      <c r="A9" s="3" t="s">
        <v>6</v>
      </c>
      <c r="B9" s="5" t="s">
        <v>1</v>
      </c>
      <c r="C9" s="4" t="s">
        <v>1545</v>
      </c>
      <c r="D9" s="3" t="s">
        <v>35</v>
      </c>
      <c r="F9" s="15">
        <f>F2-F8</f>
        <v>0</v>
      </c>
      <c r="G9" s="15">
        <f>G2-G8</f>
        <v>0</v>
      </c>
    </row>
    <row r="10" spans="1:8" ht="15" customHeight="1" x14ac:dyDescent="0.25">
      <c r="A10" s="3" t="s">
        <v>6</v>
      </c>
      <c r="B10" s="5" t="s">
        <v>15</v>
      </c>
      <c r="C10" s="4" t="s">
        <v>1546</v>
      </c>
      <c r="D10" s="3" t="s">
        <v>37</v>
      </c>
    </row>
    <row r="11" spans="1:8" ht="15" customHeight="1" x14ac:dyDescent="0.25">
      <c r="A11" s="3" t="s">
        <v>6</v>
      </c>
      <c r="B11" s="5" t="s">
        <v>15</v>
      </c>
      <c r="C11" s="4" t="s">
        <v>1547</v>
      </c>
      <c r="D11" s="3" t="s">
        <v>645</v>
      </c>
      <c r="F11" s="15">
        <f>F12+F15+F18+F25+F26</f>
        <v>0</v>
      </c>
      <c r="G11" s="15">
        <f>G12+G15+G18+G25+G26</f>
        <v>0</v>
      </c>
    </row>
    <row r="12" spans="1:8" ht="15" customHeight="1" x14ac:dyDescent="0.25">
      <c r="A12" s="5" t="s">
        <v>9</v>
      </c>
      <c r="B12" s="5" t="s">
        <v>15</v>
      </c>
      <c r="C12" s="4" t="s">
        <v>1548</v>
      </c>
      <c r="D12" s="3" t="s">
        <v>647</v>
      </c>
      <c r="F12" s="15">
        <f>F13+F14</f>
        <v>0</v>
      </c>
      <c r="G12" s="15">
        <f>G13+G14</f>
        <v>0</v>
      </c>
    </row>
    <row r="13" spans="1:8" ht="15" customHeight="1" x14ac:dyDescent="0.25">
      <c r="A13" s="5" t="s">
        <v>12</v>
      </c>
      <c r="B13" s="5" t="s">
        <v>15</v>
      </c>
      <c r="C13" s="7" t="s">
        <v>1549</v>
      </c>
      <c r="D13" s="5" t="s">
        <v>43</v>
      </c>
    </row>
    <row r="14" spans="1:8" ht="15" customHeight="1" x14ac:dyDescent="0.25">
      <c r="A14" s="5" t="s">
        <v>12</v>
      </c>
      <c r="B14" s="5" t="s">
        <v>15</v>
      </c>
      <c r="C14" s="7" t="s">
        <v>1550</v>
      </c>
      <c r="D14" s="5" t="s">
        <v>650</v>
      </c>
    </row>
    <row r="15" spans="1:8" ht="15" customHeight="1" x14ac:dyDescent="0.25">
      <c r="A15" s="5" t="s">
        <v>9</v>
      </c>
      <c r="B15" s="5" t="s">
        <v>15</v>
      </c>
      <c r="C15" s="4" t="s">
        <v>1551</v>
      </c>
      <c r="D15" s="3" t="s">
        <v>49</v>
      </c>
      <c r="F15" s="15">
        <f>F16+F17</f>
        <v>0</v>
      </c>
      <c r="G15" s="15">
        <f>G16+G17</f>
        <v>0</v>
      </c>
    </row>
    <row r="16" spans="1:8" ht="15" customHeight="1" x14ac:dyDescent="0.25">
      <c r="A16" s="5" t="s">
        <v>12</v>
      </c>
      <c r="B16" s="5" t="s">
        <v>15</v>
      </c>
      <c r="C16" s="7" t="s">
        <v>1552</v>
      </c>
      <c r="D16" s="5" t="s">
        <v>51</v>
      </c>
    </row>
    <row r="17" spans="1:7" ht="15" customHeight="1" x14ac:dyDescent="0.25">
      <c r="A17" s="5" t="s">
        <v>12</v>
      </c>
      <c r="B17" s="5" t="s">
        <v>15</v>
      </c>
      <c r="C17" s="7" t="s">
        <v>1553</v>
      </c>
      <c r="D17" s="5" t="s">
        <v>53</v>
      </c>
    </row>
    <row r="18" spans="1:7" ht="15" customHeight="1" x14ac:dyDescent="0.25">
      <c r="A18" s="5" t="s">
        <v>9</v>
      </c>
      <c r="B18" s="5" t="s">
        <v>15</v>
      </c>
      <c r="C18" s="4" t="s">
        <v>1554</v>
      </c>
      <c r="D18" s="3" t="s">
        <v>55</v>
      </c>
      <c r="F18" s="15">
        <f>F19+F22+F23+F24</f>
        <v>0</v>
      </c>
      <c r="G18" s="15">
        <f>G19+G22+G23+G24</f>
        <v>0</v>
      </c>
    </row>
    <row r="19" spans="1:7" ht="15" customHeight="1" x14ac:dyDescent="0.25">
      <c r="A19" s="5" t="s">
        <v>12</v>
      </c>
      <c r="B19" s="5" t="s">
        <v>15</v>
      </c>
      <c r="C19" s="7" t="s">
        <v>1555</v>
      </c>
      <c r="D19" s="5" t="s">
        <v>656</v>
      </c>
      <c r="F19" s="15">
        <f>F20+F21</f>
        <v>0</v>
      </c>
      <c r="G19" s="15">
        <f>G20+G21</f>
        <v>0</v>
      </c>
    </row>
    <row r="20" spans="1:7" ht="15" customHeight="1" x14ac:dyDescent="0.25">
      <c r="A20" s="5" t="s">
        <v>74</v>
      </c>
      <c r="B20" s="5" t="s">
        <v>15</v>
      </c>
      <c r="C20" s="7" t="s">
        <v>1556</v>
      </c>
      <c r="D20" s="5" t="s">
        <v>658</v>
      </c>
    </row>
    <row r="21" spans="1:7" ht="15" customHeight="1" x14ac:dyDescent="0.25">
      <c r="A21" s="5" t="s">
        <v>74</v>
      </c>
      <c r="B21" s="5" t="s">
        <v>15</v>
      </c>
      <c r="C21" s="7" t="s">
        <v>1557</v>
      </c>
      <c r="D21" s="5" t="s">
        <v>660</v>
      </c>
    </row>
    <row r="22" spans="1:7" ht="15" customHeight="1" x14ac:dyDescent="0.25">
      <c r="A22" s="5" t="s">
        <v>12</v>
      </c>
      <c r="B22" s="5" t="s">
        <v>15</v>
      </c>
      <c r="C22" s="7" t="s">
        <v>1558</v>
      </c>
      <c r="D22" s="5" t="s">
        <v>662</v>
      </c>
    </row>
    <row r="23" spans="1:7" ht="15" customHeight="1" x14ac:dyDescent="0.25">
      <c r="A23" s="5" t="s">
        <v>12</v>
      </c>
      <c r="B23" s="5" t="s">
        <v>15</v>
      </c>
      <c r="C23" s="7" t="s">
        <v>1559</v>
      </c>
      <c r="D23" s="5" t="s">
        <v>664</v>
      </c>
    </row>
    <row r="24" spans="1:7" ht="15" customHeight="1" x14ac:dyDescent="0.25">
      <c r="A24" s="5" t="s">
        <v>12</v>
      </c>
      <c r="B24" s="5" t="s">
        <v>15</v>
      </c>
      <c r="C24" s="7" t="s">
        <v>1560</v>
      </c>
      <c r="D24" s="5" t="s">
        <v>666</v>
      </c>
    </row>
    <row r="25" spans="1:7" ht="15" customHeight="1" x14ac:dyDescent="0.25">
      <c r="A25" s="5" t="s">
        <v>9</v>
      </c>
      <c r="B25" s="5" t="s">
        <v>15</v>
      </c>
      <c r="C25" s="4" t="s">
        <v>1561</v>
      </c>
      <c r="D25" s="3" t="s">
        <v>668</v>
      </c>
    </row>
    <row r="26" spans="1:7" ht="15" customHeight="1" x14ac:dyDescent="0.25">
      <c r="A26" s="5" t="s">
        <v>9</v>
      </c>
      <c r="B26" s="5" t="s">
        <v>15</v>
      </c>
      <c r="C26" s="4" t="s">
        <v>1562</v>
      </c>
      <c r="D26" s="3" t="s">
        <v>57</v>
      </c>
    </row>
    <row r="27" spans="1:7" ht="15" customHeight="1" x14ac:dyDescent="0.25">
      <c r="A27" s="3" t="s">
        <v>6</v>
      </c>
      <c r="B27" s="5" t="s">
        <v>1</v>
      </c>
      <c r="C27" s="4" t="s">
        <v>1563</v>
      </c>
      <c r="D27" s="3" t="s">
        <v>59</v>
      </c>
    </row>
    <row r="28" spans="1:7" ht="15" customHeight="1" x14ac:dyDescent="0.25">
      <c r="A28" s="3" t="s">
        <v>6</v>
      </c>
      <c r="B28" s="5" t="s">
        <v>517</v>
      </c>
      <c r="C28" s="4" t="s">
        <v>1564</v>
      </c>
      <c r="D28" s="3" t="s">
        <v>672</v>
      </c>
      <c r="F28" s="15">
        <f>F9-F10-F11+F27</f>
        <v>0</v>
      </c>
      <c r="G28" s="15">
        <f>G9-G10-G11+G27</f>
        <v>0</v>
      </c>
    </row>
    <row r="29" spans="1:7" ht="15" customHeight="1" x14ac:dyDescent="0.25">
      <c r="A29" s="3" t="s">
        <v>6</v>
      </c>
      <c r="B29" s="5" t="s">
        <v>15</v>
      </c>
      <c r="C29" s="4" t="s">
        <v>1565</v>
      </c>
      <c r="D29" s="3" t="s">
        <v>674</v>
      </c>
    </row>
    <row r="30" spans="1:7" ht="15" customHeight="1" x14ac:dyDescent="0.25">
      <c r="A30" s="3" t="s">
        <v>6</v>
      </c>
      <c r="B30" s="5" t="s">
        <v>517</v>
      </c>
      <c r="C30" s="4" t="s">
        <v>1566</v>
      </c>
      <c r="D30" s="3" t="s">
        <v>61</v>
      </c>
      <c r="F30" s="15">
        <f>F28-F29</f>
        <v>0</v>
      </c>
      <c r="G30" s="15">
        <f>G28-G29</f>
        <v>0</v>
      </c>
    </row>
    <row r="31" spans="1:7" ht="15" customHeight="1" x14ac:dyDescent="0.25">
      <c r="A31" s="14"/>
      <c r="B31" s="14"/>
      <c r="C31" s="14"/>
      <c r="D31" s="14"/>
    </row>
    <row r="32" spans="1:7" ht="15" customHeight="1" x14ac:dyDescent="0.25">
      <c r="A32" s="3" t="s">
        <v>6</v>
      </c>
      <c r="B32" s="3" t="s">
        <v>67</v>
      </c>
      <c r="C32" s="13" t="s">
        <v>1568</v>
      </c>
      <c r="D32" s="13" t="s">
        <v>130</v>
      </c>
      <c r="F32" s="15">
        <f>F33+F35+F36</f>
        <v>0</v>
      </c>
      <c r="G32" s="15">
        <f>G33+G35+G36</f>
        <v>0</v>
      </c>
    </row>
    <row r="33" spans="1:7" ht="15" customHeight="1" x14ac:dyDescent="0.25">
      <c r="A33" s="5" t="s">
        <v>9</v>
      </c>
      <c r="B33" s="3" t="s">
        <v>67</v>
      </c>
      <c r="C33" s="14" t="s">
        <v>1569</v>
      </c>
      <c r="D33" s="14" t="s">
        <v>852</v>
      </c>
      <c r="F33" s="15">
        <f>F34</f>
        <v>0</v>
      </c>
      <c r="G33" s="15">
        <f>G34</f>
        <v>0</v>
      </c>
    </row>
    <row r="34" spans="1:7" ht="15" customHeight="1" x14ac:dyDescent="0.25">
      <c r="A34" s="5" t="s">
        <v>12</v>
      </c>
      <c r="B34" s="3" t="s">
        <v>67</v>
      </c>
      <c r="C34" s="14" t="s">
        <v>2115</v>
      </c>
      <c r="D34" s="14" t="s">
        <v>142</v>
      </c>
    </row>
    <row r="35" spans="1:7" ht="15" customHeight="1" x14ac:dyDescent="0.25">
      <c r="A35" s="5" t="s">
        <v>9</v>
      </c>
      <c r="B35" s="3" t="s">
        <v>67</v>
      </c>
      <c r="C35" s="14" t="s">
        <v>1570</v>
      </c>
      <c r="D35" s="14" t="s">
        <v>853</v>
      </c>
    </row>
    <row r="36" spans="1:7" ht="15" customHeight="1" x14ac:dyDescent="0.25">
      <c r="A36" s="5" t="s">
        <v>9</v>
      </c>
      <c r="B36" s="3" t="s">
        <v>67</v>
      </c>
      <c r="C36" s="14" t="s">
        <v>1571</v>
      </c>
      <c r="D36" s="14" t="s">
        <v>854</v>
      </c>
    </row>
    <row r="37" spans="1:7" ht="15" customHeight="1" x14ac:dyDescent="0.25">
      <c r="A37" s="3" t="s">
        <v>6</v>
      </c>
      <c r="B37" s="3" t="s">
        <v>521</v>
      </c>
      <c r="C37" s="13" t="s">
        <v>1572</v>
      </c>
      <c r="D37" s="13" t="s">
        <v>855</v>
      </c>
      <c r="F37" s="15">
        <f>F38+F40+F41</f>
        <v>0</v>
      </c>
      <c r="G37" s="15">
        <f>G38+G40+G41</f>
        <v>0</v>
      </c>
    </row>
    <row r="38" spans="1:7" ht="15" customHeight="1" x14ac:dyDescent="0.25">
      <c r="A38" s="5" t="s">
        <v>9</v>
      </c>
      <c r="B38" s="3" t="s">
        <v>521</v>
      </c>
      <c r="C38" s="14" t="s">
        <v>1573</v>
      </c>
      <c r="D38" s="14" t="s">
        <v>852</v>
      </c>
      <c r="F38" s="15">
        <f>F39</f>
        <v>0</v>
      </c>
      <c r="G38" s="15">
        <f>G39</f>
        <v>0</v>
      </c>
    </row>
    <row r="39" spans="1:7" ht="15" customHeight="1" x14ac:dyDescent="0.25">
      <c r="A39" s="5" t="s">
        <v>12</v>
      </c>
      <c r="B39" s="3" t="s">
        <v>521</v>
      </c>
      <c r="C39" s="14" t="s">
        <v>2116</v>
      </c>
      <c r="D39" s="14" t="s">
        <v>142</v>
      </c>
    </row>
    <row r="40" spans="1:7" ht="15" customHeight="1" x14ac:dyDescent="0.25">
      <c r="A40" s="5" t="s">
        <v>9</v>
      </c>
      <c r="B40" s="3" t="s">
        <v>521</v>
      </c>
      <c r="C40" s="14" t="s">
        <v>1574</v>
      </c>
      <c r="D40" s="14" t="s">
        <v>853</v>
      </c>
    </row>
    <row r="41" spans="1:7" ht="15" customHeight="1" x14ac:dyDescent="0.25">
      <c r="A41" s="5" t="s">
        <v>9</v>
      </c>
      <c r="B41" s="3" t="s">
        <v>521</v>
      </c>
      <c r="C41" s="14" t="s">
        <v>1575</v>
      </c>
      <c r="D41" s="14" t="s">
        <v>854</v>
      </c>
    </row>
    <row r="42" spans="1:7" ht="15" customHeight="1" x14ac:dyDescent="0.25">
      <c r="A42" s="5"/>
      <c r="B42" s="3"/>
      <c r="C42" s="14"/>
      <c r="D42" s="14"/>
    </row>
    <row r="43" spans="1:7" ht="15" customHeight="1" x14ac:dyDescent="0.25">
      <c r="A43" s="3" t="s">
        <v>6</v>
      </c>
      <c r="B43" s="5" t="s">
        <v>111</v>
      </c>
      <c r="C43" s="13" t="s">
        <v>1991</v>
      </c>
      <c r="D43" s="13" t="s">
        <v>887</v>
      </c>
      <c r="F43" s="15">
        <f>F44</f>
        <v>0</v>
      </c>
      <c r="G43" s="15">
        <f>G44</f>
        <v>0</v>
      </c>
    </row>
    <row r="44" spans="1:7" ht="15" customHeight="1" x14ac:dyDescent="0.25">
      <c r="A44" s="3" t="s">
        <v>9</v>
      </c>
      <c r="B44" s="5" t="s">
        <v>111</v>
      </c>
      <c r="C44" s="13" t="s">
        <v>1992</v>
      </c>
      <c r="D44" s="13" t="s">
        <v>150</v>
      </c>
    </row>
    <row r="45" spans="1:7" ht="15" customHeight="1" x14ac:dyDescent="0.25">
      <c r="A45" s="3" t="s">
        <v>6</v>
      </c>
      <c r="B45" s="5" t="s">
        <v>539</v>
      </c>
      <c r="C45" s="13" t="s">
        <v>1993</v>
      </c>
      <c r="D45" s="13" t="s">
        <v>893</v>
      </c>
      <c r="F45" s="15">
        <f>F46</f>
        <v>0</v>
      </c>
      <c r="G45" s="15">
        <f>G46</f>
        <v>0</v>
      </c>
    </row>
    <row r="46" spans="1:7" ht="15" customHeight="1" x14ac:dyDescent="0.25">
      <c r="A46" s="3" t="s">
        <v>9</v>
      </c>
      <c r="B46" s="5" t="s">
        <v>539</v>
      </c>
      <c r="C46" s="13" t="s">
        <v>1994</v>
      </c>
      <c r="D46" s="13" t="s">
        <v>150</v>
      </c>
    </row>
    <row r="47" spans="1:7" ht="15" customHeight="1" x14ac:dyDescent="0.25">
      <c r="A47" s="5"/>
      <c r="B47" s="3"/>
      <c r="C47" s="14"/>
      <c r="D47" s="14"/>
    </row>
    <row r="48" spans="1:7" ht="15" customHeight="1" x14ac:dyDescent="0.25">
      <c r="A48" s="13" t="s">
        <v>6</v>
      </c>
      <c r="B48" s="13" t="s">
        <v>1</v>
      </c>
      <c r="C48" s="13" t="s">
        <v>1576</v>
      </c>
      <c r="D48" s="13" t="s">
        <v>1176</v>
      </c>
      <c r="F48" s="15">
        <f>F49</f>
        <v>0</v>
      </c>
      <c r="G48" s="15">
        <f>G49</f>
        <v>0</v>
      </c>
    </row>
    <row r="49" spans="1:8" ht="15" customHeight="1" x14ac:dyDescent="0.25">
      <c r="A49" s="13" t="s">
        <v>9</v>
      </c>
      <c r="B49" s="13" t="s">
        <v>1</v>
      </c>
      <c r="C49" s="13" t="s">
        <v>1577</v>
      </c>
      <c r="D49" s="13" t="s">
        <v>1182</v>
      </c>
      <c r="G49" s="15">
        <f>G38*G50</f>
        <v>0</v>
      </c>
      <c r="H49" s="15" t="s">
        <v>1164</v>
      </c>
    </row>
    <row r="50" spans="1:8" ht="15" customHeight="1" x14ac:dyDescent="0.25">
      <c r="A50" s="5" t="s">
        <v>12</v>
      </c>
      <c r="B50" s="5" t="s">
        <v>518</v>
      </c>
      <c r="C50" s="14" t="s">
        <v>1584</v>
      </c>
      <c r="D50" s="14" t="s">
        <v>1583</v>
      </c>
      <c r="F50" s="15" t="e">
        <f>F49/F38</f>
        <v>#DIV/0!</v>
      </c>
      <c r="H50" s="15" t="s">
        <v>1163</v>
      </c>
    </row>
    <row r="51" spans="1:8" ht="15" customHeight="1" x14ac:dyDescent="0.25">
      <c r="A51" s="5"/>
      <c r="B51" s="5"/>
      <c r="C51" s="14"/>
      <c r="D51" s="14"/>
    </row>
    <row r="52" spans="1:8" ht="15" customHeight="1" x14ac:dyDescent="0.25">
      <c r="A52" s="3" t="s">
        <v>6</v>
      </c>
      <c r="B52" s="3" t="s">
        <v>15</v>
      </c>
      <c r="C52" s="13" t="s">
        <v>1691</v>
      </c>
      <c r="D52" s="13" t="s">
        <v>868</v>
      </c>
      <c r="E52" s="19"/>
      <c r="F52" s="19">
        <f>F53+F55</f>
        <v>0</v>
      </c>
      <c r="G52" s="19">
        <f>G53+G55</f>
        <v>0</v>
      </c>
      <c r="H52" s="19"/>
    </row>
    <row r="53" spans="1:8" ht="15" customHeight="1" x14ac:dyDescent="0.25">
      <c r="A53" s="3" t="s">
        <v>9</v>
      </c>
      <c r="B53" s="3" t="s">
        <v>15</v>
      </c>
      <c r="C53" s="13" t="s">
        <v>1692</v>
      </c>
      <c r="D53" s="13" t="s">
        <v>1177</v>
      </c>
      <c r="E53" s="19"/>
      <c r="F53" s="19"/>
      <c r="G53" s="19">
        <f>G38*G54</f>
        <v>0</v>
      </c>
      <c r="H53" s="19" t="s">
        <v>1164</v>
      </c>
    </row>
    <row r="54" spans="1:8" ht="15" customHeight="1" x14ac:dyDescent="0.25">
      <c r="A54" s="5" t="s">
        <v>12</v>
      </c>
      <c r="B54" s="5" t="s">
        <v>15</v>
      </c>
      <c r="C54" s="14" t="s">
        <v>1693</v>
      </c>
      <c r="D54" s="14" t="s">
        <v>1586</v>
      </c>
      <c r="F54" s="15" t="e">
        <f>F53/F38</f>
        <v>#DIV/0!</v>
      </c>
      <c r="H54" s="15" t="s">
        <v>1163</v>
      </c>
    </row>
    <row r="55" spans="1:8" ht="15" customHeight="1" x14ac:dyDescent="0.25">
      <c r="A55" s="3" t="s">
        <v>9</v>
      </c>
      <c r="B55" s="3" t="s">
        <v>15</v>
      </c>
      <c r="C55" s="13" t="s">
        <v>1694</v>
      </c>
      <c r="D55" s="13" t="s">
        <v>1209</v>
      </c>
      <c r="F55" s="15">
        <f>F56</f>
        <v>0</v>
      </c>
      <c r="G55" s="15">
        <f>G56</f>
        <v>0</v>
      </c>
    </row>
    <row r="56" spans="1:8" ht="15" customHeight="1" x14ac:dyDescent="0.25">
      <c r="A56" s="14" t="s">
        <v>12</v>
      </c>
      <c r="B56" s="14" t="s">
        <v>15</v>
      </c>
      <c r="C56" s="14" t="s">
        <v>1695</v>
      </c>
      <c r="D56" s="14" t="s">
        <v>1582</v>
      </c>
    </row>
    <row r="57" spans="1:8" ht="15" customHeight="1" x14ac:dyDescent="0.25">
      <c r="A57" s="5"/>
      <c r="B57" s="5"/>
      <c r="C57" s="14"/>
      <c r="D57" s="14"/>
    </row>
    <row r="58" spans="1:8" ht="15" customHeight="1" x14ac:dyDescent="0.25">
      <c r="A58" s="3" t="s">
        <v>6</v>
      </c>
      <c r="B58" s="3" t="s">
        <v>15</v>
      </c>
      <c r="C58" s="13" t="s">
        <v>1696</v>
      </c>
      <c r="D58" s="13" t="s">
        <v>1218</v>
      </c>
      <c r="F58" s="15">
        <f>F59+F61</f>
        <v>0</v>
      </c>
      <c r="G58" s="15">
        <f>G59+G61</f>
        <v>0</v>
      </c>
    </row>
    <row r="59" spans="1:8" ht="15" customHeight="1" x14ac:dyDescent="0.25">
      <c r="A59" s="13" t="s">
        <v>9</v>
      </c>
      <c r="B59" s="13" t="s">
        <v>15</v>
      </c>
      <c r="C59" s="13" t="s">
        <v>1697</v>
      </c>
      <c r="D59" s="13" t="s">
        <v>1377</v>
      </c>
      <c r="G59" s="15">
        <f>G46*G60</f>
        <v>0</v>
      </c>
      <c r="H59" s="15" t="s">
        <v>1164</v>
      </c>
    </row>
    <row r="60" spans="1:8" ht="15" customHeight="1" x14ac:dyDescent="0.25">
      <c r="A60" s="14" t="s">
        <v>12</v>
      </c>
      <c r="B60" s="14" t="s">
        <v>518</v>
      </c>
      <c r="C60" s="14" t="s">
        <v>1995</v>
      </c>
      <c r="D60" s="14" t="s">
        <v>1587</v>
      </c>
      <c r="F60" s="15" t="e">
        <f>F59/F46</f>
        <v>#DIV/0!</v>
      </c>
      <c r="H60" s="15" t="s">
        <v>1163</v>
      </c>
    </row>
    <row r="61" spans="1:8" ht="15" customHeight="1" x14ac:dyDescent="0.25">
      <c r="A61" s="3" t="s">
        <v>9</v>
      </c>
      <c r="B61" s="3" t="s">
        <v>15</v>
      </c>
      <c r="C61" s="13" t="s">
        <v>1698</v>
      </c>
      <c r="D61" s="13" t="s">
        <v>1588</v>
      </c>
      <c r="F61" s="15">
        <f>F62</f>
        <v>0</v>
      </c>
      <c r="G61" s="15">
        <f>G62</f>
        <v>0</v>
      </c>
    </row>
    <row r="62" spans="1:8" ht="15" customHeight="1" x14ac:dyDescent="0.25">
      <c r="A62" s="5" t="s">
        <v>12</v>
      </c>
      <c r="B62" s="5" t="s">
        <v>15</v>
      </c>
      <c r="C62" s="14" t="s">
        <v>1920</v>
      </c>
      <c r="D62" s="14" t="s">
        <v>1589</v>
      </c>
      <c r="G62" s="15">
        <f>G64*G65</f>
        <v>0</v>
      </c>
      <c r="H62" s="15" t="s">
        <v>1164</v>
      </c>
    </row>
    <row r="63" spans="1:8" ht="15" customHeight="1" x14ac:dyDescent="0.25">
      <c r="A63" s="5" t="s">
        <v>74</v>
      </c>
      <c r="B63" s="5" t="s">
        <v>111</v>
      </c>
      <c r="C63" s="14" t="s">
        <v>1921</v>
      </c>
      <c r="D63" s="14" t="s">
        <v>1590</v>
      </c>
    </row>
    <row r="64" spans="1:8" ht="15" customHeight="1" x14ac:dyDescent="0.25">
      <c r="A64" s="5" t="s">
        <v>74</v>
      </c>
      <c r="B64" s="5" t="s">
        <v>539</v>
      </c>
      <c r="C64" s="14" t="s">
        <v>1922</v>
      </c>
      <c r="D64" s="14" t="s">
        <v>1591</v>
      </c>
    </row>
    <row r="65" spans="1:8" ht="15" customHeight="1" x14ac:dyDescent="0.25">
      <c r="A65" s="5" t="s">
        <v>74</v>
      </c>
      <c r="B65" s="5" t="s">
        <v>518</v>
      </c>
      <c r="C65" s="14" t="s">
        <v>1923</v>
      </c>
      <c r="D65" s="14" t="s">
        <v>1592</v>
      </c>
      <c r="F65" s="15" t="e">
        <f>F62/F64</f>
        <v>#DIV/0!</v>
      </c>
      <c r="H65" s="15" t="s">
        <v>1163</v>
      </c>
    </row>
    <row r="66" spans="1:8" ht="15" customHeight="1" x14ac:dyDescent="0.25">
      <c r="A66" s="5"/>
      <c r="B66" s="5"/>
      <c r="C66" s="14"/>
      <c r="D66" s="14"/>
    </row>
    <row r="67" spans="1:8" ht="15" customHeight="1" x14ac:dyDescent="0.25">
      <c r="A67" s="3" t="s">
        <v>6</v>
      </c>
      <c r="B67" s="3" t="s">
        <v>1</v>
      </c>
      <c r="C67" s="13" t="s">
        <v>1593</v>
      </c>
      <c r="D67" s="13" t="s">
        <v>898</v>
      </c>
      <c r="F67" s="15">
        <f>F68+F70</f>
        <v>0</v>
      </c>
      <c r="G67" s="15">
        <f>G68+G70</f>
        <v>0</v>
      </c>
    </row>
    <row r="68" spans="1:8" ht="15" customHeight="1" x14ac:dyDescent="0.25">
      <c r="A68" s="3" t="s">
        <v>9</v>
      </c>
      <c r="B68" s="3" t="s">
        <v>1</v>
      </c>
      <c r="C68" s="13" t="s">
        <v>1594</v>
      </c>
      <c r="D68" s="13" t="s">
        <v>1229</v>
      </c>
      <c r="G68" s="15">
        <f>G46*G69</f>
        <v>0</v>
      </c>
      <c r="H68" s="15" t="s">
        <v>1164</v>
      </c>
    </row>
    <row r="69" spans="1:8" ht="15" customHeight="1" x14ac:dyDescent="0.25">
      <c r="A69" s="5" t="s">
        <v>12</v>
      </c>
      <c r="B69" s="5" t="s">
        <v>1</v>
      </c>
      <c r="C69" s="14" t="s">
        <v>1595</v>
      </c>
      <c r="D69" s="14" t="s">
        <v>1597</v>
      </c>
      <c r="F69" s="15" t="e">
        <f>F68/F46</f>
        <v>#DIV/0!</v>
      </c>
      <c r="H69" s="15" t="s">
        <v>1163</v>
      </c>
    </row>
    <row r="70" spans="1:8" ht="15" customHeight="1" x14ac:dyDescent="0.25">
      <c r="A70" s="19" t="s">
        <v>9</v>
      </c>
      <c r="B70" s="19" t="s">
        <v>1</v>
      </c>
      <c r="C70" s="13" t="s">
        <v>1596</v>
      </c>
      <c r="D70" s="19" t="s">
        <v>1232</v>
      </c>
      <c r="F70" s="15">
        <f>F71</f>
        <v>0</v>
      </c>
      <c r="G70" s="15">
        <f>G71</f>
        <v>0</v>
      </c>
    </row>
    <row r="71" spans="1:8" ht="15" customHeight="1" x14ac:dyDescent="0.25">
      <c r="A71" s="15" t="s">
        <v>12</v>
      </c>
      <c r="B71" s="15" t="s">
        <v>1</v>
      </c>
      <c r="C71" s="14" t="s">
        <v>1924</v>
      </c>
      <c r="D71" s="15" t="s">
        <v>1233</v>
      </c>
      <c r="G71" s="15">
        <f>G64*G72</f>
        <v>0</v>
      </c>
      <c r="H71" s="15" t="s">
        <v>1164</v>
      </c>
    </row>
    <row r="72" spans="1:8" ht="15" customHeight="1" x14ac:dyDescent="0.25">
      <c r="A72" s="15" t="s">
        <v>74</v>
      </c>
      <c r="B72" s="15" t="s">
        <v>518</v>
      </c>
      <c r="C72" s="14" t="s">
        <v>1925</v>
      </c>
      <c r="D72" s="15" t="s">
        <v>1234</v>
      </c>
      <c r="F72" s="15" t="e">
        <f>F71/F64</f>
        <v>#DIV/0!</v>
      </c>
      <c r="H72" s="15" t="s">
        <v>1163</v>
      </c>
    </row>
    <row r="73" spans="1:8" ht="15" customHeight="1" x14ac:dyDescent="0.25">
      <c r="A73" s="3" t="s">
        <v>9</v>
      </c>
      <c r="B73" s="3" t="s">
        <v>1</v>
      </c>
      <c r="C73" s="13" t="s">
        <v>1598</v>
      </c>
      <c r="D73" s="13" t="s">
        <v>1499</v>
      </c>
      <c r="E73" s="19"/>
      <c r="F73" s="19">
        <f>F74</f>
        <v>0</v>
      </c>
      <c r="G73" s="19">
        <f>G74</f>
        <v>0</v>
      </c>
      <c r="H73" s="19"/>
    </row>
    <row r="74" spans="1:8" ht="15" customHeight="1" x14ac:dyDescent="0.25">
      <c r="A74" s="5" t="s">
        <v>12</v>
      </c>
      <c r="B74" s="5" t="s">
        <v>1</v>
      </c>
      <c r="C74" s="14" t="s">
        <v>1599</v>
      </c>
      <c r="D74" s="14" t="s">
        <v>1600</v>
      </c>
      <c r="G74" s="15">
        <f>G76*G77</f>
        <v>0</v>
      </c>
      <c r="H74" s="15" t="s">
        <v>1164</v>
      </c>
    </row>
    <row r="75" spans="1:8" ht="15" customHeight="1" x14ac:dyDescent="0.25">
      <c r="A75" s="14" t="s">
        <v>74</v>
      </c>
      <c r="B75" s="14" t="s">
        <v>111</v>
      </c>
      <c r="C75" s="14" t="s">
        <v>1601</v>
      </c>
      <c r="D75" s="14" t="s">
        <v>1604</v>
      </c>
    </row>
    <row r="76" spans="1:8" ht="15" customHeight="1" x14ac:dyDescent="0.25">
      <c r="A76" s="14" t="s">
        <v>74</v>
      </c>
      <c r="B76" s="14" t="s">
        <v>539</v>
      </c>
      <c r="C76" s="14" t="s">
        <v>1602</v>
      </c>
      <c r="D76" s="14" t="s">
        <v>1605</v>
      </c>
    </row>
    <row r="77" spans="1:8" ht="15" customHeight="1" x14ac:dyDescent="0.25">
      <c r="A77" s="14" t="s">
        <v>74</v>
      </c>
      <c r="B77" s="5" t="s">
        <v>518</v>
      </c>
      <c r="C77" s="14" t="s">
        <v>1603</v>
      </c>
      <c r="D77" s="14" t="s">
        <v>1606</v>
      </c>
      <c r="F77" s="15" t="e">
        <f>F74/F76</f>
        <v>#DIV/0!</v>
      </c>
      <c r="H77" s="15" t="s">
        <v>1163</v>
      </c>
    </row>
    <row r="78" spans="1:8" ht="15" customHeight="1" x14ac:dyDescent="0.25">
      <c r="A78" s="14"/>
      <c r="B78" s="14"/>
      <c r="C78" s="14"/>
      <c r="D78" s="14"/>
    </row>
    <row r="79" spans="1:8" ht="15" customHeight="1" x14ac:dyDescent="0.25">
      <c r="A79" s="13" t="s">
        <v>6</v>
      </c>
      <c r="B79" s="13" t="s">
        <v>1</v>
      </c>
      <c r="C79" s="13" t="s">
        <v>1607</v>
      </c>
      <c r="D79" s="13" t="s">
        <v>869</v>
      </c>
      <c r="G79" s="15">
        <f>G80+G82+G83</f>
        <v>0</v>
      </c>
    </row>
    <row r="80" spans="1:8" ht="15" customHeight="1" x14ac:dyDescent="0.25">
      <c r="A80" s="13" t="s">
        <v>9</v>
      </c>
      <c r="B80" s="13" t="s">
        <v>1</v>
      </c>
      <c r="C80" s="13" t="s">
        <v>1608</v>
      </c>
      <c r="D80" s="13" t="s">
        <v>870</v>
      </c>
      <c r="G80" s="15">
        <f>G40*G81</f>
        <v>0</v>
      </c>
      <c r="H80" s="15" t="s">
        <v>1164</v>
      </c>
    </row>
    <row r="81" spans="1:8" ht="15" customHeight="1" x14ac:dyDescent="0.25">
      <c r="A81" s="14" t="s">
        <v>12</v>
      </c>
      <c r="B81" s="5" t="s">
        <v>518</v>
      </c>
      <c r="C81" s="14" t="s">
        <v>1610</v>
      </c>
      <c r="D81" s="14" t="s">
        <v>1611</v>
      </c>
      <c r="F81" s="15" t="e">
        <f>F80/F40</f>
        <v>#DIV/0!</v>
      </c>
      <c r="H81" s="15" t="s">
        <v>1163</v>
      </c>
    </row>
    <row r="82" spans="1:8" ht="15" customHeight="1" x14ac:dyDescent="0.25">
      <c r="A82" s="13" t="s">
        <v>9</v>
      </c>
      <c r="B82" s="13" t="s">
        <v>1</v>
      </c>
      <c r="C82" s="13" t="s">
        <v>2347</v>
      </c>
      <c r="D82" s="13" t="s">
        <v>901</v>
      </c>
    </row>
    <row r="83" spans="1:8" ht="15" customHeight="1" x14ac:dyDescent="0.25">
      <c r="A83" s="13" t="s">
        <v>9</v>
      </c>
      <c r="B83" s="13" t="s">
        <v>1</v>
      </c>
      <c r="C83" s="13" t="s">
        <v>1609</v>
      </c>
      <c r="D83" s="13" t="s">
        <v>884</v>
      </c>
      <c r="F83" s="15">
        <f>F79-F80-F82</f>
        <v>0</v>
      </c>
    </row>
    <row r="84" spans="1:8" ht="15" customHeight="1" x14ac:dyDescent="0.25">
      <c r="A84" s="14"/>
      <c r="B84" s="14"/>
      <c r="C84" s="14"/>
      <c r="D84" s="14"/>
    </row>
    <row r="85" spans="1:8" ht="15" customHeight="1" x14ac:dyDescent="0.25">
      <c r="A85" s="13" t="s">
        <v>6</v>
      </c>
      <c r="B85" s="13" t="s">
        <v>15</v>
      </c>
      <c r="C85" s="13" t="s">
        <v>1612</v>
      </c>
      <c r="D85" s="13" t="s">
        <v>877</v>
      </c>
      <c r="G85" s="15">
        <f>G86+G88+G90+G92+G97</f>
        <v>0</v>
      </c>
    </row>
    <row r="86" spans="1:8" ht="15" customHeight="1" x14ac:dyDescent="0.25">
      <c r="A86" s="13" t="s">
        <v>9</v>
      </c>
      <c r="B86" s="13" t="s">
        <v>15</v>
      </c>
      <c r="C86" s="13" t="s">
        <v>1613</v>
      </c>
      <c r="D86" s="13" t="s">
        <v>878</v>
      </c>
      <c r="G86" s="15">
        <f>G37*G87</f>
        <v>0</v>
      </c>
      <c r="H86" s="15" t="s">
        <v>1164</v>
      </c>
    </row>
    <row r="87" spans="1:8" ht="15" customHeight="1" x14ac:dyDescent="0.25">
      <c r="A87" s="14" t="s">
        <v>12</v>
      </c>
      <c r="B87" s="5" t="s">
        <v>518</v>
      </c>
      <c r="C87" s="14" t="s">
        <v>1616</v>
      </c>
      <c r="D87" s="14" t="s">
        <v>879</v>
      </c>
      <c r="F87" s="15" t="e">
        <f>F86/F37</f>
        <v>#DIV/0!</v>
      </c>
      <c r="H87" s="15" t="s">
        <v>1163</v>
      </c>
    </row>
    <row r="88" spans="1:8" ht="15" customHeight="1" x14ac:dyDescent="0.25">
      <c r="A88" s="13" t="s">
        <v>9</v>
      </c>
      <c r="B88" s="13" t="s">
        <v>15</v>
      </c>
      <c r="C88" s="13" t="s">
        <v>1614</v>
      </c>
      <c r="D88" s="13" t="s">
        <v>880</v>
      </c>
      <c r="G88" s="15">
        <f>G37*G89</f>
        <v>0</v>
      </c>
      <c r="H88" s="15" t="s">
        <v>1164</v>
      </c>
    </row>
    <row r="89" spans="1:8" ht="15" customHeight="1" x14ac:dyDescent="0.25">
      <c r="A89" s="14" t="s">
        <v>12</v>
      </c>
      <c r="B89" s="5" t="s">
        <v>518</v>
      </c>
      <c r="C89" s="14" t="s">
        <v>1617</v>
      </c>
      <c r="D89" s="14" t="s">
        <v>879</v>
      </c>
      <c r="F89" s="15" t="e">
        <f>F88/F37</f>
        <v>#DIV/0!</v>
      </c>
      <c r="H89" s="15" t="s">
        <v>1163</v>
      </c>
    </row>
    <row r="90" spans="1:8" ht="15" customHeight="1" x14ac:dyDescent="0.25">
      <c r="A90" s="13" t="s">
        <v>9</v>
      </c>
      <c r="B90" s="13" t="s">
        <v>15</v>
      </c>
      <c r="C90" s="13" t="s">
        <v>1615</v>
      </c>
      <c r="D90" s="13" t="s">
        <v>881</v>
      </c>
      <c r="G90" s="15">
        <f>G37*G91</f>
        <v>0</v>
      </c>
      <c r="H90" s="15" t="s">
        <v>1164</v>
      </c>
    </row>
    <row r="91" spans="1:8" ht="15" customHeight="1" x14ac:dyDescent="0.25">
      <c r="A91" s="14" t="s">
        <v>12</v>
      </c>
      <c r="B91" s="5" t="s">
        <v>518</v>
      </c>
      <c r="C91" s="14" t="s">
        <v>1618</v>
      </c>
      <c r="D91" s="14" t="s">
        <v>879</v>
      </c>
      <c r="F91" s="15" t="e">
        <f>F90/F37</f>
        <v>#DIV/0!</v>
      </c>
      <c r="H91" s="15" t="s">
        <v>1163</v>
      </c>
    </row>
    <row r="92" spans="1:8" ht="15" customHeight="1" x14ac:dyDescent="0.25">
      <c r="A92" s="13" t="s">
        <v>9</v>
      </c>
      <c r="B92" s="13" t="s">
        <v>15</v>
      </c>
      <c r="C92" s="13" t="s">
        <v>2348</v>
      </c>
      <c r="D92" s="13" t="s">
        <v>902</v>
      </c>
      <c r="F92" s="15">
        <f>F93+F95</f>
        <v>0</v>
      </c>
      <c r="G92" s="15">
        <f>G93+G95</f>
        <v>0</v>
      </c>
    </row>
    <row r="93" spans="1:8" ht="15" customHeight="1" x14ac:dyDescent="0.25">
      <c r="A93" s="14" t="s">
        <v>12</v>
      </c>
      <c r="B93" s="14" t="s">
        <v>15</v>
      </c>
      <c r="C93" s="14" t="s">
        <v>2349</v>
      </c>
      <c r="D93" s="14" t="s">
        <v>1624</v>
      </c>
      <c r="G93" s="15">
        <f>G38*G94</f>
        <v>0</v>
      </c>
      <c r="H93" s="15" t="s">
        <v>1164</v>
      </c>
    </row>
    <row r="94" spans="1:8" ht="15" customHeight="1" x14ac:dyDescent="0.25">
      <c r="A94" s="14" t="s">
        <v>74</v>
      </c>
      <c r="B94" s="14" t="s">
        <v>518</v>
      </c>
      <c r="C94" s="14" t="s">
        <v>2350</v>
      </c>
      <c r="D94" s="14" t="s">
        <v>1625</v>
      </c>
      <c r="F94" s="15" t="e">
        <f>F93/F38</f>
        <v>#DIV/0!</v>
      </c>
      <c r="H94" s="15" t="s">
        <v>1163</v>
      </c>
    </row>
    <row r="95" spans="1:8" ht="15" customHeight="1" x14ac:dyDescent="0.25">
      <c r="A95" s="14" t="s">
        <v>12</v>
      </c>
      <c r="B95" s="14" t="s">
        <v>15</v>
      </c>
      <c r="C95" s="14" t="s">
        <v>2349</v>
      </c>
      <c r="D95" s="14" t="s">
        <v>1626</v>
      </c>
      <c r="G95" s="15">
        <f>G40*G96</f>
        <v>0</v>
      </c>
      <c r="H95" s="15" t="s">
        <v>1164</v>
      </c>
    </row>
    <row r="96" spans="1:8" ht="15" customHeight="1" x14ac:dyDescent="0.25">
      <c r="A96" s="14" t="s">
        <v>74</v>
      </c>
      <c r="B96" s="14" t="s">
        <v>518</v>
      </c>
      <c r="C96" s="14" t="s">
        <v>2350</v>
      </c>
      <c r="D96" s="14" t="s">
        <v>1627</v>
      </c>
      <c r="F96" s="15" t="e">
        <f>F95/F40</f>
        <v>#DIV/0!</v>
      </c>
      <c r="H96" s="15" t="s">
        <v>1163</v>
      </c>
    </row>
    <row r="97" spans="1:6" ht="15" customHeight="1" x14ac:dyDescent="0.25">
      <c r="A97" s="13" t="s">
        <v>9</v>
      </c>
      <c r="B97" s="13" t="s">
        <v>15</v>
      </c>
      <c r="C97" s="13" t="s">
        <v>1623</v>
      </c>
      <c r="D97" s="13" t="s">
        <v>884</v>
      </c>
      <c r="F97" s="15">
        <f>F85-F86-F88-F90-F92</f>
        <v>0</v>
      </c>
    </row>
    <row r="98" spans="1:6" ht="15" customHeight="1" x14ac:dyDescent="0.25">
      <c r="A98" s="14"/>
      <c r="B98" s="14"/>
      <c r="C98" s="14"/>
      <c r="D98" s="14"/>
    </row>
    <row r="99" spans="1:6" ht="15" customHeight="1" x14ac:dyDescent="0.25">
      <c r="A99" s="13" t="s">
        <v>6</v>
      </c>
      <c r="B99" s="13" t="s">
        <v>1</v>
      </c>
      <c r="C99" s="13" t="s">
        <v>1628</v>
      </c>
      <c r="D99" s="13" t="s">
        <v>1346</v>
      </c>
    </row>
    <row r="100" spans="1:6" ht="15" customHeight="1" x14ac:dyDescent="0.25">
      <c r="A100" s="14"/>
      <c r="B100" s="14"/>
      <c r="C100" s="14"/>
      <c r="D100" s="14"/>
    </row>
    <row r="101" spans="1:6" ht="15" customHeight="1" x14ac:dyDescent="0.25">
      <c r="A101" s="13" t="s">
        <v>6</v>
      </c>
      <c r="B101" s="13" t="s">
        <v>1</v>
      </c>
      <c r="C101" s="13" t="s">
        <v>1629</v>
      </c>
      <c r="D101" s="13" t="s">
        <v>886</v>
      </c>
    </row>
    <row r="102" spans="1:6" ht="15" customHeight="1" x14ac:dyDescent="0.25">
      <c r="A102" s="14"/>
      <c r="B102" s="14"/>
      <c r="C102" s="14"/>
      <c r="D102" s="14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2D669-C17E-439A-A53A-EC90DB7E8DD6}">
  <dimension ref="A1:H115"/>
  <sheetViews>
    <sheetView workbookViewId="0">
      <pane xSplit="4" ySplit="1" topLeftCell="E95" activePane="bottomRight" state="frozen"/>
      <selection pane="topRight" activeCell="E1" sqref="E1"/>
      <selection pane="bottomLeft" activeCell="A2" sqref="A2"/>
      <selection pane="bottomRight" activeCell="J110" sqref="J110"/>
    </sheetView>
  </sheetViews>
  <sheetFormatPr defaultColWidth="8.6640625" defaultRowHeight="15" customHeight="1" x14ac:dyDescent="0.25"/>
  <cols>
    <col min="1" max="2" width="8.6640625" style="15"/>
    <col min="3" max="3" width="11" style="15" bestFit="1" customWidth="1"/>
    <col min="4" max="4" width="17.44140625" style="15" bestFit="1" customWidth="1"/>
    <col min="5" max="7" width="8.6640625" style="15"/>
    <col min="8" max="8" width="10.109375" style="15" bestFit="1" customWidth="1"/>
    <col min="9" max="16384" width="8.6640625" style="15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ht="15" customHeight="1" x14ac:dyDescent="0.25">
      <c r="A2" s="3" t="s">
        <v>6</v>
      </c>
      <c r="B2" s="5" t="s">
        <v>1</v>
      </c>
      <c r="C2" s="4" t="s">
        <v>1630</v>
      </c>
      <c r="D2" s="3" t="s">
        <v>7</v>
      </c>
      <c r="F2" s="15">
        <f>F3+F6+F7</f>
        <v>0</v>
      </c>
      <c r="G2" s="15">
        <f>G3+G6+G7</f>
        <v>0</v>
      </c>
    </row>
    <row r="3" spans="1:8" ht="15" customHeight="1" x14ac:dyDescent="0.25">
      <c r="A3" s="5" t="s">
        <v>9</v>
      </c>
      <c r="B3" s="5" t="s">
        <v>1</v>
      </c>
      <c r="C3" s="4" t="s">
        <v>1631</v>
      </c>
      <c r="D3" s="5" t="s">
        <v>10</v>
      </c>
      <c r="F3" s="15">
        <f>F4+F5</f>
        <v>0</v>
      </c>
      <c r="G3" s="15">
        <f>G4+G5</f>
        <v>0</v>
      </c>
    </row>
    <row r="4" spans="1:8" ht="15" customHeight="1" x14ac:dyDescent="0.25">
      <c r="A4" s="5" t="s">
        <v>12</v>
      </c>
      <c r="B4" s="5" t="s">
        <v>1</v>
      </c>
      <c r="C4" s="7" t="s">
        <v>1632</v>
      </c>
      <c r="D4" s="5" t="s">
        <v>627</v>
      </c>
      <c r="F4" s="15">
        <f>F54-F64</f>
        <v>0</v>
      </c>
      <c r="G4" s="15">
        <f>G54-G64</f>
        <v>0</v>
      </c>
    </row>
    <row r="5" spans="1:8" ht="15" customHeight="1" x14ac:dyDescent="0.25">
      <c r="A5" s="5" t="s">
        <v>12</v>
      </c>
      <c r="B5" s="5" t="s">
        <v>1</v>
      </c>
      <c r="C5" s="7" t="s">
        <v>1633</v>
      </c>
      <c r="D5" s="5" t="s">
        <v>632</v>
      </c>
      <c r="F5" s="15">
        <f>F86-F73</f>
        <v>0</v>
      </c>
      <c r="G5" s="15">
        <f>G86-G73</f>
        <v>0</v>
      </c>
    </row>
    <row r="6" spans="1:8" ht="15" customHeight="1" x14ac:dyDescent="0.25">
      <c r="A6" s="5" t="s">
        <v>9</v>
      </c>
      <c r="B6" s="5" t="s">
        <v>1</v>
      </c>
      <c r="C6" s="4" t="s">
        <v>1634</v>
      </c>
      <c r="D6" s="5" t="s">
        <v>1174</v>
      </c>
      <c r="F6" s="15">
        <f>F100-F105</f>
        <v>0</v>
      </c>
      <c r="G6" s="15">
        <f>G100-G105</f>
        <v>0</v>
      </c>
    </row>
    <row r="7" spans="1:8" ht="15" customHeight="1" x14ac:dyDescent="0.25">
      <c r="A7" s="5" t="s">
        <v>9</v>
      </c>
      <c r="B7" s="5" t="s">
        <v>1</v>
      </c>
      <c r="C7" s="4" t="s">
        <v>1635</v>
      </c>
      <c r="D7" s="5" t="s">
        <v>23</v>
      </c>
      <c r="F7" s="15">
        <f>F112+F114</f>
        <v>0</v>
      </c>
      <c r="G7" s="15">
        <f>G112+G114</f>
        <v>0</v>
      </c>
    </row>
    <row r="8" spans="1:8" ht="15" customHeight="1" x14ac:dyDescent="0.25">
      <c r="A8" s="3" t="s">
        <v>6</v>
      </c>
      <c r="B8" s="5" t="s">
        <v>15</v>
      </c>
      <c r="C8" s="4" t="s">
        <v>1636</v>
      </c>
      <c r="D8" s="3" t="s">
        <v>641</v>
      </c>
    </row>
    <row r="9" spans="1:8" ht="15" customHeight="1" x14ac:dyDescent="0.25">
      <c r="A9" s="3" t="s">
        <v>6</v>
      </c>
      <c r="B9" s="5" t="s">
        <v>1</v>
      </c>
      <c r="C9" s="4" t="s">
        <v>1637</v>
      </c>
      <c r="D9" s="3" t="s">
        <v>35</v>
      </c>
      <c r="F9" s="15">
        <f>F2-F8</f>
        <v>0</v>
      </c>
      <c r="G9" s="15">
        <f>G2-G8</f>
        <v>0</v>
      </c>
    </row>
    <row r="10" spans="1:8" ht="15" customHeight="1" x14ac:dyDescent="0.25">
      <c r="A10" s="3" t="s">
        <v>6</v>
      </c>
      <c r="B10" s="5" t="s">
        <v>15</v>
      </c>
      <c r="C10" s="4" t="s">
        <v>1638</v>
      </c>
      <c r="D10" s="3" t="s">
        <v>37</v>
      </c>
    </row>
    <row r="11" spans="1:8" ht="15" customHeight="1" x14ac:dyDescent="0.25">
      <c r="A11" s="3" t="s">
        <v>6</v>
      </c>
      <c r="B11" s="5" t="s">
        <v>15</v>
      </c>
      <c r="C11" s="4" t="s">
        <v>1639</v>
      </c>
      <c r="D11" s="3" t="s">
        <v>645</v>
      </c>
      <c r="F11" s="15">
        <f>F12+F15+F18+F25+F26</f>
        <v>0</v>
      </c>
      <c r="G11" s="15">
        <f>G12+G15+G18+G25+G26</f>
        <v>0</v>
      </c>
    </row>
    <row r="12" spans="1:8" ht="15" customHeight="1" x14ac:dyDescent="0.25">
      <c r="A12" s="5" t="s">
        <v>9</v>
      </c>
      <c r="B12" s="5" t="s">
        <v>15</v>
      </c>
      <c r="C12" s="4" t="s">
        <v>1640</v>
      </c>
      <c r="D12" s="5" t="s">
        <v>647</v>
      </c>
      <c r="F12" s="15">
        <f>F13+F14</f>
        <v>0</v>
      </c>
      <c r="G12" s="15">
        <f>G13+G14</f>
        <v>0</v>
      </c>
    </row>
    <row r="13" spans="1:8" ht="15" customHeight="1" x14ac:dyDescent="0.25">
      <c r="A13" s="5" t="s">
        <v>12</v>
      </c>
      <c r="B13" s="5" t="s">
        <v>15</v>
      </c>
      <c r="C13" s="7" t="s">
        <v>1641</v>
      </c>
      <c r="D13" s="5" t="s">
        <v>43</v>
      </c>
    </row>
    <row r="14" spans="1:8" ht="15" customHeight="1" x14ac:dyDescent="0.25">
      <c r="A14" s="5" t="s">
        <v>12</v>
      </c>
      <c r="B14" s="5" t="s">
        <v>15</v>
      </c>
      <c r="C14" s="7" t="s">
        <v>1642</v>
      </c>
      <c r="D14" s="5" t="s">
        <v>650</v>
      </c>
    </row>
    <row r="15" spans="1:8" ht="15" customHeight="1" x14ac:dyDescent="0.25">
      <c r="A15" s="5" t="s">
        <v>9</v>
      </c>
      <c r="B15" s="5" t="s">
        <v>15</v>
      </c>
      <c r="C15" s="4" t="s">
        <v>1643</v>
      </c>
      <c r="D15" s="5" t="s">
        <v>49</v>
      </c>
      <c r="F15" s="15">
        <f>F16+F17</f>
        <v>0</v>
      </c>
      <c r="G15" s="15">
        <f>G16+G17</f>
        <v>0</v>
      </c>
    </row>
    <row r="16" spans="1:8" ht="15" customHeight="1" x14ac:dyDescent="0.25">
      <c r="A16" s="5" t="s">
        <v>12</v>
      </c>
      <c r="B16" s="5" t="s">
        <v>15</v>
      </c>
      <c r="C16" s="7" t="s">
        <v>1644</v>
      </c>
      <c r="D16" s="5" t="s">
        <v>51</v>
      </c>
    </row>
    <row r="17" spans="1:7" ht="15" customHeight="1" x14ac:dyDescent="0.25">
      <c r="A17" s="5" t="s">
        <v>12</v>
      </c>
      <c r="B17" s="5" t="s">
        <v>15</v>
      </c>
      <c r="C17" s="7" t="s">
        <v>1645</v>
      </c>
      <c r="D17" s="5" t="s">
        <v>53</v>
      </c>
    </row>
    <row r="18" spans="1:7" ht="15" customHeight="1" x14ac:dyDescent="0.25">
      <c r="A18" s="5" t="s">
        <v>9</v>
      </c>
      <c r="B18" s="5" t="s">
        <v>15</v>
      </c>
      <c r="C18" s="4" t="s">
        <v>1646</v>
      </c>
      <c r="D18" s="5" t="s">
        <v>55</v>
      </c>
      <c r="F18" s="15">
        <f>F19+F22+F23+F24</f>
        <v>0</v>
      </c>
      <c r="G18" s="15">
        <f>G19+G22+G23+G24</f>
        <v>0</v>
      </c>
    </row>
    <row r="19" spans="1:7" ht="15" customHeight="1" x14ac:dyDescent="0.25">
      <c r="A19" s="5" t="s">
        <v>12</v>
      </c>
      <c r="B19" s="5" t="s">
        <v>15</v>
      </c>
      <c r="C19" s="7" t="s">
        <v>1647</v>
      </c>
      <c r="D19" s="5" t="s">
        <v>656</v>
      </c>
      <c r="F19" s="15">
        <f>F20+F21</f>
        <v>0</v>
      </c>
      <c r="G19" s="15">
        <f>G20+G21</f>
        <v>0</v>
      </c>
    </row>
    <row r="20" spans="1:7" ht="15" customHeight="1" x14ac:dyDescent="0.25">
      <c r="A20" s="5" t="s">
        <v>74</v>
      </c>
      <c r="B20" s="5" t="s">
        <v>15</v>
      </c>
      <c r="C20" s="7" t="s">
        <v>1648</v>
      </c>
      <c r="D20" s="5" t="s">
        <v>658</v>
      </c>
    </row>
    <row r="21" spans="1:7" ht="15" customHeight="1" x14ac:dyDescent="0.25">
      <c r="A21" s="5" t="s">
        <v>74</v>
      </c>
      <c r="B21" s="5" t="s">
        <v>15</v>
      </c>
      <c r="C21" s="7" t="s">
        <v>1649</v>
      </c>
      <c r="D21" s="5" t="s">
        <v>660</v>
      </c>
    </row>
    <row r="22" spans="1:7" ht="15" customHeight="1" x14ac:dyDescent="0.25">
      <c r="A22" s="5" t="s">
        <v>12</v>
      </c>
      <c r="B22" s="5" t="s">
        <v>15</v>
      </c>
      <c r="C22" s="7" t="s">
        <v>1650</v>
      </c>
      <c r="D22" s="5" t="s">
        <v>662</v>
      </c>
    </row>
    <row r="23" spans="1:7" ht="15" customHeight="1" x14ac:dyDescent="0.25">
      <c r="A23" s="5" t="s">
        <v>12</v>
      </c>
      <c r="B23" s="5" t="s">
        <v>15</v>
      </c>
      <c r="C23" s="7" t="s">
        <v>1651</v>
      </c>
      <c r="D23" s="5" t="s">
        <v>664</v>
      </c>
    </row>
    <row r="24" spans="1:7" ht="15" customHeight="1" x14ac:dyDescent="0.25">
      <c r="A24" s="5" t="s">
        <v>12</v>
      </c>
      <c r="B24" s="5" t="s">
        <v>15</v>
      </c>
      <c r="C24" s="7" t="s">
        <v>1652</v>
      </c>
      <c r="D24" s="5" t="s">
        <v>666</v>
      </c>
    </row>
    <row r="25" spans="1:7" ht="15" customHeight="1" x14ac:dyDescent="0.25">
      <c r="A25" s="5" t="s">
        <v>9</v>
      </c>
      <c r="B25" s="5" t="s">
        <v>15</v>
      </c>
      <c r="C25" s="4" t="s">
        <v>1653</v>
      </c>
      <c r="D25" s="5" t="s">
        <v>668</v>
      </c>
    </row>
    <row r="26" spans="1:7" ht="15" customHeight="1" x14ac:dyDescent="0.25">
      <c r="A26" s="5" t="s">
        <v>9</v>
      </c>
      <c r="B26" s="5" t="s">
        <v>15</v>
      </c>
      <c r="C26" s="4" t="s">
        <v>1654</v>
      </c>
      <c r="D26" s="5" t="s">
        <v>57</v>
      </c>
    </row>
    <row r="27" spans="1:7" ht="15" customHeight="1" x14ac:dyDescent="0.25">
      <c r="A27" s="3" t="s">
        <v>6</v>
      </c>
      <c r="B27" s="5" t="s">
        <v>1</v>
      </c>
      <c r="C27" s="4" t="s">
        <v>1655</v>
      </c>
      <c r="D27" s="3" t="s">
        <v>59</v>
      </c>
    </row>
    <row r="28" spans="1:7" ht="15" customHeight="1" x14ac:dyDescent="0.25">
      <c r="A28" s="3" t="s">
        <v>6</v>
      </c>
      <c r="B28" s="5" t="s">
        <v>517</v>
      </c>
      <c r="C28" s="4" t="s">
        <v>1656</v>
      </c>
      <c r="D28" s="3" t="s">
        <v>672</v>
      </c>
      <c r="F28" s="15">
        <f>F9-F10-F11+F27</f>
        <v>0</v>
      </c>
      <c r="G28" s="15">
        <f>G9-G10-G11+G27</f>
        <v>0</v>
      </c>
    </row>
    <row r="29" spans="1:7" ht="15" customHeight="1" x14ac:dyDescent="0.25">
      <c r="A29" s="3" t="s">
        <v>6</v>
      </c>
      <c r="B29" s="5" t="s">
        <v>15</v>
      </c>
      <c r="C29" s="4" t="s">
        <v>1657</v>
      </c>
      <c r="D29" s="3" t="s">
        <v>674</v>
      </c>
    </row>
    <row r="30" spans="1:7" ht="15" customHeight="1" x14ac:dyDescent="0.25">
      <c r="A30" s="3" t="s">
        <v>6</v>
      </c>
      <c r="B30" s="5" t="s">
        <v>517</v>
      </c>
      <c r="C30" s="4" t="s">
        <v>1658</v>
      </c>
      <c r="D30" s="3" t="s">
        <v>61</v>
      </c>
      <c r="F30" s="15">
        <f>F28-F29</f>
        <v>0</v>
      </c>
      <c r="G30" s="15">
        <f>G28-G29</f>
        <v>0</v>
      </c>
    </row>
    <row r="31" spans="1:7" ht="15" customHeight="1" x14ac:dyDescent="0.25">
      <c r="A31" s="14"/>
      <c r="B31" s="14"/>
      <c r="C31" s="14"/>
      <c r="D31" s="14"/>
    </row>
    <row r="32" spans="1:7" ht="15" customHeight="1" x14ac:dyDescent="0.25">
      <c r="A32" s="3" t="s">
        <v>6</v>
      </c>
      <c r="B32" s="3" t="s">
        <v>67</v>
      </c>
      <c r="C32" s="13" t="s">
        <v>1659</v>
      </c>
      <c r="D32" s="13" t="s">
        <v>851</v>
      </c>
      <c r="F32" s="15">
        <f>F33+F35+F36</f>
        <v>0</v>
      </c>
      <c r="G32" s="15">
        <f>G33+G35+G36</f>
        <v>0</v>
      </c>
    </row>
    <row r="33" spans="1:7" ht="15" customHeight="1" x14ac:dyDescent="0.25">
      <c r="A33" s="5" t="s">
        <v>9</v>
      </c>
      <c r="B33" s="3" t="s">
        <v>67</v>
      </c>
      <c r="C33" s="14" t="s">
        <v>2117</v>
      </c>
      <c r="D33" s="14" t="s">
        <v>852</v>
      </c>
      <c r="F33" s="15">
        <f>F34</f>
        <v>0</v>
      </c>
      <c r="G33" s="15">
        <f>G34</f>
        <v>0</v>
      </c>
    </row>
    <row r="34" spans="1:7" ht="15" customHeight="1" x14ac:dyDescent="0.25">
      <c r="A34" s="5" t="s">
        <v>12</v>
      </c>
      <c r="B34" s="3" t="s">
        <v>67</v>
      </c>
      <c r="C34" s="14" t="s">
        <v>2118</v>
      </c>
      <c r="D34" s="14" t="s">
        <v>142</v>
      </c>
    </row>
    <row r="35" spans="1:7" ht="15" customHeight="1" x14ac:dyDescent="0.25">
      <c r="A35" s="5" t="s">
        <v>9</v>
      </c>
      <c r="B35" s="3" t="s">
        <v>67</v>
      </c>
      <c r="C35" s="14" t="s">
        <v>1660</v>
      </c>
      <c r="D35" s="14" t="s">
        <v>853</v>
      </c>
    </row>
    <row r="36" spans="1:7" ht="15" customHeight="1" x14ac:dyDescent="0.25">
      <c r="A36" s="5" t="s">
        <v>9</v>
      </c>
      <c r="B36" s="3" t="s">
        <v>67</v>
      </c>
      <c r="C36" s="14" t="s">
        <v>1661</v>
      </c>
      <c r="D36" s="14" t="s">
        <v>854</v>
      </c>
    </row>
    <row r="37" spans="1:7" ht="15" customHeight="1" x14ac:dyDescent="0.25">
      <c r="A37" s="3" t="s">
        <v>6</v>
      </c>
      <c r="B37" s="3" t="s">
        <v>521</v>
      </c>
      <c r="C37" s="13" t="s">
        <v>1662</v>
      </c>
      <c r="D37" s="13" t="s">
        <v>855</v>
      </c>
      <c r="F37" s="15">
        <f>F38+F40+F41</f>
        <v>0</v>
      </c>
      <c r="G37" s="15">
        <f>G38+G40+G41</f>
        <v>0</v>
      </c>
    </row>
    <row r="38" spans="1:7" ht="15" customHeight="1" x14ac:dyDescent="0.25">
      <c r="A38" s="5" t="s">
        <v>9</v>
      </c>
      <c r="B38" s="3" t="s">
        <v>521</v>
      </c>
      <c r="C38" s="14" t="s">
        <v>2119</v>
      </c>
      <c r="D38" s="14" t="s">
        <v>852</v>
      </c>
      <c r="F38" s="15">
        <f>F39</f>
        <v>0</v>
      </c>
      <c r="G38" s="15">
        <f>G39</f>
        <v>0</v>
      </c>
    </row>
    <row r="39" spans="1:7" ht="15" customHeight="1" x14ac:dyDescent="0.25">
      <c r="A39" s="5" t="s">
        <v>12</v>
      </c>
      <c r="B39" s="3" t="s">
        <v>521</v>
      </c>
      <c r="C39" s="14" t="s">
        <v>2120</v>
      </c>
      <c r="D39" s="14" t="s">
        <v>142</v>
      </c>
    </row>
    <row r="40" spans="1:7" ht="15" customHeight="1" x14ac:dyDescent="0.25">
      <c r="A40" s="5" t="s">
        <v>9</v>
      </c>
      <c r="B40" s="3" t="s">
        <v>521</v>
      </c>
      <c r="C40" s="14" t="s">
        <v>1663</v>
      </c>
      <c r="D40" s="14" t="s">
        <v>853</v>
      </c>
    </row>
    <row r="41" spans="1:7" ht="15" customHeight="1" x14ac:dyDescent="0.25">
      <c r="A41" s="5" t="s">
        <v>9</v>
      </c>
      <c r="B41" s="3" t="s">
        <v>521</v>
      </c>
      <c r="C41" s="14" t="s">
        <v>1664</v>
      </c>
      <c r="D41" s="14" t="s">
        <v>854</v>
      </c>
    </row>
    <row r="42" spans="1:7" ht="15" customHeight="1" x14ac:dyDescent="0.25">
      <c r="A42" s="14"/>
      <c r="B42" s="14"/>
      <c r="C42" s="14"/>
      <c r="D42" s="14"/>
    </row>
    <row r="43" spans="1:7" ht="15" customHeight="1" x14ac:dyDescent="0.25">
      <c r="A43" s="13" t="s">
        <v>6</v>
      </c>
      <c r="B43" s="13" t="s">
        <v>111</v>
      </c>
      <c r="C43" s="13" t="s">
        <v>1665</v>
      </c>
      <c r="D43" s="13" t="s">
        <v>887</v>
      </c>
      <c r="F43" s="15">
        <f>F44+F47</f>
        <v>0</v>
      </c>
      <c r="G43" s="15">
        <f>G44+G47</f>
        <v>0</v>
      </c>
    </row>
    <row r="44" spans="1:7" ht="15" customHeight="1" x14ac:dyDescent="0.25">
      <c r="A44" s="14" t="s">
        <v>9</v>
      </c>
      <c r="B44" s="13" t="s">
        <v>111</v>
      </c>
      <c r="C44" s="14" t="s">
        <v>1666</v>
      </c>
      <c r="D44" s="14" t="s">
        <v>903</v>
      </c>
    </row>
    <row r="45" spans="1:7" ht="15" customHeight="1" x14ac:dyDescent="0.25">
      <c r="A45" s="14" t="s">
        <v>12</v>
      </c>
      <c r="B45" s="13" t="s">
        <v>111</v>
      </c>
      <c r="C45" s="14" t="s">
        <v>1671</v>
      </c>
      <c r="D45" s="14" t="s">
        <v>1673</v>
      </c>
    </row>
    <row r="46" spans="1:7" ht="15" customHeight="1" x14ac:dyDescent="0.25">
      <c r="A46" s="14" t="s">
        <v>12</v>
      </c>
      <c r="B46" s="13" t="s">
        <v>111</v>
      </c>
      <c r="C46" s="14" t="s">
        <v>1672</v>
      </c>
      <c r="D46" s="14" t="s">
        <v>1674</v>
      </c>
      <c r="F46" s="15">
        <f>F44-F45</f>
        <v>0</v>
      </c>
      <c r="G46" s="15">
        <f>G44-G45</f>
        <v>0</v>
      </c>
    </row>
    <row r="47" spans="1:7" ht="15" customHeight="1" x14ac:dyDescent="0.25">
      <c r="A47" s="14" t="s">
        <v>9</v>
      </c>
      <c r="B47" s="13" t="s">
        <v>111</v>
      </c>
      <c r="C47" s="14" t="s">
        <v>1667</v>
      </c>
      <c r="D47" s="14" t="s">
        <v>904</v>
      </c>
    </row>
    <row r="48" spans="1:7" ht="15" customHeight="1" x14ac:dyDescent="0.25">
      <c r="A48" s="13" t="s">
        <v>6</v>
      </c>
      <c r="B48" s="13" t="s">
        <v>539</v>
      </c>
      <c r="C48" s="13" t="s">
        <v>1668</v>
      </c>
      <c r="D48" s="13" t="s">
        <v>893</v>
      </c>
      <c r="F48" s="15">
        <f>F49+F52</f>
        <v>0</v>
      </c>
      <c r="G48" s="15">
        <f>G49+G52</f>
        <v>0</v>
      </c>
    </row>
    <row r="49" spans="1:8" ht="15" customHeight="1" x14ac:dyDescent="0.25">
      <c r="A49" s="14" t="s">
        <v>9</v>
      </c>
      <c r="B49" s="13" t="s">
        <v>539</v>
      </c>
      <c r="C49" s="14" t="s">
        <v>1669</v>
      </c>
      <c r="D49" s="14" t="s">
        <v>903</v>
      </c>
    </row>
    <row r="50" spans="1:8" ht="15" customHeight="1" x14ac:dyDescent="0.25">
      <c r="A50" s="14" t="s">
        <v>12</v>
      </c>
      <c r="B50" s="13" t="s">
        <v>539</v>
      </c>
      <c r="C50" s="14" t="s">
        <v>1675</v>
      </c>
      <c r="D50" s="14" t="s">
        <v>1673</v>
      </c>
    </row>
    <row r="51" spans="1:8" ht="15" customHeight="1" x14ac:dyDescent="0.25">
      <c r="A51" s="14" t="s">
        <v>12</v>
      </c>
      <c r="B51" s="13" t="s">
        <v>539</v>
      </c>
      <c r="C51" s="14" t="s">
        <v>1676</v>
      </c>
      <c r="D51" s="14" t="s">
        <v>1674</v>
      </c>
      <c r="F51" s="15">
        <f>F49-F50</f>
        <v>0</v>
      </c>
      <c r="G51" s="15">
        <f>G49-G50</f>
        <v>0</v>
      </c>
    </row>
    <row r="52" spans="1:8" ht="15" customHeight="1" x14ac:dyDescent="0.25">
      <c r="A52" s="14" t="s">
        <v>9</v>
      </c>
      <c r="B52" s="13" t="s">
        <v>539</v>
      </c>
      <c r="C52" s="14" t="s">
        <v>1670</v>
      </c>
      <c r="D52" s="14" t="s">
        <v>904</v>
      </c>
    </row>
    <row r="53" spans="1:8" ht="15" customHeight="1" x14ac:dyDescent="0.25">
      <c r="A53" s="14"/>
      <c r="B53" s="14"/>
      <c r="C53" s="14"/>
      <c r="D53" s="14"/>
    </row>
    <row r="54" spans="1:8" ht="15" customHeight="1" x14ac:dyDescent="0.25">
      <c r="A54" s="13" t="s">
        <v>6</v>
      </c>
      <c r="B54" s="13" t="s">
        <v>1</v>
      </c>
      <c r="C54" s="13" t="s">
        <v>1576</v>
      </c>
      <c r="D54" s="13" t="s">
        <v>1176</v>
      </c>
      <c r="F54" s="15">
        <f>F55+F58</f>
        <v>0</v>
      </c>
      <c r="G54" s="15">
        <f>G55+G58</f>
        <v>0</v>
      </c>
    </row>
    <row r="55" spans="1:8" ht="15" customHeight="1" x14ac:dyDescent="0.25">
      <c r="A55" s="13" t="s">
        <v>9</v>
      </c>
      <c r="B55" s="13" t="s">
        <v>1</v>
      </c>
      <c r="C55" s="13" t="s">
        <v>1577</v>
      </c>
      <c r="D55" s="13" t="s">
        <v>1182</v>
      </c>
      <c r="G55" s="15">
        <f>G38*G56</f>
        <v>0</v>
      </c>
      <c r="H55" s="15" t="s">
        <v>1164</v>
      </c>
    </row>
    <row r="56" spans="1:8" ht="15" customHeight="1" x14ac:dyDescent="0.25">
      <c r="A56" s="5" t="s">
        <v>12</v>
      </c>
      <c r="B56" s="5" t="s">
        <v>518</v>
      </c>
      <c r="C56" s="14" t="s">
        <v>1584</v>
      </c>
      <c r="D56" s="14" t="s">
        <v>1583</v>
      </c>
      <c r="F56" s="15" t="e">
        <f>F55/F38</f>
        <v>#DIV/0!</v>
      </c>
      <c r="H56" s="15" t="s">
        <v>1163</v>
      </c>
    </row>
    <row r="57" spans="1:8" ht="15" customHeight="1" x14ac:dyDescent="0.25">
      <c r="A57" s="5"/>
      <c r="B57" s="5"/>
      <c r="C57" s="14"/>
      <c r="D57" s="14"/>
    </row>
    <row r="58" spans="1:8" ht="15" customHeight="1" x14ac:dyDescent="0.25">
      <c r="A58" s="3" t="s">
        <v>9</v>
      </c>
      <c r="B58" s="5" t="s">
        <v>1</v>
      </c>
      <c r="C58" s="13" t="s">
        <v>1677</v>
      </c>
      <c r="D58" s="13" t="s">
        <v>1363</v>
      </c>
      <c r="F58" s="15">
        <f>F59</f>
        <v>0</v>
      </c>
      <c r="G58" s="15">
        <f>G59</f>
        <v>0</v>
      </c>
    </row>
    <row r="59" spans="1:8" ht="15" customHeight="1" x14ac:dyDescent="0.25">
      <c r="A59" s="3" t="s">
        <v>12</v>
      </c>
      <c r="B59" s="5" t="s">
        <v>1</v>
      </c>
      <c r="C59" s="13" t="s">
        <v>1926</v>
      </c>
      <c r="D59" s="13" t="s">
        <v>1364</v>
      </c>
      <c r="G59" s="15">
        <f>G61*G62</f>
        <v>0</v>
      </c>
      <c r="H59" s="15" t="s">
        <v>1164</v>
      </c>
    </row>
    <row r="60" spans="1:8" ht="15" customHeight="1" x14ac:dyDescent="0.25">
      <c r="A60" s="5" t="s">
        <v>74</v>
      </c>
      <c r="B60" s="5" t="s">
        <v>67</v>
      </c>
      <c r="C60" s="14" t="s">
        <v>1927</v>
      </c>
      <c r="D60" s="14" t="s">
        <v>1365</v>
      </c>
    </row>
    <row r="61" spans="1:8" ht="15" customHeight="1" x14ac:dyDescent="0.25">
      <c r="A61" s="5" t="s">
        <v>74</v>
      </c>
      <c r="B61" s="5" t="s">
        <v>521</v>
      </c>
      <c r="C61" s="14" t="s">
        <v>1928</v>
      </c>
      <c r="D61" s="14" t="s">
        <v>1366</v>
      </c>
    </row>
    <row r="62" spans="1:8" ht="15" customHeight="1" x14ac:dyDescent="0.25">
      <c r="A62" s="5" t="s">
        <v>74</v>
      </c>
      <c r="B62" s="5" t="s">
        <v>518</v>
      </c>
      <c r="C62" s="14" t="s">
        <v>1929</v>
      </c>
      <c r="D62" s="14" t="s">
        <v>1367</v>
      </c>
      <c r="F62" s="15" t="e">
        <f>F59/F61</f>
        <v>#DIV/0!</v>
      </c>
      <c r="H62" s="15" t="s">
        <v>1163</v>
      </c>
    </row>
    <row r="63" spans="1:8" ht="15" customHeight="1" x14ac:dyDescent="0.25">
      <c r="A63" s="14"/>
      <c r="B63" s="14"/>
      <c r="C63" s="14"/>
      <c r="D63" s="14"/>
    </row>
    <row r="64" spans="1:8" ht="15" customHeight="1" x14ac:dyDescent="0.25">
      <c r="A64" s="3" t="s">
        <v>6</v>
      </c>
      <c r="B64" s="3" t="s">
        <v>15</v>
      </c>
      <c r="C64" s="13" t="s">
        <v>1578</v>
      </c>
      <c r="D64" s="13" t="s">
        <v>868</v>
      </c>
      <c r="F64" s="15">
        <f>F65+F67+F70</f>
        <v>0</v>
      </c>
      <c r="G64" s="15">
        <f>G65+G67+G70</f>
        <v>0</v>
      </c>
    </row>
    <row r="65" spans="1:8" ht="15" customHeight="1" x14ac:dyDescent="0.25">
      <c r="A65" s="3" t="s">
        <v>9</v>
      </c>
      <c r="B65" s="3" t="s">
        <v>15</v>
      </c>
      <c r="C65" s="13" t="s">
        <v>1579</v>
      </c>
      <c r="D65" s="13" t="s">
        <v>1177</v>
      </c>
      <c r="G65" s="15">
        <f>G38*G66</f>
        <v>0</v>
      </c>
      <c r="H65" s="15" t="s">
        <v>1164</v>
      </c>
    </row>
    <row r="66" spans="1:8" ht="15" customHeight="1" x14ac:dyDescent="0.25">
      <c r="A66" s="5" t="s">
        <v>12</v>
      </c>
      <c r="B66" s="5" t="s">
        <v>518</v>
      </c>
      <c r="C66" s="14" t="s">
        <v>1585</v>
      </c>
      <c r="D66" s="14" t="s">
        <v>1586</v>
      </c>
      <c r="F66" s="15" t="e">
        <f>F65/F38</f>
        <v>#DIV/0!</v>
      </c>
      <c r="H66" s="15" t="s">
        <v>1163</v>
      </c>
    </row>
    <row r="67" spans="1:8" ht="15" customHeight="1" x14ac:dyDescent="0.25">
      <c r="A67" s="3" t="s">
        <v>9</v>
      </c>
      <c r="B67" s="3" t="s">
        <v>15</v>
      </c>
      <c r="C67" s="13" t="s">
        <v>1678</v>
      </c>
      <c r="D67" s="13" t="s">
        <v>1180</v>
      </c>
      <c r="F67" s="15">
        <f>F68</f>
        <v>0</v>
      </c>
      <c r="G67" s="15">
        <f>G68</f>
        <v>0</v>
      </c>
    </row>
    <row r="68" spans="1:8" ht="15" customHeight="1" x14ac:dyDescent="0.25">
      <c r="A68" s="5" t="s">
        <v>12</v>
      </c>
      <c r="B68" s="5" t="s">
        <v>15</v>
      </c>
      <c r="C68" s="14" t="s">
        <v>1930</v>
      </c>
      <c r="D68" s="14" t="s">
        <v>1181</v>
      </c>
      <c r="G68" s="15">
        <f>G61*G69</f>
        <v>0</v>
      </c>
      <c r="H68" s="15" t="s">
        <v>1164</v>
      </c>
    </row>
    <row r="69" spans="1:8" ht="15" customHeight="1" x14ac:dyDescent="0.25">
      <c r="A69" s="5" t="s">
        <v>74</v>
      </c>
      <c r="B69" s="5" t="s">
        <v>518</v>
      </c>
      <c r="C69" s="14" t="s">
        <v>1931</v>
      </c>
      <c r="D69" s="14" t="s">
        <v>1208</v>
      </c>
      <c r="F69" s="15" t="e">
        <f>F68/F61</f>
        <v>#DIV/0!</v>
      </c>
      <c r="H69" s="15" t="s">
        <v>1163</v>
      </c>
    </row>
    <row r="70" spans="1:8" ht="15" customHeight="1" x14ac:dyDescent="0.25">
      <c r="A70" s="3" t="s">
        <v>9</v>
      </c>
      <c r="B70" s="3" t="s">
        <v>15</v>
      </c>
      <c r="C70" s="13" t="s">
        <v>1580</v>
      </c>
      <c r="D70" s="13" t="s">
        <v>1209</v>
      </c>
      <c r="F70" s="15">
        <f>F71</f>
        <v>0</v>
      </c>
      <c r="G70" s="15">
        <f>G71</f>
        <v>0</v>
      </c>
    </row>
    <row r="71" spans="1:8" ht="15" customHeight="1" x14ac:dyDescent="0.25">
      <c r="A71" s="5" t="s">
        <v>12</v>
      </c>
      <c r="B71" s="5" t="s">
        <v>15</v>
      </c>
      <c r="C71" s="14" t="s">
        <v>1581</v>
      </c>
      <c r="D71" s="14" t="s">
        <v>1210</v>
      </c>
    </row>
    <row r="72" spans="1:8" ht="15" customHeight="1" x14ac:dyDescent="0.25">
      <c r="A72" s="5"/>
      <c r="B72" s="5"/>
      <c r="C72" s="14"/>
      <c r="D72" s="14"/>
    </row>
    <row r="73" spans="1:8" ht="15" customHeight="1" x14ac:dyDescent="0.25">
      <c r="A73" s="13" t="s">
        <v>6</v>
      </c>
      <c r="B73" s="13" t="s">
        <v>15</v>
      </c>
      <c r="C73" s="13" t="s">
        <v>1699</v>
      </c>
      <c r="D73" s="13" t="s">
        <v>1218</v>
      </c>
      <c r="E73" s="19"/>
      <c r="F73" s="19">
        <f>F74+F80</f>
        <v>0</v>
      </c>
      <c r="G73" s="19">
        <f>G74+G80</f>
        <v>0</v>
      </c>
      <c r="H73" s="19"/>
    </row>
    <row r="74" spans="1:8" ht="15" customHeight="1" x14ac:dyDescent="0.25">
      <c r="A74" s="13" t="s">
        <v>9</v>
      </c>
      <c r="B74" s="13" t="s">
        <v>15</v>
      </c>
      <c r="C74" s="13" t="s">
        <v>1700</v>
      </c>
      <c r="D74" s="13" t="s">
        <v>1377</v>
      </c>
      <c r="F74" s="15">
        <f>F76+F78</f>
        <v>0</v>
      </c>
      <c r="G74" s="15">
        <f>G76+G78</f>
        <v>0</v>
      </c>
    </row>
    <row r="75" spans="1:8" ht="15" customHeight="1" x14ac:dyDescent="0.25">
      <c r="A75" s="14" t="s">
        <v>12</v>
      </c>
      <c r="B75" s="14" t="s">
        <v>518</v>
      </c>
      <c r="C75" s="14" t="s">
        <v>1701</v>
      </c>
      <c r="D75" s="14" t="s">
        <v>1587</v>
      </c>
      <c r="F75" s="15" t="e">
        <f>F74/F49</f>
        <v>#DIV/0!</v>
      </c>
      <c r="G75" s="15" t="e">
        <f>G74/G49</f>
        <v>#DIV/0!</v>
      </c>
      <c r="H75" s="15" t="s">
        <v>1163</v>
      </c>
    </row>
    <row r="76" spans="1:8" ht="15" customHeight="1" x14ac:dyDescent="0.25">
      <c r="A76" s="14" t="s">
        <v>12</v>
      </c>
      <c r="B76" s="14" t="s">
        <v>15</v>
      </c>
      <c r="C76" s="14" t="s">
        <v>1702</v>
      </c>
      <c r="D76" s="14" t="s">
        <v>1683</v>
      </c>
      <c r="G76" s="15">
        <f>G50*G77</f>
        <v>0</v>
      </c>
      <c r="H76" s="15" t="s">
        <v>1164</v>
      </c>
    </row>
    <row r="77" spans="1:8" ht="15" customHeight="1" x14ac:dyDescent="0.25">
      <c r="A77" s="14" t="s">
        <v>74</v>
      </c>
      <c r="B77" s="14" t="s">
        <v>518</v>
      </c>
      <c r="C77" s="14" t="s">
        <v>1703</v>
      </c>
      <c r="D77" s="14" t="s">
        <v>1685</v>
      </c>
      <c r="F77" s="15" t="e">
        <f>F76/F50</f>
        <v>#DIV/0!</v>
      </c>
      <c r="H77" s="15" t="s">
        <v>1163</v>
      </c>
    </row>
    <row r="78" spans="1:8" ht="15" customHeight="1" x14ac:dyDescent="0.25">
      <c r="A78" s="14" t="s">
        <v>12</v>
      </c>
      <c r="B78" s="14" t="s">
        <v>15</v>
      </c>
      <c r="C78" s="14" t="s">
        <v>1704</v>
      </c>
      <c r="D78" s="14" t="s">
        <v>1688</v>
      </c>
      <c r="G78" s="15">
        <f>G51*G79</f>
        <v>0</v>
      </c>
      <c r="H78" s="15" t="s">
        <v>1164</v>
      </c>
    </row>
    <row r="79" spans="1:8" ht="15" customHeight="1" x14ac:dyDescent="0.25">
      <c r="A79" s="14" t="s">
        <v>74</v>
      </c>
      <c r="B79" s="14" t="s">
        <v>518</v>
      </c>
      <c r="C79" s="14" t="s">
        <v>1705</v>
      </c>
      <c r="D79" s="14" t="s">
        <v>1689</v>
      </c>
      <c r="F79" s="15" t="e">
        <f>F78/F51</f>
        <v>#DIV/0!</v>
      </c>
      <c r="H79" s="15" t="s">
        <v>1163</v>
      </c>
    </row>
    <row r="80" spans="1:8" ht="15" customHeight="1" x14ac:dyDescent="0.25">
      <c r="A80" s="3" t="s">
        <v>9</v>
      </c>
      <c r="B80" s="3" t="s">
        <v>15</v>
      </c>
      <c r="C80" s="13" t="s">
        <v>1690</v>
      </c>
      <c r="D80" s="13" t="s">
        <v>1588</v>
      </c>
      <c r="F80" s="15">
        <f>F81</f>
        <v>0</v>
      </c>
      <c r="G80" s="15">
        <f>G81</f>
        <v>0</v>
      </c>
    </row>
    <row r="81" spans="1:8" ht="15" customHeight="1" x14ac:dyDescent="0.25">
      <c r="A81" s="5" t="s">
        <v>12</v>
      </c>
      <c r="B81" s="5" t="s">
        <v>15</v>
      </c>
      <c r="C81" s="14" t="s">
        <v>1932</v>
      </c>
      <c r="D81" s="14" t="s">
        <v>1589</v>
      </c>
      <c r="G81" s="15">
        <f>G83*G84</f>
        <v>0</v>
      </c>
      <c r="H81" s="15" t="s">
        <v>1164</v>
      </c>
    </row>
    <row r="82" spans="1:8" ht="15" customHeight="1" x14ac:dyDescent="0.25">
      <c r="A82" s="5" t="s">
        <v>74</v>
      </c>
      <c r="B82" s="5" t="s">
        <v>111</v>
      </c>
      <c r="C82" s="14" t="s">
        <v>1933</v>
      </c>
      <c r="D82" s="14" t="s">
        <v>1590</v>
      </c>
    </row>
    <row r="83" spans="1:8" ht="15" customHeight="1" x14ac:dyDescent="0.25">
      <c r="A83" s="5" t="s">
        <v>74</v>
      </c>
      <c r="B83" s="5" t="s">
        <v>539</v>
      </c>
      <c r="C83" s="14" t="s">
        <v>1934</v>
      </c>
      <c r="D83" s="14" t="s">
        <v>1591</v>
      </c>
    </row>
    <row r="84" spans="1:8" ht="15" customHeight="1" x14ac:dyDescent="0.25">
      <c r="A84" s="5" t="s">
        <v>74</v>
      </c>
      <c r="B84" s="5" t="s">
        <v>518</v>
      </c>
      <c r="C84" s="14" t="s">
        <v>1935</v>
      </c>
      <c r="D84" s="14" t="s">
        <v>1592</v>
      </c>
      <c r="F84" s="15" t="e">
        <f>F81/F83</f>
        <v>#DIV/0!</v>
      </c>
      <c r="H84" s="15" t="s">
        <v>1163</v>
      </c>
    </row>
    <row r="85" spans="1:8" ht="15" customHeight="1" x14ac:dyDescent="0.25">
      <c r="A85" s="5"/>
      <c r="B85" s="14"/>
      <c r="C85" s="14"/>
      <c r="D85" s="14"/>
    </row>
    <row r="86" spans="1:8" ht="15" customHeight="1" x14ac:dyDescent="0.25">
      <c r="A86" s="3" t="s">
        <v>6</v>
      </c>
      <c r="B86" s="3" t="s">
        <v>1</v>
      </c>
      <c r="C86" s="13" t="s">
        <v>1679</v>
      </c>
      <c r="D86" s="13" t="s">
        <v>898</v>
      </c>
      <c r="E86" s="19"/>
      <c r="F86" s="19">
        <f>F87+F93+F96</f>
        <v>0</v>
      </c>
      <c r="G86" s="19">
        <f>G87+G93+G96</f>
        <v>0</v>
      </c>
      <c r="H86" s="19"/>
    </row>
    <row r="87" spans="1:8" ht="15" customHeight="1" x14ac:dyDescent="0.25">
      <c r="A87" s="3" t="s">
        <v>9</v>
      </c>
      <c r="B87" s="3" t="s">
        <v>1</v>
      </c>
      <c r="C87" s="13" t="s">
        <v>1680</v>
      </c>
      <c r="D87" s="13" t="s">
        <v>1229</v>
      </c>
      <c r="F87" s="15">
        <f>F89+F91</f>
        <v>0</v>
      </c>
      <c r="G87" s="15">
        <f>G89+G91</f>
        <v>0</v>
      </c>
    </row>
    <row r="88" spans="1:8" ht="15" customHeight="1" x14ac:dyDescent="0.25">
      <c r="A88" s="5" t="s">
        <v>12</v>
      </c>
      <c r="B88" s="5" t="s">
        <v>518</v>
      </c>
      <c r="C88" s="14" t="s">
        <v>1681</v>
      </c>
      <c r="D88" s="14" t="s">
        <v>1597</v>
      </c>
      <c r="F88" s="15" t="e">
        <f>F87/F49</f>
        <v>#DIV/0!</v>
      </c>
      <c r="G88" s="15" t="e">
        <f>G87/G49</f>
        <v>#DIV/0!</v>
      </c>
      <c r="H88" s="15" t="s">
        <v>1163</v>
      </c>
    </row>
    <row r="89" spans="1:8" ht="15" customHeight="1" x14ac:dyDescent="0.25">
      <c r="A89" s="5" t="s">
        <v>12</v>
      </c>
      <c r="B89" s="5" t="s">
        <v>1</v>
      </c>
      <c r="C89" s="14" t="s">
        <v>1682</v>
      </c>
      <c r="D89" s="14" t="s">
        <v>1709</v>
      </c>
      <c r="G89" s="15">
        <f>G50*G90</f>
        <v>0</v>
      </c>
      <c r="H89" s="15" t="s">
        <v>1164</v>
      </c>
    </row>
    <row r="90" spans="1:8" ht="15" customHeight="1" x14ac:dyDescent="0.25">
      <c r="A90" s="5" t="s">
        <v>74</v>
      </c>
      <c r="B90" s="5" t="s">
        <v>518</v>
      </c>
      <c r="C90" s="14" t="s">
        <v>1684</v>
      </c>
      <c r="D90" s="14" t="s">
        <v>1711</v>
      </c>
      <c r="F90" s="15" t="e">
        <f>F89/F50</f>
        <v>#DIV/0!</v>
      </c>
      <c r="H90" s="15" t="s">
        <v>1163</v>
      </c>
    </row>
    <row r="91" spans="1:8" ht="15" customHeight="1" x14ac:dyDescent="0.25">
      <c r="A91" s="5" t="s">
        <v>12</v>
      </c>
      <c r="B91" s="5" t="s">
        <v>1</v>
      </c>
      <c r="C91" s="14" t="s">
        <v>1686</v>
      </c>
      <c r="D91" s="14" t="s">
        <v>1710</v>
      </c>
      <c r="G91" s="15">
        <f>G51*G92</f>
        <v>0</v>
      </c>
      <c r="H91" s="15" t="s">
        <v>1164</v>
      </c>
    </row>
    <row r="92" spans="1:8" ht="15" customHeight="1" x14ac:dyDescent="0.25">
      <c r="A92" s="5" t="s">
        <v>74</v>
      </c>
      <c r="B92" s="5" t="s">
        <v>518</v>
      </c>
      <c r="C92" s="14" t="s">
        <v>1687</v>
      </c>
      <c r="D92" s="14" t="s">
        <v>1712</v>
      </c>
      <c r="F92" s="15" t="e">
        <f>F91/F51</f>
        <v>#DIV/0!</v>
      </c>
      <c r="H92" s="15" t="s">
        <v>1163</v>
      </c>
    </row>
    <row r="93" spans="1:8" ht="15" customHeight="1" x14ac:dyDescent="0.25">
      <c r="A93" s="19" t="s">
        <v>9</v>
      </c>
      <c r="B93" s="19" t="s">
        <v>1</v>
      </c>
      <c r="C93" s="13" t="s">
        <v>1706</v>
      </c>
      <c r="D93" s="19" t="s">
        <v>1232</v>
      </c>
      <c r="F93" s="15">
        <f>F94</f>
        <v>0</v>
      </c>
      <c r="G93" s="15">
        <f>G94</f>
        <v>0</v>
      </c>
    </row>
    <row r="94" spans="1:8" ht="15" customHeight="1" x14ac:dyDescent="0.25">
      <c r="A94" s="15" t="s">
        <v>12</v>
      </c>
      <c r="B94" s="15" t="s">
        <v>1</v>
      </c>
      <c r="C94" s="14" t="s">
        <v>1936</v>
      </c>
      <c r="D94" s="15" t="s">
        <v>1233</v>
      </c>
      <c r="G94" s="15">
        <f>G83*G95</f>
        <v>0</v>
      </c>
      <c r="H94" s="15" t="s">
        <v>1164</v>
      </c>
    </row>
    <row r="95" spans="1:8" ht="15" customHeight="1" x14ac:dyDescent="0.25">
      <c r="A95" s="15" t="s">
        <v>74</v>
      </c>
      <c r="B95" s="15" t="s">
        <v>518</v>
      </c>
      <c r="C95" s="14" t="s">
        <v>1937</v>
      </c>
      <c r="D95" s="15" t="s">
        <v>1234</v>
      </c>
      <c r="F95" s="15" t="e">
        <f>F94/F83</f>
        <v>#DIV/0!</v>
      </c>
      <c r="H95" s="15" t="s">
        <v>1163</v>
      </c>
    </row>
    <row r="96" spans="1:8" ht="15" customHeight="1" x14ac:dyDescent="0.25">
      <c r="A96" s="3" t="s">
        <v>9</v>
      </c>
      <c r="B96" s="3" t="s">
        <v>1</v>
      </c>
      <c r="C96" s="13" t="s">
        <v>1707</v>
      </c>
      <c r="D96" s="13" t="s">
        <v>1499</v>
      </c>
      <c r="F96" s="15">
        <f>F97</f>
        <v>0</v>
      </c>
      <c r="G96" s="15">
        <f>G97</f>
        <v>0</v>
      </c>
    </row>
    <row r="97" spans="1:8" ht="15" customHeight="1" x14ac:dyDescent="0.25">
      <c r="A97" s="5" t="s">
        <v>12</v>
      </c>
      <c r="B97" s="5" t="s">
        <v>1</v>
      </c>
      <c r="C97" s="14" t="s">
        <v>1708</v>
      </c>
      <c r="D97" s="14" t="s">
        <v>1600</v>
      </c>
    </row>
    <row r="98" spans="1:8" ht="15" customHeight="1" x14ac:dyDescent="0.25">
      <c r="A98" s="5"/>
      <c r="B98" s="14"/>
      <c r="C98" s="14"/>
      <c r="D98" s="14"/>
    </row>
    <row r="99" spans="1:8" ht="15" customHeight="1" x14ac:dyDescent="0.25">
      <c r="A99" s="14"/>
      <c r="B99" s="14"/>
      <c r="C99" s="14"/>
      <c r="D99" s="14"/>
    </row>
    <row r="100" spans="1:8" ht="15" customHeight="1" x14ac:dyDescent="0.25">
      <c r="A100" s="13" t="s">
        <v>6</v>
      </c>
      <c r="B100" s="13" t="s">
        <v>1</v>
      </c>
      <c r="C100" s="13" t="s">
        <v>1713</v>
      </c>
      <c r="D100" s="13" t="s">
        <v>869</v>
      </c>
      <c r="G100" s="15">
        <f>G101+G103</f>
        <v>0</v>
      </c>
    </row>
    <row r="101" spans="1:8" ht="15" customHeight="1" x14ac:dyDescent="0.25">
      <c r="A101" s="13" t="s">
        <v>9</v>
      </c>
      <c r="B101" s="13" t="s">
        <v>1</v>
      </c>
      <c r="C101" s="13" t="s">
        <v>2351</v>
      </c>
      <c r="D101" s="13" t="s">
        <v>906</v>
      </c>
      <c r="G101" s="15">
        <f>G52*G102</f>
        <v>0</v>
      </c>
      <c r="H101" s="15" t="s">
        <v>1164</v>
      </c>
    </row>
    <row r="102" spans="1:8" ht="15" customHeight="1" x14ac:dyDescent="0.25">
      <c r="A102" s="14" t="s">
        <v>12</v>
      </c>
      <c r="B102" s="5" t="s">
        <v>518</v>
      </c>
      <c r="C102" s="14" t="s">
        <v>2352</v>
      </c>
      <c r="D102" s="14" t="s">
        <v>871</v>
      </c>
      <c r="F102" s="15" t="e">
        <f>F101/F52</f>
        <v>#DIV/0!</v>
      </c>
      <c r="H102" s="15" t="s">
        <v>1163</v>
      </c>
    </row>
    <row r="103" spans="1:8" ht="15" customHeight="1" x14ac:dyDescent="0.25">
      <c r="A103" s="13" t="s">
        <v>9</v>
      </c>
      <c r="B103" s="13" t="s">
        <v>1</v>
      </c>
      <c r="C103" s="13" t="s">
        <v>1714</v>
      </c>
      <c r="D103" s="13" t="s">
        <v>884</v>
      </c>
      <c r="F103" s="15">
        <f>F100-F101</f>
        <v>0</v>
      </c>
    </row>
    <row r="104" spans="1:8" ht="15" customHeight="1" x14ac:dyDescent="0.25">
      <c r="A104" s="14"/>
      <c r="B104" s="14"/>
      <c r="C104" s="14"/>
      <c r="D104" s="14"/>
    </row>
    <row r="105" spans="1:8" ht="15" customHeight="1" x14ac:dyDescent="0.25">
      <c r="A105" s="13" t="s">
        <v>6</v>
      </c>
      <c r="B105" s="13" t="s">
        <v>15</v>
      </c>
      <c r="C105" s="13" t="s">
        <v>1715</v>
      </c>
      <c r="D105" s="13" t="s">
        <v>877</v>
      </c>
      <c r="G105" s="15">
        <f>G106+G108+G110</f>
        <v>0</v>
      </c>
    </row>
    <row r="106" spans="1:8" ht="15" customHeight="1" x14ac:dyDescent="0.25">
      <c r="A106" s="13" t="s">
        <v>9</v>
      </c>
      <c r="B106" s="13" t="s">
        <v>15</v>
      </c>
      <c r="C106" s="13" t="s">
        <v>2353</v>
      </c>
      <c r="D106" s="13" t="s">
        <v>881</v>
      </c>
      <c r="G106" s="15">
        <f>G52*G107</f>
        <v>0</v>
      </c>
      <c r="H106" s="15" t="s">
        <v>1164</v>
      </c>
    </row>
    <row r="107" spans="1:8" ht="15" customHeight="1" x14ac:dyDescent="0.25">
      <c r="A107" s="14" t="s">
        <v>12</v>
      </c>
      <c r="B107" s="5" t="s">
        <v>518</v>
      </c>
      <c r="C107" s="14" t="s">
        <v>2354</v>
      </c>
      <c r="D107" s="14" t="s">
        <v>879</v>
      </c>
      <c r="F107" s="15" t="e">
        <f>F106/F52</f>
        <v>#DIV/0!</v>
      </c>
      <c r="H107" s="15" t="s">
        <v>1163</v>
      </c>
    </row>
    <row r="108" spans="1:8" ht="15" customHeight="1" x14ac:dyDescent="0.25">
      <c r="A108" s="13" t="s">
        <v>9</v>
      </c>
      <c r="B108" s="13" t="s">
        <v>15</v>
      </c>
      <c r="C108" s="13" t="s">
        <v>2355</v>
      </c>
      <c r="D108" s="13" t="s">
        <v>907</v>
      </c>
      <c r="G108" s="15">
        <f>G52*G109</f>
        <v>0</v>
      </c>
      <c r="H108" s="15" t="s">
        <v>1164</v>
      </c>
    </row>
    <row r="109" spans="1:8" ht="15" customHeight="1" x14ac:dyDescent="0.25">
      <c r="A109" s="14" t="s">
        <v>12</v>
      </c>
      <c r="B109" s="5" t="s">
        <v>518</v>
      </c>
      <c r="C109" s="14" t="s">
        <v>2356</v>
      </c>
      <c r="D109" s="14" t="s">
        <v>879</v>
      </c>
      <c r="F109" s="15" t="e">
        <f>F108/F52</f>
        <v>#DIV/0!</v>
      </c>
      <c r="H109" s="15" t="s">
        <v>1163</v>
      </c>
    </row>
    <row r="110" spans="1:8" ht="15" customHeight="1" x14ac:dyDescent="0.25">
      <c r="A110" s="13" t="s">
        <v>9</v>
      </c>
      <c r="B110" s="13" t="s">
        <v>15</v>
      </c>
      <c r="C110" s="13" t="s">
        <v>1716</v>
      </c>
      <c r="D110" s="13" t="s">
        <v>884</v>
      </c>
      <c r="F110" s="15">
        <f>F105-F106-F108</f>
        <v>0</v>
      </c>
    </row>
    <row r="111" spans="1:8" ht="15" customHeight="1" x14ac:dyDescent="0.25">
      <c r="A111" s="14"/>
      <c r="B111" s="14"/>
      <c r="C111" s="14"/>
      <c r="D111" s="14"/>
    </row>
    <row r="112" spans="1:8" ht="15" customHeight="1" x14ac:dyDescent="0.25">
      <c r="A112" s="13" t="s">
        <v>6</v>
      </c>
      <c r="B112" s="13" t="s">
        <v>1</v>
      </c>
      <c r="C112" s="13" t="s">
        <v>1717</v>
      </c>
      <c r="D112" s="13" t="s">
        <v>1346</v>
      </c>
    </row>
    <row r="113" spans="1:4" ht="15" customHeight="1" x14ac:dyDescent="0.25">
      <c r="A113" s="14"/>
      <c r="B113" s="14"/>
      <c r="C113" s="14"/>
      <c r="D113" s="14"/>
    </row>
    <row r="114" spans="1:4" ht="15" customHeight="1" x14ac:dyDescent="0.25">
      <c r="A114" s="13" t="s">
        <v>6</v>
      </c>
      <c r="B114" s="13" t="s">
        <v>1</v>
      </c>
      <c r="C114" s="13" t="s">
        <v>1718</v>
      </c>
      <c r="D114" s="13" t="s">
        <v>886</v>
      </c>
    </row>
    <row r="115" spans="1:4" ht="15" customHeight="1" x14ac:dyDescent="0.25">
      <c r="A115" s="14"/>
      <c r="B115" s="14"/>
      <c r="C115" s="14"/>
      <c r="D115" s="14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F9A1E-BDB9-403D-A44D-3A13BD005780}">
  <dimension ref="A1:H83"/>
  <sheetViews>
    <sheetView workbookViewId="0">
      <pane xSplit="4" ySplit="1" topLeftCell="E62" activePane="bottomRight" state="frozen"/>
      <selection pane="topRight" activeCell="E1" sqref="E1"/>
      <selection pane="bottomLeft" activeCell="A2" sqref="A2"/>
      <selection pane="bottomRight" activeCell="C75" sqref="C75"/>
    </sheetView>
  </sheetViews>
  <sheetFormatPr defaultColWidth="8.6640625" defaultRowHeight="15" customHeight="1" x14ac:dyDescent="0.25"/>
  <cols>
    <col min="1" max="2" width="8.6640625" style="15"/>
    <col min="3" max="3" width="9.5546875" style="15" bestFit="1" customWidth="1"/>
    <col min="4" max="4" width="17.44140625" style="15" bestFit="1" customWidth="1"/>
    <col min="5" max="7" width="8.6640625" style="15"/>
    <col min="8" max="8" width="10.109375" style="15" bestFit="1" customWidth="1"/>
    <col min="9" max="16384" width="8.6640625" style="15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ht="15" customHeight="1" x14ac:dyDescent="0.25">
      <c r="A2" s="3" t="s">
        <v>6</v>
      </c>
      <c r="B2" s="5" t="s">
        <v>1</v>
      </c>
      <c r="C2" s="4" t="s">
        <v>1719</v>
      </c>
      <c r="D2" s="3" t="s">
        <v>7</v>
      </c>
      <c r="F2" s="15">
        <f>F3+F6+F7</f>
        <v>0</v>
      </c>
      <c r="G2" s="15">
        <f>G3+G6+G7</f>
        <v>0</v>
      </c>
    </row>
    <row r="3" spans="1:8" ht="15" customHeight="1" x14ac:dyDescent="0.25">
      <c r="A3" s="5" t="s">
        <v>9</v>
      </c>
      <c r="B3" s="5" t="s">
        <v>1</v>
      </c>
      <c r="C3" s="4" t="s">
        <v>1720</v>
      </c>
      <c r="D3" s="5" t="s">
        <v>10</v>
      </c>
      <c r="F3" s="15">
        <f>F4+F5</f>
        <v>0</v>
      </c>
      <c r="G3" s="15">
        <f>G4+G5</f>
        <v>0</v>
      </c>
    </row>
    <row r="4" spans="1:8" ht="15" customHeight="1" x14ac:dyDescent="0.25">
      <c r="A4" s="5" t="s">
        <v>12</v>
      </c>
      <c r="B4" s="5" t="s">
        <v>1</v>
      </c>
      <c r="C4" s="7" t="s">
        <v>1721</v>
      </c>
      <c r="D4" s="5" t="s">
        <v>627</v>
      </c>
      <c r="F4" s="15">
        <f>F48-F52</f>
        <v>0</v>
      </c>
      <c r="G4" s="15">
        <f>G48-G52</f>
        <v>0</v>
      </c>
    </row>
    <row r="5" spans="1:8" ht="15" customHeight="1" x14ac:dyDescent="0.25">
      <c r="A5" s="5" t="s">
        <v>12</v>
      </c>
      <c r="B5" s="5" t="s">
        <v>1</v>
      </c>
      <c r="C5" s="7" t="s">
        <v>1722</v>
      </c>
      <c r="D5" s="5" t="s">
        <v>632</v>
      </c>
      <c r="F5" s="15">
        <f>F62-F58</f>
        <v>0</v>
      </c>
      <c r="G5" s="15">
        <f>G62-G58</f>
        <v>0</v>
      </c>
    </row>
    <row r="6" spans="1:8" ht="15" customHeight="1" x14ac:dyDescent="0.25">
      <c r="A6" s="5" t="s">
        <v>9</v>
      </c>
      <c r="B6" s="5" t="s">
        <v>1</v>
      </c>
      <c r="C6" s="4" t="s">
        <v>1723</v>
      </c>
      <c r="D6" s="5" t="s">
        <v>1174</v>
      </c>
      <c r="F6" s="15">
        <f>F66-F69</f>
        <v>0</v>
      </c>
      <c r="G6" s="15">
        <f>G66-G69</f>
        <v>0</v>
      </c>
    </row>
    <row r="7" spans="1:8" ht="15" customHeight="1" x14ac:dyDescent="0.25">
      <c r="A7" s="5" t="s">
        <v>9</v>
      </c>
      <c r="B7" s="5" t="s">
        <v>1</v>
      </c>
      <c r="C7" s="4" t="s">
        <v>1724</v>
      </c>
      <c r="D7" s="5" t="s">
        <v>23</v>
      </c>
      <c r="F7" s="15">
        <f>F80+F82</f>
        <v>0</v>
      </c>
      <c r="G7" s="15">
        <f>G80+G82</f>
        <v>0</v>
      </c>
    </row>
    <row r="8" spans="1:8" ht="15" customHeight="1" x14ac:dyDescent="0.25">
      <c r="A8" s="3" t="s">
        <v>6</v>
      </c>
      <c r="B8" s="5" t="s">
        <v>15</v>
      </c>
      <c r="C8" s="4" t="s">
        <v>1725</v>
      </c>
      <c r="D8" s="3" t="s">
        <v>641</v>
      </c>
    </row>
    <row r="9" spans="1:8" ht="15" customHeight="1" x14ac:dyDescent="0.25">
      <c r="A9" s="3" t="s">
        <v>6</v>
      </c>
      <c r="B9" s="5" t="s">
        <v>1</v>
      </c>
      <c r="C9" s="4" t="s">
        <v>1726</v>
      </c>
      <c r="D9" s="3" t="s">
        <v>35</v>
      </c>
      <c r="F9" s="15">
        <f>F2-F8</f>
        <v>0</v>
      </c>
      <c r="G9" s="15">
        <f>G2-G8</f>
        <v>0</v>
      </c>
    </row>
    <row r="10" spans="1:8" ht="15" customHeight="1" x14ac:dyDescent="0.25">
      <c r="A10" s="3" t="s">
        <v>6</v>
      </c>
      <c r="B10" s="5" t="s">
        <v>15</v>
      </c>
      <c r="C10" s="4" t="s">
        <v>1727</v>
      </c>
      <c r="D10" s="3" t="s">
        <v>37</v>
      </c>
    </row>
    <row r="11" spans="1:8" ht="15" customHeight="1" x14ac:dyDescent="0.25">
      <c r="A11" s="3" t="s">
        <v>6</v>
      </c>
      <c r="B11" s="5" t="s">
        <v>15</v>
      </c>
      <c r="C11" s="4" t="s">
        <v>1728</v>
      </c>
      <c r="D11" s="3" t="s">
        <v>645</v>
      </c>
      <c r="F11" s="15">
        <f>F12+F15+F18+F25+F26</f>
        <v>0</v>
      </c>
      <c r="G11" s="15">
        <f>G12+G15+G18+G25+G26</f>
        <v>0</v>
      </c>
    </row>
    <row r="12" spans="1:8" ht="15" customHeight="1" x14ac:dyDescent="0.25">
      <c r="A12" s="5" t="s">
        <v>9</v>
      </c>
      <c r="B12" s="5" t="s">
        <v>15</v>
      </c>
      <c r="C12" s="4" t="s">
        <v>1729</v>
      </c>
      <c r="D12" s="5" t="s">
        <v>647</v>
      </c>
      <c r="F12" s="15">
        <f>F13+F14</f>
        <v>0</v>
      </c>
      <c r="G12" s="15">
        <f>G13+G14</f>
        <v>0</v>
      </c>
    </row>
    <row r="13" spans="1:8" ht="15" customHeight="1" x14ac:dyDescent="0.25">
      <c r="A13" s="5" t="s">
        <v>12</v>
      </c>
      <c r="B13" s="5" t="s">
        <v>15</v>
      </c>
      <c r="C13" s="7" t="s">
        <v>1730</v>
      </c>
      <c r="D13" s="5" t="s">
        <v>43</v>
      </c>
    </row>
    <row r="14" spans="1:8" ht="15" customHeight="1" x14ac:dyDescent="0.25">
      <c r="A14" s="5" t="s">
        <v>12</v>
      </c>
      <c r="B14" s="5" t="s">
        <v>15</v>
      </c>
      <c r="C14" s="7" t="s">
        <v>1731</v>
      </c>
      <c r="D14" s="5" t="s">
        <v>650</v>
      </c>
    </row>
    <row r="15" spans="1:8" ht="15" customHeight="1" x14ac:dyDescent="0.25">
      <c r="A15" s="5" t="s">
        <v>9</v>
      </c>
      <c r="B15" s="5" t="s">
        <v>15</v>
      </c>
      <c r="C15" s="4" t="s">
        <v>1732</v>
      </c>
      <c r="D15" s="5" t="s">
        <v>49</v>
      </c>
      <c r="F15" s="15">
        <f>F16+F17</f>
        <v>0</v>
      </c>
      <c r="G15" s="15">
        <f>G16+G17</f>
        <v>0</v>
      </c>
    </row>
    <row r="16" spans="1:8" ht="15" customHeight="1" x14ac:dyDescent="0.25">
      <c r="A16" s="5" t="s">
        <v>12</v>
      </c>
      <c r="B16" s="5" t="s">
        <v>15</v>
      </c>
      <c r="C16" s="7" t="s">
        <v>1733</v>
      </c>
      <c r="D16" s="5" t="s">
        <v>51</v>
      </c>
    </row>
    <row r="17" spans="1:7" ht="15" customHeight="1" x14ac:dyDescent="0.25">
      <c r="A17" s="5" t="s">
        <v>12</v>
      </c>
      <c r="B17" s="5" t="s">
        <v>15</v>
      </c>
      <c r="C17" s="7" t="s">
        <v>1734</v>
      </c>
      <c r="D17" s="5" t="s">
        <v>53</v>
      </c>
    </row>
    <row r="18" spans="1:7" ht="15" customHeight="1" x14ac:dyDescent="0.25">
      <c r="A18" s="5" t="s">
        <v>9</v>
      </c>
      <c r="B18" s="5" t="s">
        <v>15</v>
      </c>
      <c r="C18" s="4" t="s">
        <v>1735</v>
      </c>
      <c r="D18" s="5" t="s">
        <v>55</v>
      </c>
      <c r="F18" s="15">
        <f>F19+F22+F23+F24</f>
        <v>0</v>
      </c>
      <c r="G18" s="15">
        <f>G19+G22+G23+G24</f>
        <v>0</v>
      </c>
    </row>
    <row r="19" spans="1:7" ht="15" customHeight="1" x14ac:dyDescent="0.25">
      <c r="A19" s="5" t="s">
        <v>12</v>
      </c>
      <c r="B19" s="5" t="s">
        <v>15</v>
      </c>
      <c r="C19" s="7" t="s">
        <v>1736</v>
      </c>
      <c r="D19" s="5" t="s">
        <v>656</v>
      </c>
      <c r="F19" s="15">
        <f>F20+F21</f>
        <v>0</v>
      </c>
      <c r="G19" s="15">
        <f>G20+G21</f>
        <v>0</v>
      </c>
    </row>
    <row r="20" spans="1:7" ht="15" customHeight="1" x14ac:dyDescent="0.25">
      <c r="A20" s="5" t="s">
        <v>74</v>
      </c>
      <c r="B20" s="5" t="s">
        <v>15</v>
      </c>
      <c r="C20" s="7" t="s">
        <v>1737</v>
      </c>
      <c r="D20" s="5" t="s">
        <v>658</v>
      </c>
    </row>
    <row r="21" spans="1:7" ht="15" customHeight="1" x14ac:dyDescent="0.25">
      <c r="A21" s="5" t="s">
        <v>74</v>
      </c>
      <c r="B21" s="5" t="s">
        <v>15</v>
      </c>
      <c r="C21" s="7" t="s">
        <v>1738</v>
      </c>
      <c r="D21" s="5" t="s">
        <v>660</v>
      </c>
    </row>
    <row r="22" spans="1:7" ht="15" customHeight="1" x14ac:dyDescent="0.25">
      <c r="A22" s="5" t="s">
        <v>12</v>
      </c>
      <c r="B22" s="5" t="s">
        <v>15</v>
      </c>
      <c r="C22" s="7" t="s">
        <v>1739</v>
      </c>
      <c r="D22" s="5" t="s">
        <v>662</v>
      </c>
    </row>
    <row r="23" spans="1:7" ht="15" customHeight="1" x14ac:dyDescent="0.25">
      <c r="A23" s="5" t="s">
        <v>12</v>
      </c>
      <c r="B23" s="5" t="s">
        <v>15</v>
      </c>
      <c r="C23" s="7" t="s">
        <v>1740</v>
      </c>
      <c r="D23" s="5" t="s">
        <v>664</v>
      </c>
    </row>
    <row r="24" spans="1:7" ht="15" customHeight="1" x14ac:dyDescent="0.25">
      <c r="A24" s="5" t="s">
        <v>12</v>
      </c>
      <c r="B24" s="5" t="s">
        <v>15</v>
      </c>
      <c r="C24" s="7" t="s">
        <v>1741</v>
      </c>
      <c r="D24" s="5" t="s">
        <v>666</v>
      </c>
    </row>
    <row r="25" spans="1:7" ht="15" customHeight="1" x14ac:dyDescent="0.25">
      <c r="A25" s="5" t="s">
        <v>9</v>
      </c>
      <c r="B25" s="5" t="s">
        <v>15</v>
      </c>
      <c r="C25" s="4" t="s">
        <v>1742</v>
      </c>
      <c r="D25" s="5" t="s">
        <v>668</v>
      </c>
    </row>
    <row r="26" spans="1:7" ht="15" customHeight="1" x14ac:dyDescent="0.25">
      <c r="A26" s="5" t="s">
        <v>9</v>
      </c>
      <c r="B26" s="5" t="s">
        <v>15</v>
      </c>
      <c r="C26" s="4" t="s">
        <v>1743</v>
      </c>
      <c r="D26" s="5" t="s">
        <v>57</v>
      </c>
    </row>
    <row r="27" spans="1:7" ht="15" customHeight="1" x14ac:dyDescent="0.25">
      <c r="A27" s="3" t="s">
        <v>6</v>
      </c>
      <c r="B27" s="5" t="s">
        <v>1</v>
      </c>
      <c r="C27" s="4" t="s">
        <v>1744</v>
      </c>
      <c r="D27" s="3" t="s">
        <v>59</v>
      </c>
    </row>
    <row r="28" spans="1:7" ht="15" customHeight="1" x14ac:dyDescent="0.25">
      <c r="A28" s="3" t="s">
        <v>6</v>
      </c>
      <c r="B28" s="5" t="s">
        <v>517</v>
      </c>
      <c r="C28" s="4" t="s">
        <v>1745</v>
      </c>
      <c r="D28" s="3" t="s">
        <v>672</v>
      </c>
      <c r="F28" s="15">
        <f>F9-F10-F11+F27</f>
        <v>0</v>
      </c>
      <c r="G28" s="15">
        <f>G9-G10-G11+G27</f>
        <v>0</v>
      </c>
    </row>
    <row r="29" spans="1:7" ht="15" customHeight="1" x14ac:dyDescent="0.25">
      <c r="A29" s="3" t="s">
        <v>6</v>
      </c>
      <c r="B29" s="5" t="s">
        <v>15</v>
      </c>
      <c r="C29" s="4" t="s">
        <v>1746</v>
      </c>
      <c r="D29" s="3" t="s">
        <v>674</v>
      </c>
    </row>
    <row r="30" spans="1:7" ht="15" customHeight="1" x14ac:dyDescent="0.25">
      <c r="A30" s="3" t="s">
        <v>6</v>
      </c>
      <c r="B30" s="5" t="s">
        <v>517</v>
      </c>
      <c r="C30" s="4" t="s">
        <v>1747</v>
      </c>
      <c r="D30" s="3" t="s">
        <v>61</v>
      </c>
      <c r="F30" s="15">
        <f>F28-F29</f>
        <v>0</v>
      </c>
      <c r="G30" s="15">
        <f>G28-G29</f>
        <v>0</v>
      </c>
    </row>
    <row r="31" spans="1:7" ht="15" customHeight="1" x14ac:dyDescent="0.25">
      <c r="A31" s="14"/>
      <c r="B31" s="14"/>
      <c r="C31" s="14"/>
      <c r="D31" s="14"/>
    </row>
    <row r="32" spans="1:7" ht="15" customHeight="1" x14ac:dyDescent="0.25">
      <c r="A32" s="5" t="s">
        <v>6</v>
      </c>
      <c r="B32" s="5" t="s">
        <v>67</v>
      </c>
      <c r="C32" s="13" t="s">
        <v>1748</v>
      </c>
      <c r="D32" s="14" t="s">
        <v>851</v>
      </c>
      <c r="F32" s="15">
        <f>F33+F35+F36</f>
        <v>0</v>
      </c>
      <c r="G32" s="15">
        <f>G33+G35+G36</f>
        <v>0</v>
      </c>
    </row>
    <row r="33" spans="1:7" ht="15" customHeight="1" x14ac:dyDescent="0.25">
      <c r="A33" s="5" t="s">
        <v>9</v>
      </c>
      <c r="B33" s="5" t="s">
        <v>67</v>
      </c>
      <c r="C33" s="14" t="s">
        <v>1749</v>
      </c>
      <c r="D33" s="14" t="s">
        <v>852</v>
      </c>
      <c r="F33" s="15">
        <f>F34</f>
        <v>0</v>
      </c>
      <c r="G33" s="15">
        <f>G34</f>
        <v>0</v>
      </c>
    </row>
    <row r="34" spans="1:7" ht="15" customHeight="1" x14ac:dyDescent="0.25">
      <c r="A34" s="5" t="s">
        <v>12</v>
      </c>
      <c r="B34" s="5" t="s">
        <v>67</v>
      </c>
      <c r="C34" s="14" t="s">
        <v>2121</v>
      </c>
      <c r="D34" s="14" t="s">
        <v>142</v>
      </c>
    </row>
    <row r="35" spans="1:7" ht="15" customHeight="1" x14ac:dyDescent="0.25">
      <c r="A35" s="5" t="s">
        <v>9</v>
      </c>
      <c r="B35" s="5" t="s">
        <v>67</v>
      </c>
      <c r="C35" s="14" t="s">
        <v>1750</v>
      </c>
      <c r="D35" s="14" t="s">
        <v>853</v>
      </c>
    </row>
    <row r="36" spans="1:7" ht="15" customHeight="1" x14ac:dyDescent="0.25">
      <c r="A36" s="5" t="s">
        <v>9</v>
      </c>
      <c r="B36" s="5" t="s">
        <v>67</v>
      </c>
      <c r="C36" s="14" t="s">
        <v>1751</v>
      </c>
      <c r="D36" s="14" t="s">
        <v>854</v>
      </c>
    </row>
    <row r="37" spans="1:7" ht="15" customHeight="1" x14ac:dyDescent="0.25">
      <c r="A37" s="5" t="s">
        <v>6</v>
      </c>
      <c r="B37" s="5" t="s">
        <v>521</v>
      </c>
      <c r="C37" s="13" t="s">
        <v>1752</v>
      </c>
      <c r="D37" s="14" t="s">
        <v>855</v>
      </c>
      <c r="F37" s="15">
        <f>F38+F40+F41</f>
        <v>0</v>
      </c>
      <c r="G37" s="15">
        <f>G38+G40+G41</f>
        <v>0</v>
      </c>
    </row>
    <row r="38" spans="1:7" ht="15" customHeight="1" x14ac:dyDescent="0.25">
      <c r="A38" s="5" t="s">
        <v>9</v>
      </c>
      <c r="B38" s="5" t="s">
        <v>521</v>
      </c>
      <c r="C38" s="14" t="s">
        <v>1753</v>
      </c>
      <c r="D38" s="14" t="s">
        <v>852</v>
      </c>
      <c r="F38" s="15">
        <f>F39</f>
        <v>0</v>
      </c>
      <c r="G38" s="15">
        <f>G39</f>
        <v>0</v>
      </c>
    </row>
    <row r="39" spans="1:7" ht="15" customHeight="1" x14ac:dyDescent="0.25">
      <c r="A39" s="5" t="s">
        <v>12</v>
      </c>
      <c r="B39" s="3" t="s">
        <v>521</v>
      </c>
      <c r="C39" s="14" t="s">
        <v>2122</v>
      </c>
      <c r="D39" s="14" t="s">
        <v>142</v>
      </c>
    </row>
    <row r="40" spans="1:7" ht="15" customHeight="1" x14ac:dyDescent="0.25">
      <c r="A40" s="5" t="s">
        <v>9</v>
      </c>
      <c r="B40" s="5" t="s">
        <v>521</v>
      </c>
      <c r="C40" s="14" t="s">
        <v>1754</v>
      </c>
      <c r="D40" s="14" t="s">
        <v>853</v>
      </c>
    </row>
    <row r="41" spans="1:7" ht="15" customHeight="1" x14ac:dyDescent="0.25">
      <c r="A41" s="5" t="s">
        <v>9</v>
      </c>
      <c r="B41" s="5" t="s">
        <v>521</v>
      </c>
      <c r="C41" s="14" t="s">
        <v>1755</v>
      </c>
      <c r="D41" s="14" t="s">
        <v>854</v>
      </c>
    </row>
    <row r="42" spans="1:7" ht="15" customHeight="1" x14ac:dyDescent="0.25">
      <c r="A42" s="5"/>
      <c r="B42" s="5"/>
      <c r="C42" s="14"/>
      <c r="D42" s="14"/>
    </row>
    <row r="43" spans="1:7" ht="15" customHeight="1" x14ac:dyDescent="0.25">
      <c r="A43" s="3" t="s">
        <v>6</v>
      </c>
      <c r="B43" s="5" t="s">
        <v>111</v>
      </c>
      <c r="C43" s="13" t="s">
        <v>1996</v>
      </c>
      <c r="D43" s="13" t="s">
        <v>887</v>
      </c>
      <c r="F43" s="15">
        <f>F44</f>
        <v>0</v>
      </c>
      <c r="G43" s="15">
        <f>G44</f>
        <v>0</v>
      </c>
    </row>
    <row r="44" spans="1:7" ht="15" customHeight="1" x14ac:dyDescent="0.25">
      <c r="A44" s="3" t="s">
        <v>9</v>
      </c>
      <c r="B44" s="5" t="s">
        <v>111</v>
      </c>
      <c r="C44" s="13" t="s">
        <v>1997</v>
      </c>
      <c r="D44" s="13" t="s">
        <v>1985</v>
      </c>
    </row>
    <row r="45" spans="1:7" ht="15" customHeight="1" x14ac:dyDescent="0.25">
      <c r="A45" s="3" t="s">
        <v>6</v>
      </c>
      <c r="B45" s="5" t="s">
        <v>539</v>
      </c>
      <c r="C45" s="13" t="s">
        <v>1998</v>
      </c>
      <c r="D45" s="13" t="s">
        <v>893</v>
      </c>
      <c r="F45" s="15">
        <f>F46</f>
        <v>0</v>
      </c>
      <c r="G45" s="15">
        <f>G46</f>
        <v>0</v>
      </c>
    </row>
    <row r="46" spans="1:7" ht="15" customHeight="1" x14ac:dyDescent="0.25">
      <c r="A46" s="3" t="s">
        <v>9</v>
      </c>
      <c r="B46" s="5" t="s">
        <v>539</v>
      </c>
      <c r="C46" s="13" t="s">
        <v>1999</v>
      </c>
      <c r="D46" s="13" t="s">
        <v>1986</v>
      </c>
    </row>
    <row r="47" spans="1:7" ht="15" customHeight="1" x14ac:dyDescent="0.25">
      <c r="A47" s="14"/>
      <c r="B47" s="14"/>
      <c r="C47" s="14"/>
      <c r="D47" s="14"/>
    </row>
    <row r="48" spans="1:7" ht="15" customHeight="1" x14ac:dyDescent="0.25">
      <c r="A48" s="13" t="s">
        <v>6</v>
      </c>
      <c r="B48" s="13" t="s">
        <v>1</v>
      </c>
      <c r="C48" s="13" t="s">
        <v>1756</v>
      </c>
      <c r="D48" s="13" t="s">
        <v>1176</v>
      </c>
      <c r="F48" s="15">
        <f>F49</f>
        <v>0</v>
      </c>
      <c r="G48" s="15">
        <f>G49</f>
        <v>0</v>
      </c>
    </row>
    <row r="49" spans="1:8" ht="15" customHeight="1" x14ac:dyDescent="0.25">
      <c r="A49" s="13" t="s">
        <v>9</v>
      </c>
      <c r="B49" s="13" t="s">
        <v>1</v>
      </c>
      <c r="C49" s="13" t="s">
        <v>1757</v>
      </c>
      <c r="D49" s="13" t="s">
        <v>1182</v>
      </c>
      <c r="G49" s="15">
        <f>G38*G50</f>
        <v>0</v>
      </c>
      <c r="H49" s="15" t="s">
        <v>1164</v>
      </c>
    </row>
    <row r="50" spans="1:8" ht="15" customHeight="1" x14ac:dyDescent="0.25">
      <c r="A50" s="14" t="s">
        <v>12</v>
      </c>
      <c r="B50" s="14" t="s">
        <v>518</v>
      </c>
      <c r="C50" s="14" t="s">
        <v>1758</v>
      </c>
      <c r="D50" s="14" t="s">
        <v>1583</v>
      </c>
      <c r="F50" s="15" t="e">
        <f>F49/F38</f>
        <v>#DIV/0!</v>
      </c>
      <c r="H50" s="15" t="s">
        <v>1163</v>
      </c>
    </row>
    <row r="51" spans="1:8" ht="15" customHeight="1" x14ac:dyDescent="0.25">
      <c r="A51" s="13"/>
      <c r="B51" s="13"/>
      <c r="C51" s="13"/>
      <c r="D51" s="13"/>
    </row>
    <row r="52" spans="1:8" ht="15" customHeight="1" x14ac:dyDescent="0.25">
      <c r="A52" s="13" t="s">
        <v>6</v>
      </c>
      <c r="B52" s="13" t="s">
        <v>15</v>
      </c>
      <c r="C52" s="13" t="s">
        <v>1759</v>
      </c>
      <c r="D52" s="13" t="s">
        <v>868</v>
      </c>
      <c r="F52" s="15">
        <f>F53+F55</f>
        <v>0</v>
      </c>
      <c r="G52" s="15">
        <f>G53+G55</f>
        <v>0</v>
      </c>
    </row>
    <row r="53" spans="1:8" ht="15" customHeight="1" x14ac:dyDescent="0.25">
      <c r="A53" s="13" t="s">
        <v>9</v>
      </c>
      <c r="B53" s="13" t="s">
        <v>15</v>
      </c>
      <c r="C53" s="13" t="s">
        <v>1760</v>
      </c>
      <c r="D53" s="13" t="s">
        <v>1177</v>
      </c>
      <c r="G53" s="15">
        <f>G38*G54</f>
        <v>0</v>
      </c>
      <c r="H53" s="15" t="s">
        <v>1164</v>
      </c>
    </row>
    <row r="54" spans="1:8" ht="15" customHeight="1" x14ac:dyDescent="0.25">
      <c r="A54" s="14" t="s">
        <v>12</v>
      </c>
      <c r="B54" s="14" t="s">
        <v>518</v>
      </c>
      <c r="C54" s="14" t="s">
        <v>1761</v>
      </c>
      <c r="D54" s="14" t="s">
        <v>1586</v>
      </c>
      <c r="F54" s="15" t="e">
        <f>F53/F38</f>
        <v>#DIV/0!</v>
      </c>
      <c r="H54" s="15" t="s">
        <v>1163</v>
      </c>
    </row>
    <row r="55" spans="1:8" ht="15" customHeight="1" x14ac:dyDescent="0.25">
      <c r="A55" s="13" t="s">
        <v>9</v>
      </c>
      <c r="B55" s="13" t="s">
        <v>15</v>
      </c>
      <c r="C55" s="13" t="s">
        <v>1762</v>
      </c>
      <c r="D55" s="13" t="s">
        <v>1209</v>
      </c>
      <c r="F55" s="15">
        <f>F56</f>
        <v>0</v>
      </c>
      <c r="G55" s="15">
        <f>G56</f>
        <v>0</v>
      </c>
    </row>
    <row r="56" spans="1:8" ht="15" customHeight="1" x14ac:dyDescent="0.25">
      <c r="A56" s="14" t="s">
        <v>12</v>
      </c>
      <c r="B56" s="14" t="s">
        <v>15</v>
      </c>
      <c r="C56" s="14" t="s">
        <v>1763</v>
      </c>
      <c r="D56" s="14" t="s">
        <v>1582</v>
      </c>
    </row>
    <row r="57" spans="1:8" ht="15" customHeight="1" x14ac:dyDescent="0.25">
      <c r="A57" s="14"/>
      <c r="B57" s="14"/>
      <c r="C57" s="14"/>
      <c r="D57" s="14"/>
    </row>
    <row r="58" spans="1:8" ht="15" customHeight="1" x14ac:dyDescent="0.25">
      <c r="A58" s="13" t="s">
        <v>6</v>
      </c>
      <c r="B58" s="13" t="s">
        <v>15</v>
      </c>
      <c r="C58" s="13" t="s">
        <v>1764</v>
      </c>
      <c r="D58" s="13" t="s">
        <v>1218</v>
      </c>
      <c r="E58" s="19"/>
      <c r="F58" s="19">
        <f>F59</f>
        <v>0</v>
      </c>
      <c r="G58" s="19">
        <f>G59</f>
        <v>0</v>
      </c>
      <c r="H58" s="19"/>
    </row>
    <row r="59" spans="1:8" ht="15" customHeight="1" x14ac:dyDescent="0.25">
      <c r="A59" s="13" t="s">
        <v>9</v>
      </c>
      <c r="B59" s="13" t="s">
        <v>15</v>
      </c>
      <c r="C59" s="13" t="s">
        <v>1765</v>
      </c>
      <c r="D59" s="13" t="s">
        <v>1377</v>
      </c>
      <c r="G59" s="15">
        <f>G46*G60</f>
        <v>0</v>
      </c>
      <c r="H59" s="15" t="s">
        <v>1164</v>
      </c>
    </row>
    <row r="60" spans="1:8" ht="15" customHeight="1" x14ac:dyDescent="0.25">
      <c r="A60" s="14" t="s">
        <v>12</v>
      </c>
      <c r="B60" s="14" t="s">
        <v>518</v>
      </c>
      <c r="C60" s="14" t="s">
        <v>1766</v>
      </c>
      <c r="D60" s="14" t="s">
        <v>1587</v>
      </c>
      <c r="F60" s="15" t="e">
        <f>F59/F46</f>
        <v>#DIV/0!</v>
      </c>
      <c r="H60" s="15" t="s">
        <v>1163</v>
      </c>
    </row>
    <row r="61" spans="1:8" ht="15" customHeight="1" x14ac:dyDescent="0.25">
      <c r="A61" s="14"/>
      <c r="B61" s="14"/>
      <c r="C61" s="14"/>
      <c r="D61" s="14"/>
    </row>
    <row r="62" spans="1:8" ht="15" customHeight="1" x14ac:dyDescent="0.25">
      <c r="A62" s="13" t="s">
        <v>6</v>
      </c>
      <c r="B62" s="13" t="s">
        <v>1</v>
      </c>
      <c r="C62" s="13" t="s">
        <v>1767</v>
      </c>
      <c r="D62" s="13" t="s">
        <v>898</v>
      </c>
      <c r="E62" s="19"/>
      <c r="F62" s="19">
        <f>F63</f>
        <v>0</v>
      </c>
      <c r="G62" s="19">
        <f>G63</f>
        <v>0</v>
      </c>
      <c r="H62" s="19"/>
    </row>
    <row r="63" spans="1:8" ht="15" customHeight="1" x14ac:dyDescent="0.25">
      <c r="A63" s="13" t="s">
        <v>9</v>
      </c>
      <c r="B63" s="13" t="s">
        <v>1</v>
      </c>
      <c r="C63" s="13" t="s">
        <v>1768</v>
      </c>
      <c r="D63" s="13" t="s">
        <v>1229</v>
      </c>
      <c r="E63" s="19"/>
      <c r="F63" s="19"/>
      <c r="G63" s="19">
        <f>G46*G64</f>
        <v>0</v>
      </c>
      <c r="H63" s="19" t="s">
        <v>1164</v>
      </c>
    </row>
    <row r="64" spans="1:8" ht="15" customHeight="1" x14ac:dyDescent="0.25">
      <c r="A64" s="14" t="s">
        <v>12</v>
      </c>
      <c r="B64" s="14" t="s">
        <v>1</v>
      </c>
      <c r="C64" s="14" t="s">
        <v>1769</v>
      </c>
      <c r="D64" s="14" t="s">
        <v>1597</v>
      </c>
      <c r="F64" s="15" t="e">
        <f>F63/F46</f>
        <v>#DIV/0!</v>
      </c>
      <c r="H64" s="15" t="s">
        <v>1163</v>
      </c>
    </row>
    <row r="65" spans="1:8" ht="15" customHeight="1" x14ac:dyDescent="0.25">
      <c r="A65" s="14"/>
      <c r="B65" s="14"/>
      <c r="C65" s="14"/>
      <c r="D65" s="14"/>
    </row>
    <row r="66" spans="1:8" ht="15" customHeight="1" x14ac:dyDescent="0.25">
      <c r="A66" s="13" t="s">
        <v>6</v>
      </c>
      <c r="B66" s="13" t="s">
        <v>1</v>
      </c>
      <c r="C66" s="13" t="s">
        <v>1770</v>
      </c>
      <c r="D66" s="13" t="s">
        <v>869</v>
      </c>
      <c r="G66" s="15">
        <f>G67</f>
        <v>0</v>
      </c>
    </row>
    <row r="67" spans="1:8" ht="15" customHeight="1" x14ac:dyDescent="0.25">
      <c r="A67" s="14" t="s">
        <v>9</v>
      </c>
      <c r="B67" s="14" t="s">
        <v>1</v>
      </c>
      <c r="C67" s="14" t="s">
        <v>2357</v>
      </c>
      <c r="D67" s="14" t="s">
        <v>908</v>
      </c>
      <c r="F67" s="15">
        <f>F66</f>
        <v>0</v>
      </c>
    </row>
    <row r="68" spans="1:8" ht="15" customHeight="1" x14ac:dyDescent="0.25">
      <c r="A68" s="14"/>
      <c r="B68" s="14"/>
      <c r="C68" s="14"/>
      <c r="D68" s="14"/>
    </row>
    <row r="69" spans="1:8" ht="15" customHeight="1" x14ac:dyDescent="0.25">
      <c r="A69" s="13" t="s">
        <v>6</v>
      </c>
      <c r="B69" s="13" t="s">
        <v>15</v>
      </c>
      <c r="C69" s="13" t="s">
        <v>1771</v>
      </c>
      <c r="D69" s="13" t="s">
        <v>877</v>
      </c>
      <c r="G69" s="15">
        <f>G70+G72+G74+G76+G78</f>
        <v>0</v>
      </c>
    </row>
    <row r="70" spans="1:8" ht="15" customHeight="1" x14ac:dyDescent="0.25">
      <c r="A70" s="13" t="s">
        <v>9</v>
      </c>
      <c r="B70" s="13" t="s">
        <v>15</v>
      </c>
      <c r="C70" s="13" t="s">
        <v>1772</v>
      </c>
      <c r="D70" s="13" t="s">
        <v>878</v>
      </c>
      <c r="G70" s="15">
        <f>G37*G71</f>
        <v>0</v>
      </c>
      <c r="H70" s="15" t="s">
        <v>1164</v>
      </c>
    </row>
    <row r="71" spans="1:8" ht="15" customHeight="1" x14ac:dyDescent="0.25">
      <c r="A71" s="14" t="s">
        <v>12</v>
      </c>
      <c r="B71" s="5" t="s">
        <v>518</v>
      </c>
      <c r="C71" s="14" t="s">
        <v>1776</v>
      </c>
      <c r="D71" s="14" t="s">
        <v>879</v>
      </c>
      <c r="F71" s="15" t="e">
        <f>F70/F37</f>
        <v>#DIV/0!</v>
      </c>
      <c r="H71" s="15" t="s">
        <v>1163</v>
      </c>
    </row>
    <row r="72" spans="1:8" ht="15" customHeight="1" x14ac:dyDescent="0.25">
      <c r="A72" s="13" t="s">
        <v>9</v>
      </c>
      <c r="B72" s="13" t="s">
        <v>15</v>
      </c>
      <c r="C72" s="13" t="s">
        <v>1773</v>
      </c>
      <c r="D72" s="13" t="s">
        <v>880</v>
      </c>
      <c r="G72" s="15">
        <f>G37*G73</f>
        <v>0</v>
      </c>
      <c r="H72" s="15" t="s">
        <v>1164</v>
      </c>
    </row>
    <row r="73" spans="1:8" ht="15" customHeight="1" x14ac:dyDescent="0.25">
      <c r="A73" s="14" t="s">
        <v>12</v>
      </c>
      <c r="B73" s="5" t="s">
        <v>518</v>
      </c>
      <c r="C73" s="14" t="s">
        <v>1777</v>
      </c>
      <c r="D73" s="14" t="s">
        <v>879</v>
      </c>
      <c r="F73" s="15" t="e">
        <f>F72/F37</f>
        <v>#DIV/0!</v>
      </c>
      <c r="H73" s="15" t="s">
        <v>1163</v>
      </c>
    </row>
    <row r="74" spans="1:8" ht="15" customHeight="1" x14ac:dyDescent="0.25">
      <c r="A74" s="13" t="s">
        <v>9</v>
      </c>
      <c r="B74" s="13" t="s">
        <v>15</v>
      </c>
      <c r="C74" s="13" t="s">
        <v>1774</v>
      </c>
      <c r="D74" s="13" t="s">
        <v>881</v>
      </c>
      <c r="G74" s="15">
        <f>G37*G75</f>
        <v>0</v>
      </c>
      <c r="H74" s="15" t="s">
        <v>1164</v>
      </c>
    </row>
    <row r="75" spans="1:8" ht="15" customHeight="1" x14ac:dyDescent="0.25">
      <c r="A75" s="14" t="s">
        <v>12</v>
      </c>
      <c r="B75" s="5" t="s">
        <v>518</v>
      </c>
      <c r="C75" s="14" t="s">
        <v>1778</v>
      </c>
      <c r="D75" s="14" t="s">
        <v>879</v>
      </c>
      <c r="F75" s="15" t="e">
        <f>F74/F37</f>
        <v>#DIV/0!</v>
      </c>
      <c r="H75" s="15" t="s">
        <v>1163</v>
      </c>
    </row>
    <row r="76" spans="1:8" ht="15" customHeight="1" x14ac:dyDescent="0.25">
      <c r="A76" s="13" t="s">
        <v>9</v>
      </c>
      <c r="B76" s="13" t="s">
        <v>15</v>
      </c>
      <c r="C76" s="13" t="s">
        <v>2358</v>
      </c>
      <c r="D76" s="13" t="s">
        <v>902</v>
      </c>
      <c r="G76" s="15">
        <f>G37*G77</f>
        <v>0</v>
      </c>
      <c r="H76" s="15" t="s">
        <v>1164</v>
      </c>
    </row>
    <row r="77" spans="1:8" ht="15" customHeight="1" x14ac:dyDescent="0.25">
      <c r="A77" s="14" t="s">
        <v>12</v>
      </c>
      <c r="B77" s="5" t="s">
        <v>518</v>
      </c>
      <c r="C77" s="14" t="s">
        <v>2359</v>
      </c>
      <c r="D77" s="14" t="s">
        <v>883</v>
      </c>
      <c r="F77" s="15" t="e">
        <f>F76/F37</f>
        <v>#DIV/0!</v>
      </c>
      <c r="H77" s="15" t="s">
        <v>1163</v>
      </c>
    </row>
    <row r="78" spans="1:8" ht="15" customHeight="1" x14ac:dyDescent="0.25">
      <c r="A78" s="13" t="s">
        <v>9</v>
      </c>
      <c r="B78" s="13" t="s">
        <v>15</v>
      </c>
      <c r="C78" s="13" t="s">
        <v>1775</v>
      </c>
      <c r="D78" s="13" t="s">
        <v>884</v>
      </c>
      <c r="F78" s="15">
        <f>F69-F70-F72-F74-F76</f>
        <v>0</v>
      </c>
    </row>
    <row r="79" spans="1:8" ht="15" customHeight="1" x14ac:dyDescent="0.25">
      <c r="A79" s="14"/>
      <c r="B79" s="14"/>
      <c r="C79" s="14"/>
      <c r="D79" s="14"/>
    </row>
    <row r="80" spans="1:8" ht="15" customHeight="1" x14ac:dyDescent="0.25">
      <c r="A80" s="13" t="s">
        <v>6</v>
      </c>
      <c r="B80" s="13" t="s">
        <v>1</v>
      </c>
      <c r="C80" s="13" t="s">
        <v>1779</v>
      </c>
      <c r="D80" s="13" t="s">
        <v>1346</v>
      </c>
    </row>
    <row r="81" spans="1:4" ht="15" customHeight="1" x14ac:dyDescent="0.25">
      <c r="A81" s="14"/>
      <c r="B81" s="14"/>
      <c r="C81" s="14"/>
      <c r="D81" s="14"/>
    </row>
    <row r="82" spans="1:4" ht="15" customHeight="1" x14ac:dyDescent="0.25">
      <c r="A82" s="13" t="s">
        <v>6</v>
      </c>
      <c r="B82" s="13" t="s">
        <v>1</v>
      </c>
      <c r="C82" s="13" t="s">
        <v>1780</v>
      </c>
      <c r="D82" s="13" t="s">
        <v>886</v>
      </c>
    </row>
    <row r="83" spans="1:4" ht="15" customHeight="1" x14ac:dyDescent="0.25">
      <c r="A83" s="14"/>
      <c r="B83" s="14"/>
      <c r="C83" s="14"/>
      <c r="D83" s="14"/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3FBA-31B8-45F2-B567-61EA4F94B5F0}">
  <dimension ref="A1:H3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37" sqref="F37"/>
    </sheetView>
  </sheetViews>
  <sheetFormatPr defaultColWidth="8.6640625" defaultRowHeight="15" customHeight="1" x14ac:dyDescent="0.25"/>
  <cols>
    <col min="1" max="3" width="8.6640625" style="15"/>
    <col min="4" max="4" width="15.6640625" style="15" bestFit="1" customWidth="1"/>
    <col min="5" max="16384" width="8.6640625" style="15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ht="15" customHeight="1" x14ac:dyDescent="0.25">
      <c r="A2" s="3" t="s">
        <v>6</v>
      </c>
      <c r="B2" s="5" t="s">
        <v>1</v>
      </c>
      <c r="C2" s="4" t="s">
        <v>676</v>
      </c>
      <c r="D2" s="3" t="s">
        <v>7</v>
      </c>
      <c r="F2" s="15">
        <f>B01企业金融!F2+B02金融市场!F2</f>
        <v>0</v>
      </c>
      <c r="G2" s="15">
        <f>B01企业金融!G2+B02金融市场!G2</f>
        <v>0</v>
      </c>
    </row>
    <row r="3" spans="1:8" ht="15" customHeight="1" x14ac:dyDescent="0.25">
      <c r="A3" s="3" t="s">
        <v>9</v>
      </c>
      <c r="B3" s="5" t="s">
        <v>1</v>
      </c>
      <c r="C3" s="4" t="s">
        <v>677</v>
      </c>
      <c r="D3" s="3" t="s">
        <v>10</v>
      </c>
      <c r="F3" s="15">
        <f>B01企业金融!F3+B02金融市场!F3</f>
        <v>0</v>
      </c>
      <c r="G3" s="15">
        <f>B01企业金融!G3+B02金融市场!G3</f>
        <v>0</v>
      </c>
    </row>
    <row r="4" spans="1:8" ht="15" customHeight="1" x14ac:dyDescent="0.25">
      <c r="A4" s="5" t="s">
        <v>12</v>
      </c>
      <c r="B4" s="5" t="s">
        <v>1</v>
      </c>
      <c r="C4" s="7" t="s">
        <v>678</v>
      </c>
      <c r="D4" s="5" t="s">
        <v>627</v>
      </c>
      <c r="F4" s="15">
        <f>B01企业金融!F4+B02金融市场!F4</f>
        <v>0</v>
      </c>
      <c r="G4" s="15">
        <f>B01企业金融!G4+B02金融市场!G4</f>
        <v>0</v>
      </c>
    </row>
    <row r="5" spans="1:8" ht="15" customHeight="1" x14ac:dyDescent="0.25">
      <c r="A5" s="5" t="s">
        <v>74</v>
      </c>
      <c r="B5" s="5" t="s">
        <v>1</v>
      </c>
      <c r="C5" s="7" t="s">
        <v>679</v>
      </c>
      <c r="D5" s="5" t="s">
        <v>13</v>
      </c>
      <c r="F5" s="15" t="e">
        <f>B01企业金融!#REF!+B02金融市场!#REF!</f>
        <v>#REF!</v>
      </c>
      <c r="G5" s="15" t="e">
        <f>B01企业金融!#REF!+B02金融市场!#REF!</f>
        <v>#REF!</v>
      </c>
    </row>
    <row r="6" spans="1:8" ht="15" customHeight="1" x14ac:dyDescent="0.25">
      <c r="A6" s="5" t="s">
        <v>74</v>
      </c>
      <c r="B6" s="5" t="s">
        <v>15</v>
      </c>
      <c r="C6" s="7" t="s">
        <v>680</v>
      </c>
      <c r="D6" s="5" t="s">
        <v>630</v>
      </c>
      <c r="F6" s="15" t="e">
        <f>B01企业金融!#REF!+B02金融市场!#REF!</f>
        <v>#REF!</v>
      </c>
      <c r="G6" s="15" t="e">
        <f>B01企业金融!#REF!+B02金融市场!#REF!</f>
        <v>#REF!</v>
      </c>
    </row>
    <row r="7" spans="1:8" ht="15" customHeight="1" x14ac:dyDescent="0.25">
      <c r="A7" s="5" t="s">
        <v>12</v>
      </c>
      <c r="B7" s="5" t="s">
        <v>1</v>
      </c>
      <c r="C7" s="7" t="s">
        <v>681</v>
      </c>
      <c r="D7" s="5" t="s">
        <v>632</v>
      </c>
      <c r="F7" s="15">
        <f>B01企业金融!F5+B02金融市场!F5</f>
        <v>0</v>
      </c>
      <c r="G7" s="15">
        <f>B01企业金融!G5+B02金融市场!G5</f>
        <v>0</v>
      </c>
    </row>
    <row r="8" spans="1:8" ht="15" customHeight="1" x14ac:dyDescent="0.25">
      <c r="A8" s="5" t="s">
        <v>74</v>
      </c>
      <c r="B8" s="5" t="s">
        <v>15</v>
      </c>
      <c r="C8" s="7" t="s">
        <v>682</v>
      </c>
      <c r="D8" s="5" t="s">
        <v>16</v>
      </c>
      <c r="F8" s="15" t="e">
        <f>B01企业金融!#REF!+B02金融市场!#REF!</f>
        <v>#REF!</v>
      </c>
      <c r="G8" s="15" t="e">
        <f>B01企业金融!#REF!+B02金融市场!#REF!</f>
        <v>#REF!</v>
      </c>
    </row>
    <row r="9" spans="1:8" ht="15" customHeight="1" x14ac:dyDescent="0.25">
      <c r="A9" s="5" t="s">
        <v>74</v>
      </c>
      <c r="B9" s="5" t="s">
        <v>1</v>
      </c>
      <c r="C9" s="7" t="s">
        <v>683</v>
      </c>
      <c r="D9" s="5" t="s">
        <v>635</v>
      </c>
      <c r="F9" s="15" t="e">
        <f>B01企业金融!#REF!+B02金融市场!#REF!</f>
        <v>#REF!</v>
      </c>
      <c r="G9" s="15" t="e">
        <f>B01企业金融!#REF!+B02金融市场!#REF!</f>
        <v>#REF!</v>
      </c>
    </row>
    <row r="10" spans="1:8" ht="15" customHeight="1" x14ac:dyDescent="0.25">
      <c r="A10" s="3" t="s">
        <v>9</v>
      </c>
      <c r="B10" s="5" t="s">
        <v>1</v>
      </c>
      <c r="C10" s="4" t="s">
        <v>684</v>
      </c>
      <c r="D10" s="3" t="s">
        <v>17</v>
      </c>
      <c r="F10" s="15">
        <f>B01企业金融!F6+B02金融市场!F6</f>
        <v>0</v>
      </c>
      <c r="G10" s="15">
        <f>B01企业金融!G6+B02金融市场!G6</f>
        <v>0</v>
      </c>
    </row>
    <row r="11" spans="1:8" ht="15" customHeight="1" x14ac:dyDescent="0.25">
      <c r="A11" s="5" t="s">
        <v>12</v>
      </c>
      <c r="B11" s="5" t="s">
        <v>1</v>
      </c>
      <c r="C11" s="7" t="s">
        <v>685</v>
      </c>
      <c r="D11" s="5" t="s">
        <v>19</v>
      </c>
      <c r="F11" s="15" t="e">
        <f>B01企业金融!#REF!+B02金融市场!#REF!</f>
        <v>#REF!</v>
      </c>
      <c r="G11" s="15" t="e">
        <f>B01企业金融!#REF!+B02金融市场!#REF!</f>
        <v>#REF!</v>
      </c>
    </row>
    <row r="12" spans="1:8" ht="15" customHeight="1" x14ac:dyDescent="0.25">
      <c r="A12" s="5" t="s">
        <v>12</v>
      </c>
      <c r="B12" s="5" t="s">
        <v>15</v>
      </c>
      <c r="C12" s="7" t="s">
        <v>686</v>
      </c>
      <c r="D12" s="5" t="s">
        <v>21</v>
      </c>
      <c r="F12" s="15" t="e">
        <f>B01企业金融!#REF!+B02金融市场!#REF!</f>
        <v>#REF!</v>
      </c>
      <c r="G12" s="15" t="e">
        <f>B01企业金融!#REF!+B02金融市场!#REF!</f>
        <v>#REF!</v>
      </c>
    </row>
    <row r="13" spans="1:8" ht="15" customHeight="1" x14ac:dyDescent="0.25">
      <c r="A13" s="3" t="s">
        <v>9</v>
      </c>
      <c r="B13" s="5" t="s">
        <v>1</v>
      </c>
      <c r="C13" s="4" t="s">
        <v>687</v>
      </c>
      <c r="D13" s="3" t="s">
        <v>23</v>
      </c>
      <c r="F13" s="15">
        <f>B01企业金融!F7+B02金融市场!F7</f>
        <v>0</v>
      </c>
      <c r="G13" s="15">
        <f>B01企业金融!G7+B02金融市场!G7</f>
        <v>0</v>
      </c>
    </row>
    <row r="14" spans="1:8" ht="15" customHeight="1" x14ac:dyDescent="0.25">
      <c r="A14" s="3" t="s">
        <v>6</v>
      </c>
      <c r="B14" s="5" t="s">
        <v>15</v>
      </c>
      <c r="C14" s="4" t="s">
        <v>688</v>
      </c>
      <c r="D14" s="3" t="s">
        <v>641</v>
      </c>
      <c r="F14" s="15">
        <f>B01企业金融!F8+B02金融市场!F8</f>
        <v>0</v>
      </c>
      <c r="G14" s="15">
        <f>B01企业金融!G8+B02金融市场!G8</f>
        <v>0</v>
      </c>
    </row>
    <row r="15" spans="1:8" ht="15" customHeight="1" x14ac:dyDescent="0.25">
      <c r="A15" s="3" t="s">
        <v>6</v>
      </c>
      <c r="B15" s="5" t="s">
        <v>1</v>
      </c>
      <c r="C15" s="4" t="s">
        <v>689</v>
      </c>
      <c r="D15" s="3" t="s">
        <v>35</v>
      </c>
      <c r="F15" s="15">
        <f>B01企业金融!F9+B02金融市场!F9</f>
        <v>0</v>
      </c>
      <c r="G15" s="15">
        <f>B01企业金融!G9+B02金融市场!G9</f>
        <v>0</v>
      </c>
    </row>
    <row r="16" spans="1:8" ht="15" customHeight="1" x14ac:dyDescent="0.25">
      <c r="A16" s="3" t="s">
        <v>6</v>
      </c>
      <c r="B16" s="5" t="s">
        <v>15</v>
      </c>
      <c r="C16" s="4" t="s">
        <v>690</v>
      </c>
      <c r="D16" s="3" t="s">
        <v>37</v>
      </c>
      <c r="F16" s="15">
        <f>B01企业金融!F10+B02金融市场!F10</f>
        <v>0</v>
      </c>
      <c r="G16" s="15">
        <f>B01企业金融!G10+B02金融市场!G10</f>
        <v>0</v>
      </c>
    </row>
    <row r="17" spans="1:7" ht="15" customHeight="1" x14ac:dyDescent="0.25">
      <c r="A17" s="3" t="s">
        <v>6</v>
      </c>
      <c r="B17" s="5" t="s">
        <v>15</v>
      </c>
      <c r="C17" s="4" t="s">
        <v>691</v>
      </c>
      <c r="D17" s="3" t="s">
        <v>645</v>
      </c>
      <c r="F17" s="15">
        <f>B01企业金融!F11+B02金融市场!F11</f>
        <v>0</v>
      </c>
      <c r="G17" s="15">
        <f>B01企业金融!G11+B02金融市场!G11</f>
        <v>0</v>
      </c>
    </row>
    <row r="18" spans="1:7" ht="15" customHeight="1" x14ac:dyDescent="0.25">
      <c r="A18" s="3" t="s">
        <v>9</v>
      </c>
      <c r="B18" s="5" t="s">
        <v>15</v>
      </c>
      <c r="C18" s="4" t="s">
        <v>692</v>
      </c>
      <c r="D18" s="3" t="s">
        <v>647</v>
      </c>
      <c r="F18" s="15">
        <f>B01企业金融!F12+B02金融市场!F12</f>
        <v>0</v>
      </c>
      <c r="G18" s="15">
        <f>B01企业金融!G12+B02金融市场!G12</f>
        <v>0</v>
      </c>
    </row>
    <row r="19" spans="1:7" ht="15" customHeight="1" x14ac:dyDescent="0.25">
      <c r="A19" s="5" t="s">
        <v>12</v>
      </c>
      <c r="B19" s="5" t="s">
        <v>15</v>
      </c>
      <c r="C19" s="7" t="s">
        <v>693</v>
      </c>
      <c r="D19" s="5" t="s">
        <v>43</v>
      </c>
      <c r="F19" s="15">
        <f>B01企业金融!F13+B02金融市场!F13</f>
        <v>0</v>
      </c>
      <c r="G19" s="15">
        <f>B01企业金融!G13+B02金融市场!G13</f>
        <v>0</v>
      </c>
    </row>
    <row r="20" spans="1:7" ht="15" customHeight="1" x14ac:dyDescent="0.25">
      <c r="A20" s="5" t="s">
        <v>12</v>
      </c>
      <c r="B20" s="5" t="s">
        <v>15</v>
      </c>
      <c r="C20" s="7" t="s">
        <v>694</v>
      </c>
      <c r="D20" s="5" t="s">
        <v>650</v>
      </c>
      <c r="F20" s="15">
        <f>B01企业金融!F14+B02金融市场!F14</f>
        <v>0</v>
      </c>
      <c r="G20" s="15">
        <f>B01企业金融!G14+B02金融市场!G14</f>
        <v>0</v>
      </c>
    </row>
    <row r="21" spans="1:7" ht="15" customHeight="1" x14ac:dyDescent="0.25">
      <c r="A21" s="3" t="s">
        <v>9</v>
      </c>
      <c r="B21" s="5" t="s">
        <v>15</v>
      </c>
      <c r="C21" s="4" t="s">
        <v>695</v>
      </c>
      <c r="D21" s="3" t="s">
        <v>49</v>
      </c>
      <c r="F21" s="15">
        <f>B01企业金融!F15+B02金融市场!F15</f>
        <v>0</v>
      </c>
      <c r="G21" s="15">
        <f>B01企业金融!G15+B02金融市场!G15</f>
        <v>0</v>
      </c>
    </row>
    <row r="22" spans="1:7" ht="15" customHeight="1" x14ac:dyDescent="0.25">
      <c r="A22" s="5" t="s">
        <v>12</v>
      </c>
      <c r="B22" s="5" t="s">
        <v>15</v>
      </c>
      <c r="C22" s="7" t="s">
        <v>696</v>
      </c>
      <c r="D22" s="5" t="s">
        <v>51</v>
      </c>
      <c r="F22" s="15">
        <f>B01企业金融!F16+B02金融市场!F16</f>
        <v>0</v>
      </c>
      <c r="G22" s="15">
        <f>B01企业金融!G16+B02金融市场!G16</f>
        <v>0</v>
      </c>
    </row>
    <row r="23" spans="1:7" ht="15" customHeight="1" x14ac:dyDescent="0.25">
      <c r="A23" s="5" t="s">
        <v>12</v>
      </c>
      <c r="B23" s="5" t="s">
        <v>15</v>
      </c>
      <c r="C23" s="7" t="s">
        <v>697</v>
      </c>
      <c r="D23" s="5" t="s">
        <v>53</v>
      </c>
      <c r="F23" s="15">
        <f>B01企业金融!F17+B02金融市场!F17</f>
        <v>0</v>
      </c>
      <c r="G23" s="15">
        <f>B01企业金融!G17+B02金融市场!G17</f>
        <v>0</v>
      </c>
    </row>
    <row r="24" spans="1:7" ht="15" customHeight="1" x14ac:dyDescent="0.25">
      <c r="A24" s="3" t="s">
        <v>9</v>
      </c>
      <c r="B24" s="5" t="s">
        <v>15</v>
      </c>
      <c r="C24" s="4" t="s">
        <v>698</v>
      </c>
      <c r="D24" s="3" t="s">
        <v>55</v>
      </c>
      <c r="F24" s="15">
        <f>B01企业金融!F18+B02金融市场!F18</f>
        <v>0</v>
      </c>
      <c r="G24" s="15">
        <f>B01企业金融!G18+B02金融市场!G18</f>
        <v>0</v>
      </c>
    </row>
    <row r="25" spans="1:7" ht="15" customHeight="1" x14ac:dyDescent="0.25">
      <c r="A25" s="5" t="s">
        <v>12</v>
      </c>
      <c r="B25" s="5" t="s">
        <v>15</v>
      </c>
      <c r="C25" s="7" t="s">
        <v>699</v>
      </c>
      <c r="D25" s="5" t="s">
        <v>656</v>
      </c>
      <c r="F25" s="15">
        <f>B01企业金融!F19+B02金融市场!F19</f>
        <v>0</v>
      </c>
      <c r="G25" s="15">
        <f>B01企业金融!G19+B02金融市场!G19</f>
        <v>0</v>
      </c>
    </row>
    <row r="26" spans="1:7" ht="15" customHeight="1" x14ac:dyDescent="0.25">
      <c r="A26" s="5" t="s">
        <v>74</v>
      </c>
      <c r="B26" s="5" t="s">
        <v>15</v>
      </c>
      <c r="C26" s="7" t="s">
        <v>700</v>
      </c>
      <c r="D26" s="5" t="s">
        <v>658</v>
      </c>
      <c r="F26" s="15">
        <f>B01企业金融!F20+B02金融市场!F20</f>
        <v>0</v>
      </c>
      <c r="G26" s="15">
        <f>B01企业金融!G20+B02金融市场!G20</f>
        <v>0</v>
      </c>
    </row>
    <row r="27" spans="1:7" ht="15" customHeight="1" x14ac:dyDescent="0.25">
      <c r="A27" s="5" t="s">
        <v>74</v>
      </c>
      <c r="B27" s="5" t="s">
        <v>15</v>
      </c>
      <c r="C27" s="7" t="s">
        <v>701</v>
      </c>
      <c r="D27" s="5" t="s">
        <v>660</v>
      </c>
      <c r="F27" s="15">
        <f>B01企业金融!F21+B02金融市场!F21</f>
        <v>0</v>
      </c>
      <c r="G27" s="15">
        <f>B01企业金融!G21+B02金融市场!G21</f>
        <v>0</v>
      </c>
    </row>
    <row r="28" spans="1:7" ht="15" customHeight="1" x14ac:dyDescent="0.25">
      <c r="A28" s="5" t="s">
        <v>12</v>
      </c>
      <c r="B28" s="5" t="s">
        <v>15</v>
      </c>
      <c r="C28" s="7" t="s">
        <v>702</v>
      </c>
      <c r="D28" s="5" t="s">
        <v>662</v>
      </c>
      <c r="F28" s="15">
        <f>B01企业金融!F22+B02金融市场!F22</f>
        <v>0</v>
      </c>
      <c r="G28" s="15">
        <f>B01企业金融!G22+B02金融市场!G22</f>
        <v>0</v>
      </c>
    </row>
    <row r="29" spans="1:7" ht="15" customHeight="1" x14ac:dyDescent="0.25">
      <c r="A29" s="5" t="s">
        <v>12</v>
      </c>
      <c r="B29" s="5" t="s">
        <v>15</v>
      </c>
      <c r="C29" s="7" t="s">
        <v>703</v>
      </c>
      <c r="D29" s="5" t="s">
        <v>664</v>
      </c>
      <c r="F29" s="15">
        <f>B01企业金融!F23+B02金融市场!F23</f>
        <v>0</v>
      </c>
      <c r="G29" s="15">
        <f>B01企业金融!G23+B02金融市场!G23</f>
        <v>0</v>
      </c>
    </row>
    <row r="30" spans="1:7" ht="15" customHeight="1" x14ac:dyDescent="0.25">
      <c r="A30" s="5" t="s">
        <v>12</v>
      </c>
      <c r="B30" s="5" t="s">
        <v>15</v>
      </c>
      <c r="C30" s="7" t="s">
        <v>704</v>
      </c>
      <c r="D30" s="5" t="s">
        <v>666</v>
      </c>
      <c r="F30" s="15">
        <f>B01企业金融!F24+B02金融市场!F24</f>
        <v>0</v>
      </c>
      <c r="G30" s="15">
        <f>B01企业金融!G24+B02金融市场!G24</f>
        <v>0</v>
      </c>
    </row>
    <row r="31" spans="1:7" ht="15" customHeight="1" x14ac:dyDescent="0.25">
      <c r="A31" s="3" t="s">
        <v>9</v>
      </c>
      <c r="B31" s="5" t="s">
        <v>15</v>
      </c>
      <c r="C31" s="4" t="s">
        <v>705</v>
      </c>
      <c r="D31" s="3" t="s">
        <v>668</v>
      </c>
      <c r="F31" s="15">
        <f>B01企业金融!F25+B02金融市场!F25</f>
        <v>0</v>
      </c>
      <c r="G31" s="15">
        <f>B01企业金融!G25+B02金融市场!G25</f>
        <v>0</v>
      </c>
    </row>
    <row r="32" spans="1:7" ht="15" customHeight="1" x14ac:dyDescent="0.25">
      <c r="A32" s="3" t="s">
        <v>9</v>
      </c>
      <c r="B32" s="5" t="s">
        <v>15</v>
      </c>
      <c r="C32" s="4" t="s">
        <v>706</v>
      </c>
      <c r="D32" s="3" t="s">
        <v>57</v>
      </c>
      <c r="F32" s="15">
        <f>B01企业金融!F26+B02金融市场!F26</f>
        <v>0</v>
      </c>
      <c r="G32" s="15">
        <f>B01企业金融!G26+B02金融市场!G26</f>
        <v>0</v>
      </c>
    </row>
    <row r="33" spans="1:7" ht="15" customHeight="1" x14ac:dyDescent="0.25">
      <c r="A33" s="3" t="s">
        <v>6</v>
      </c>
      <c r="B33" s="5" t="s">
        <v>1</v>
      </c>
      <c r="C33" s="4" t="s">
        <v>707</v>
      </c>
      <c r="D33" s="3" t="s">
        <v>59</v>
      </c>
      <c r="F33" s="15">
        <f>B01企业金融!F27+B02金融市场!F27</f>
        <v>0</v>
      </c>
      <c r="G33" s="15">
        <f>B01企业金融!G27+B02金融市场!G27</f>
        <v>0</v>
      </c>
    </row>
    <row r="34" spans="1:7" ht="15" customHeight="1" x14ac:dyDescent="0.25">
      <c r="A34" s="3" t="s">
        <v>6</v>
      </c>
      <c r="B34" s="5"/>
      <c r="C34" s="4" t="s">
        <v>708</v>
      </c>
      <c r="D34" s="3" t="s">
        <v>672</v>
      </c>
      <c r="F34" s="15">
        <f>B01企业金融!F28+B02金融市场!F28</f>
        <v>0</v>
      </c>
      <c r="G34" s="15">
        <f>B01企业金融!G28+B02金融市场!G28</f>
        <v>0</v>
      </c>
    </row>
    <row r="35" spans="1:7" ht="15" customHeight="1" x14ac:dyDescent="0.25">
      <c r="A35" s="3" t="s">
        <v>6</v>
      </c>
      <c r="B35" s="5" t="s">
        <v>15</v>
      </c>
      <c r="C35" s="4" t="s">
        <v>709</v>
      </c>
      <c r="D35" s="3" t="s">
        <v>674</v>
      </c>
      <c r="F35" s="15">
        <f>B01企业金融!F29+B02金融市场!F29</f>
        <v>0</v>
      </c>
      <c r="G35" s="15">
        <f>B01企业金融!G29+B02金融市场!G29</f>
        <v>0</v>
      </c>
    </row>
    <row r="36" spans="1:7" ht="15" customHeight="1" x14ac:dyDescent="0.25">
      <c r="A36" s="3" t="s">
        <v>6</v>
      </c>
      <c r="B36" s="5"/>
      <c r="C36" s="4" t="s">
        <v>710</v>
      </c>
      <c r="D36" s="3" t="s">
        <v>61</v>
      </c>
      <c r="F36" s="15">
        <f>B01企业金融!F30+B02金融市场!F30</f>
        <v>0</v>
      </c>
      <c r="G36" s="15">
        <f>B01企业金融!G30+B02金融市场!G30</f>
        <v>0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7221C-7EF2-4A23-ADF0-305DE797DFC4}">
  <dimension ref="A1:H204"/>
  <sheetViews>
    <sheetView workbookViewId="0">
      <pane xSplit="4" ySplit="1" topLeftCell="E173" activePane="bottomRight" state="frozen"/>
      <selection pane="topRight" activeCell="E1" sqref="E1"/>
      <selection pane="bottomLeft" activeCell="A2" sqref="A2"/>
      <selection pane="bottomRight" activeCell="H200" sqref="H200"/>
    </sheetView>
  </sheetViews>
  <sheetFormatPr defaultColWidth="8.6640625" defaultRowHeight="15" customHeight="1" x14ac:dyDescent="0.25"/>
  <cols>
    <col min="1" max="2" width="8.6640625" style="15"/>
    <col min="3" max="3" width="12.88671875" style="15" bestFit="1" customWidth="1"/>
    <col min="4" max="4" width="17.77734375" style="15" bestFit="1" customWidth="1"/>
    <col min="5" max="7" width="8.6640625" style="15"/>
    <col min="8" max="8" width="19.77734375" style="15" bestFit="1" customWidth="1"/>
    <col min="9" max="16384" width="8.6640625" style="15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ht="15" customHeight="1" x14ac:dyDescent="0.25">
      <c r="A2" s="3" t="s">
        <v>6</v>
      </c>
      <c r="B2" s="5" t="s">
        <v>1</v>
      </c>
      <c r="C2" s="4" t="s">
        <v>1781</v>
      </c>
      <c r="D2" s="3" t="s">
        <v>7</v>
      </c>
      <c r="F2" s="15">
        <f>F3+F6+F7</f>
        <v>0</v>
      </c>
      <c r="G2" s="15">
        <f>G3+G6+G7</f>
        <v>0</v>
      </c>
    </row>
    <row r="3" spans="1:8" ht="15" customHeight="1" x14ac:dyDescent="0.25">
      <c r="A3" s="5" t="s">
        <v>9</v>
      </c>
      <c r="B3" s="5" t="s">
        <v>1</v>
      </c>
      <c r="C3" s="4" t="s">
        <v>1782</v>
      </c>
      <c r="D3" s="5" t="s">
        <v>10</v>
      </c>
      <c r="F3" s="15">
        <f>F4+F5</f>
        <v>0</v>
      </c>
      <c r="G3" s="15">
        <f>G4+G5</f>
        <v>0</v>
      </c>
    </row>
    <row r="4" spans="1:8" ht="15" customHeight="1" x14ac:dyDescent="0.25">
      <c r="A4" s="5" t="s">
        <v>12</v>
      </c>
      <c r="B4" s="5" t="s">
        <v>1</v>
      </c>
      <c r="C4" s="7" t="s">
        <v>1783</v>
      </c>
      <c r="D4" s="5" t="s">
        <v>627</v>
      </c>
      <c r="F4" s="15">
        <f>F72-F114</f>
        <v>0</v>
      </c>
      <c r="G4" s="15">
        <f>G72-G114</f>
        <v>0</v>
      </c>
    </row>
    <row r="5" spans="1:8" ht="15" customHeight="1" x14ac:dyDescent="0.25">
      <c r="A5" s="5" t="s">
        <v>12</v>
      </c>
      <c r="B5" s="5" t="s">
        <v>1</v>
      </c>
      <c r="C5" s="7" t="s">
        <v>1784</v>
      </c>
      <c r="D5" s="5" t="s">
        <v>632</v>
      </c>
      <c r="F5" s="15">
        <f>F155-F138</f>
        <v>0</v>
      </c>
      <c r="G5" s="15">
        <f>G155-G138</f>
        <v>0</v>
      </c>
    </row>
    <row r="6" spans="1:8" ht="15" customHeight="1" x14ac:dyDescent="0.25">
      <c r="A6" s="5" t="s">
        <v>9</v>
      </c>
      <c r="B6" s="5" t="s">
        <v>1</v>
      </c>
      <c r="C6" s="4" t="s">
        <v>1785</v>
      </c>
      <c r="D6" s="5" t="s">
        <v>1174</v>
      </c>
      <c r="F6" s="15">
        <f>F170-F186</f>
        <v>0</v>
      </c>
      <c r="G6" s="15">
        <f>G170-G186</f>
        <v>0</v>
      </c>
    </row>
    <row r="7" spans="1:8" ht="15" customHeight="1" x14ac:dyDescent="0.25">
      <c r="A7" s="5" t="s">
        <v>9</v>
      </c>
      <c r="B7" s="5" t="s">
        <v>1</v>
      </c>
      <c r="C7" s="4" t="s">
        <v>1786</v>
      </c>
      <c r="D7" s="5" t="s">
        <v>23</v>
      </c>
      <c r="F7" s="15">
        <f>F199+F203</f>
        <v>0</v>
      </c>
      <c r="G7" s="15">
        <f>G199+G203</f>
        <v>0</v>
      </c>
    </row>
    <row r="8" spans="1:8" ht="15" customHeight="1" x14ac:dyDescent="0.25">
      <c r="A8" s="3" t="s">
        <v>6</v>
      </c>
      <c r="B8" s="5" t="s">
        <v>15</v>
      </c>
      <c r="C8" s="4" t="s">
        <v>1787</v>
      </c>
      <c r="D8" s="3" t="s">
        <v>641</v>
      </c>
    </row>
    <row r="9" spans="1:8" ht="15" customHeight="1" x14ac:dyDescent="0.25">
      <c r="A9" s="3" t="s">
        <v>6</v>
      </c>
      <c r="B9" s="5" t="s">
        <v>1</v>
      </c>
      <c r="C9" s="4" t="s">
        <v>1788</v>
      </c>
      <c r="D9" s="3" t="s">
        <v>35</v>
      </c>
      <c r="F9" s="15">
        <f>F2-F8</f>
        <v>0</v>
      </c>
      <c r="G9" s="15">
        <f>G2-G8</f>
        <v>0</v>
      </c>
    </row>
    <row r="10" spans="1:8" ht="15" customHeight="1" x14ac:dyDescent="0.25">
      <c r="A10" s="3" t="s">
        <v>6</v>
      </c>
      <c r="B10" s="5" t="s">
        <v>15</v>
      </c>
      <c r="C10" s="4" t="s">
        <v>1789</v>
      </c>
      <c r="D10" s="3" t="s">
        <v>37</v>
      </c>
    </row>
    <row r="11" spans="1:8" ht="15" customHeight="1" x14ac:dyDescent="0.25">
      <c r="A11" s="3" t="s">
        <v>6</v>
      </c>
      <c r="B11" s="5" t="s">
        <v>15</v>
      </c>
      <c r="C11" s="4" t="s">
        <v>1790</v>
      </c>
      <c r="D11" s="3" t="s">
        <v>645</v>
      </c>
      <c r="F11" s="15">
        <f>F12+F15+F18+F25+F26</f>
        <v>0</v>
      </c>
      <c r="G11" s="15">
        <f>G12+G15+G18+G25+G26</f>
        <v>0</v>
      </c>
    </row>
    <row r="12" spans="1:8" ht="15" customHeight="1" x14ac:dyDescent="0.25">
      <c r="A12" s="5" t="s">
        <v>9</v>
      </c>
      <c r="B12" s="5" t="s">
        <v>15</v>
      </c>
      <c r="C12" s="4" t="s">
        <v>1791</v>
      </c>
      <c r="D12" s="5" t="s">
        <v>647</v>
      </c>
      <c r="F12" s="15">
        <f>F13+F14</f>
        <v>0</v>
      </c>
      <c r="G12" s="15">
        <f>G13+G14</f>
        <v>0</v>
      </c>
    </row>
    <row r="13" spans="1:8" ht="15" customHeight="1" x14ac:dyDescent="0.25">
      <c r="A13" s="5" t="s">
        <v>12</v>
      </c>
      <c r="B13" s="5" t="s">
        <v>15</v>
      </c>
      <c r="C13" s="7" t="s">
        <v>1792</v>
      </c>
      <c r="D13" s="5" t="s">
        <v>43</v>
      </c>
    </row>
    <row r="14" spans="1:8" ht="15" customHeight="1" x14ac:dyDescent="0.25">
      <c r="A14" s="5" t="s">
        <v>12</v>
      </c>
      <c r="B14" s="5" t="s">
        <v>15</v>
      </c>
      <c r="C14" s="7" t="s">
        <v>1793</v>
      </c>
      <c r="D14" s="5" t="s">
        <v>650</v>
      </c>
    </row>
    <row r="15" spans="1:8" ht="15" customHeight="1" x14ac:dyDescent="0.25">
      <c r="A15" s="5" t="s">
        <v>9</v>
      </c>
      <c r="B15" s="5" t="s">
        <v>15</v>
      </c>
      <c r="C15" s="4" t="s">
        <v>1794</v>
      </c>
      <c r="D15" s="5" t="s">
        <v>49</v>
      </c>
      <c r="F15" s="15">
        <f>F16+F17</f>
        <v>0</v>
      </c>
      <c r="G15" s="15">
        <f>G16+G17</f>
        <v>0</v>
      </c>
    </row>
    <row r="16" spans="1:8" ht="15" customHeight="1" x14ac:dyDescent="0.25">
      <c r="A16" s="5" t="s">
        <v>12</v>
      </c>
      <c r="B16" s="5" t="s">
        <v>15</v>
      </c>
      <c r="C16" s="7" t="s">
        <v>1795</v>
      </c>
      <c r="D16" s="5" t="s">
        <v>51</v>
      </c>
    </row>
    <row r="17" spans="1:7" ht="15" customHeight="1" x14ac:dyDescent="0.25">
      <c r="A17" s="5" t="s">
        <v>12</v>
      </c>
      <c r="B17" s="5" t="s">
        <v>15</v>
      </c>
      <c r="C17" s="7" t="s">
        <v>1796</v>
      </c>
      <c r="D17" s="5" t="s">
        <v>53</v>
      </c>
    </row>
    <row r="18" spans="1:7" ht="15" customHeight="1" x14ac:dyDescent="0.25">
      <c r="A18" s="5" t="s">
        <v>9</v>
      </c>
      <c r="B18" s="5" t="s">
        <v>15</v>
      </c>
      <c r="C18" s="4" t="s">
        <v>1797</v>
      </c>
      <c r="D18" s="5" t="s">
        <v>55</v>
      </c>
      <c r="F18" s="15">
        <f>F19+F22+F23+F24</f>
        <v>0</v>
      </c>
      <c r="G18" s="15">
        <f>G19+G22+G23+G24</f>
        <v>0</v>
      </c>
    </row>
    <row r="19" spans="1:7" ht="15" customHeight="1" x14ac:dyDescent="0.25">
      <c r="A19" s="5" t="s">
        <v>12</v>
      </c>
      <c r="B19" s="5" t="s">
        <v>15</v>
      </c>
      <c r="C19" s="7" t="s">
        <v>1798</v>
      </c>
      <c r="D19" s="5" t="s">
        <v>656</v>
      </c>
      <c r="F19" s="15">
        <f>F20+F21</f>
        <v>0</v>
      </c>
      <c r="G19" s="15">
        <f>G20+G21</f>
        <v>0</v>
      </c>
    </row>
    <row r="20" spans="1:7" ht="15" customHeight="1" x14ac:dyDescent="0.25">
      <c r="A20" s="5" t="s">
        <v>74</v>
      </c>
      <c r="B20" s="5" t="s">
        <v>15</v>
      </c>
      <c r="C20" s="7" t="s">
        <v>1799</v>
      </c>
      <c r="D20" s="5" t="s">
        <v>658</v>
      </c>
    </row>
    <row r="21" spans="1:7" ht="15" customHeight="1" x14ac:dyDescent="0.25">
      <c r="A21" s="5" t="s">
        <v>74</v>
      </c>
      <c r="B21" s="5" t="s">
        <v>15</v>
      </c>
      <c r="C21" s="7" t="s">
        <v>1800</v>
      </c>
      <c r="D21" s="5" t="s">
        <v>660</v>
      </c>
    </row>
    <row r="22" spans="1:7" ht="15" customHeight="1" x14ac:dyDescent="0.25">
      <c r="A22" s="5" t="s">
        <v>12</v>
      </c>
      <c r="B22" s="5" t="s">
        <v>15</v>
      </c>
      <c r="C22" s="7" t="s">
        <v>1801</v>
      </c>
      <c r="D22" s="5" t="s">
        <v>662</v>
      </c>
    </row>
    <row r="23" spans="1:7" ht="15" customHeight="1" x14ac:dyDescent="0.25">
      <c r="A23" s="5" t="s">
        <v>12</v>
      </c>
      <c r="B23" s="5" t="s">
        <v>15</v>
      </c>
      <c r="C23" s="7" t="s">
        <v>1802</v>
      </c>
      <c r="D23" s="5" t="s">
        <v>664</v>
      </c>
    </row>
    <row r="24" spans="1:7" ht="15" customHeight="1" x14ac:dyDescent="0.25">
      <c r="A24" s="5" t="s">
        <v>12</v>
      </c>
      <c r="B24" s="5" t="s">
        <v>15</v>
      </c>
      <c r="C24" s="7" t="s">
        <v>1803</v>
      </c>
      <c r="D24" s="5" t="s">
        <v>666</v>
      </c>
    </row>
    <row r="25" spans="1:7" ht="15" customHeight="1" x14ac:dyDescent="0.25">
      <c r="A25" s="5" t="s">
        <v>9</v>
      </c>
      <c r="B25" s="5" t="s">
        <v>15</v>
      </c>
      <c r="C25" s="4" t="s">
        <v>1804</v>
      </c>
      <c r="D25" s="5" t="s">
        <v>668</v>
      </c>
    </row>
    <row r="26" spans="1:7" ht="15" customHeight="1" x14ac:dyDescent="0.25">
      <c r="A26" s="5" t="s">
        <v>9</v>
      </c>
      <c r="B26" s="5" t="s">
        <v>15</v>
      </c>
      <c r="C26" s="4" t="s">
        <v>1805</v>
      </c>
      <c r="D26" s="5" t="s">
        <v>57</v>
      </c>
    </row>
    <row r="27" spans="1:7" ht="15" customHeight="1" x14ac:dyDescent="0.25">
      <c r="A27" s="3" t="s">
        <v>6</v>
      </c>
      <c r="B27" s="5" t="s">
        <v>1</v>
      </c>
      <c r="C27" s="4" t="s">
        <v>1806</v>
      </c>
      <c r="D27" s="3" t="s">
        <v>59</v>
      </c>
    </row>
    <row r="28" spans="1:7" ht="15" customHeight="1" x14ac:dyDescent="0.25">
      <c r="A28" s="3" t="s">
        <v>6</v>
      </c>
      <c r="B28" s="5" t="s">
        <v>517</v>
      </c>
      <c r="C28" s="4" t="s">
        <v>1807</v>
      </c>
      <c r="D28" s="3" t="s">
        <v>672</v>
      </c>
      <c r="F28" s="15">
        <f>F9-F10-F11+F27</f>
        <v>0</v>
      </c>
      <c r="G28" s="15">
        <f>G9-G10-G11+G27</f>
        <v>0</v>
      </c>
    </row>
    <row r="29" spans="1:7" ht="15" customHeight="1" x14ac:dyDescent="0.25">
      <c r="A29" s="3" t="s">
        <v>6</v>
      </c>
      <c r="B29" s="5" t="s">
        <v>15</v>
      </c>
      <c r="C29" s="4" t="s">
        <v>1808</v>
      </c>
      <c r="D29" s="3" t="s">
        <v>674</v>
      </c>
    </row>
    <row r="30" spans="1:7" ht="15" customHeight="1" x14ac:dyDescent="0.25">
      <c r="A30" s="3" t="s">
        <v>6</v>
      </c>
      <c r="B30" s="5" t="s">
        <v>517</v>
      </c>
      <c r="C30" s="4" t="s">
        <v>1809</v>
      </c>
      <c r="D30" s="3" t="s">
        <v>61</v>
      </c>
      <c r="F30" s="15">
        <f>F28-F29</f>
        <v>0</v>
      </c>
      <c r="G30" s="15">
        <f>G28-G29</f>
        <v>0</v>
      </c>
    </row>
    <row r="31" spans="1:7" ht="15" customHeight="1" x14ac:dyDescent="0.25">
      <c r="A31" s="14"/>
      <c r="B31" s="14"/>
      <c r="C31" s="14"/>
      <c r="D31" s="14"/>
    </row>
    <row r="32" spans="1:7" ht="15" customHeight="1" x14ac:dyDescent="0.25">
      <c r="A32" s="3" t="s">
        <v>6</v>
      </c>
      <c r="B32" s="3" t="s">
        <v>67</v>
      </c>
      <c r="C32" s="13" t="s">
        <v>1810</v>
      </c>
      <c r="D32" s="13" t="s">
        <v>851</v>
      </c>
      <c r="F32" s="15">
        <f>F33+F40+F41+F45</f>
        <v>0</v>
      </c>
      <c r="G32" s="15">
        <f>G33+G40+G41+G45</f>
        <v>0</v>
      </c>
    </row>
    <row r="33" spans="1:7" ht="15" customHeight="1" x14ac:dyDescent="0.25">
      <c r="A33" s="5" t="s">
        <v>9</v>
      </c>
      <c r="B33" s="3" t="s">
        <v>67</v>
      </c>
      <c r="C33" s="14" t="s">
        <v>1811</v>
      </c>
      <c r="D33" s="14" t="s">
        <v>1216</v>
      </c>
      <c r="F33" s="15">
        <f>F34+F37</f>
        <v>0</v>
      </c>
      <c r="G33" s="15">
        <f>G34+G37</f>
        <v>0</v>
      </c>
    </row>
    <row r="34" spans="1:7" ht="15" customHeight="1" x14ac:dyDescent="0.25">
      <c r="A34" s="5" t="s">
        <v>12</v>
      </c>
      <c r="B34" s="3" t="s">
        <v>67</v>
      </c>
      <c r="C34" s="14" t="s">
        <v>1818</v>
      </c>
      <c r="D34" s="14" t="s">
        <v>142</v>
      </c>
      <c r="F34" s="15">
        <f>F35+F36</f>
        <v>0</v>
      </c>
      <c r="G34" s="15">
        <f>G35+G36</f>
        <v>0</v>
      </c>
    </row>
    <row r="35" spans="1:7" ht="15" customHeight="1" x14ac:dyDescent="0.25">
      <c r="A35" s="5" t="s">
        <v>74</v>
      </c>
      <c r="B35" s="3" t="s">
        <v>280</v>
      </c>
      <c r="C35" s="14" t="s">
        <v>1848</v>
      </c>
      <c r="D35" s="14" t="s">
        <v>1846</v>
      </c>
    </row>
    <row r="36" spans="1:7" ht="15" customHeight="1" x14ac:dyDescent="0.25">
      <c r="A36" s="5" t="s">
        <v>74</v>
      </c>
      <c r="B36" s="3" t="s">
        <v>280</v>
      </c>
      <c r="C36" s="14" t="s">
        <v>1849</v>
      </c>
      <c r="D36" s="14" t="s">
        <v>1847</v>
      </c>
    </row>
    <row r="37" spans="1:7" ht="15" customHeight="1" x14ac:dyDescent="0.25">
      <c r="A37" s="5" t="s">
        <v>12</v>
      </c>
      <c r="B37" s="3" t="s">
        <v>67</v>
      </c>
      <c r="C37" s="14" t="s">
        <v>1819</v>
      </c>
      <c r="D37" s="14" t="s">
        <v>2125</v>
      </c>
      <c r="F37" s="15">
        <f>F38+F39</f>
        <v>0</v>
      </c>
      <c r="G37" s="15">
        <f>G38+G39</f>
        <v>0</v>
      </c>
    </row>
    <row r="38" spans="1:7" ht="15" customHeight="1" x14ac:dyDescent="0.25">
      <c r="A38" s="5" t="s">
        <v>74</v>
      </c>
      <c r="B38" s="3" t="s">
        <v>280</v>
      </c>
      <c r="C38" s="14" t="s">
        <v>2123</v>
      </c>
      <c r="D38" s="14" t="s">
        <v>269</v>
      </c>
    </row>
    <row r="39" spans="1:7" ht="15" customHeight="1" x14ac:dyDescent="0.25">
      <c r="A39" s="5" t="s">
        <v>74</v>
      </c>
      <c r="B39" s="3" t="s">
        <v>280</v>
      </c>
      <c r="C39" s="14" t="s">
        <v>2124</v>
      </c>
      <c r="D39" s="14" t="s">
        <v>271</v>
      </c>
    </row>
    <row r="40" spans="1:7" ht="15" customHeight="1" x14ac:dyDescent="0.25">
      <c r="A40" s="5" t="s">
        <v>9</v>
      </c>
      <c r="B40" s="3" t="s">
        <v>67</v>
      </c>
      <c r="C40" s="14" t="s">
        <v>1812</v>
      </c>
      <c r="D40" s="14" t="s">
        <v>853</v>
      </c>
    </row>
    <row r="41" spans="1:7" ht="15" customHeight="1" x14ac:dyDescent="0.25">
      <c r="A41" s="5" t="s">
        <v>9</v>
      </c>
      <c r="B41" s="3" t="s">
        <v>67</v>
      </c>
      <c r="C41" s="14" t="s">
        <v>1813</v>
      </c>
      <c r="D41" s="14" t="s">
        <v>854</v>
      </c>
      <c r="F41" s="15">
        <f>F42+F43+F44</f>
        <v>0</v>
      </c>
      <c r="G41" s="15">
        <f>G42+G43+G44</f>
        <v>0</v>
      </c>
    </row>
    <row r="42" spans="1:7" ht="15" customHeight="1" x14ac:dyDescent="0.25">
      <c r="A42" s="14" t="s">
        <v>12</v>
      </c>
      <c r="B42" s="3" t="s">
        <v>67</v>
      </c>
      <c r="C42" s="14" t="s">
        <v>1814</v>
      </c>
      <c r="D42" s="14" t="s">
        <v>909</v>
      </c>
    </row>
    <row r="43" spans="1:7" ht="15" customHeight="1" x14ac:dyDescent="0.25">
      <c r="A43" s="14" t="s">
        <v>12</v>
      </c>
      <c r="B43" s="3" t="s">
        <v>67</v>
      </c>
      <c r="C43" s="14" t="s">
        <v>1815</v>
      </c>
      <c r="D43" s="14" t="s">
        <v>910</v>
      </c>
    </row>
    <row r="44" spans="1:7" ht="15" customHeight="1" x14ac:dyDescent="0.25">
      <c r="A44" s="14" t="s">
        <v>12</v>
      </c>
      <c r="B44" s="3" t="s">
        <v>67</v>
      </c>
      <c r="C44" s="14" t="s">
        <v>1816</v>
      </c>
      <c r="D44" s="14" t="s">
        <v>911</v>
      </c>
    </row>
    <row r="45" spans="1:7" ht="15" customHeight="1" x14ac:dyDescent="0.25">
      <c r="A45" s="14" t="s">
        <v>9</v>
      </c>
      <c r="B45" s="3" t="s">
        <v>67</v>
      </c>
      <c r="C45" s="14" t="s">
        <v>1817</v>
      </c>
      <c r="D45" s="14" t="s">
        <v>912</v>
      </c>
    </row>
    <row r="46" spans="1:7" ht="15" customHeight="1" x14ac:dyDescent="0.25">
      <c r="A46" s="3" t="s">
        <v>6</v>
      </c>
      <c r="B46" s="3" t="s">
        <v>521</v>
      </c>
      <c r="C46" s="13" t="s">
        <v>1820</v>
      </c>
      <c r="D46" s="13" t="s">
        <v>855</v>
      </c>
      <c r="F46" s="15">
        <f>F47+F54+F55+F59</f>
        <v>0</v>
      </c>
      <c r="G46" s="15">
        <f>G47+G54+G55+G59</f>
        <v>0</v>
      </c>
    </row>
    <row r="47" spans="1:7" ht="15" customHeight="1" x14ac:dyDescent="0.25">
      <c r="A47" s="5" t="s">
        <v>9</v>
      </c>
      <c r="B47" s="3" t="s">
        <v>521</v>
      </c>
      <c r="C47" s="14" t="s">
        <v>1821</v>
      </c>
      <c r="D47" s="14" t="s">
        <v>852</v>
      </c>
      <c r="F47" s="15">
        <f>F48+F51</f>
        <v>0</v>
      </c>
      <c r="G47" s="15">
        <f>G48+G51</f>
        <v>0</v>
      </c>
    </row>
    <row r="48" spans="1:7" ht="15" customHeight="1" x14ac:dyDescent="0.25">
      <c r="A48" s="5" t="s">
        <v>12</v>
      </c>
      <c r="B48" s="3" t="s">
        <v>521</v>
      </c>
      <c r="C48" s="14" t="s">
        <v>1828</v>
      </c>
      <c r="D48" s="14" t="s">
        <v>142</v>
      </c>
      <c r="F48" s="15">
        <f>F49+F50</f>
        <v>0</v>
      </c>
      <c r="G48" s="15">
        <f>G49+G50</f>
        <v>0</v>
      </c>
    </row>
    <row r="49" spans="1:7" ht="15" customHeight="1" x14ac:dyDescent="0.25">
      <c r="A49" s="5" t="s">
        <v>74</v>
      </c>
      <c r="B49" s="3" t="s">
        <v>377</v>
      </c>
      <c r="C49" s="14" t="s">
        <v>1850</v>
      </c>
      <c r="D49" s="14" t="s">
        <v>1846</v>
      </c>
    </row>
    <row r="50" spans="1:7" ht="15" customHeight="1" x14ac:dyDescent="0.25">
      <c r="A50" s="5" t="s">
        <v>74</v>
      </c>
      <c r="B50" s="3" t="s">
        <v>377</v>
      </c>
      <c r="C50" s="14" t="s">
        <v>1851</v>
      </c>
      <c r="D50" s="14" t="s">
        <v>1847</v>
      </c>
    </row>
    <row r="51" spans="1:7" ht="15" customHeight="1" x14ac:dyDescent="0.25">
      <c r="A51" s="5" t="s">
        <v>12</v>
      </c>
      <c r="B51" s="3" t="s">
        <v>521</v>
      </c>
      <c r="C51" s="14" t="s">
        <v>1829</v>
      </c>
      <c r="D51" s="14" t="s">
        <v>2125</v>
      </c>
      <c r="F51" s="15">
        <f>F52+F53</f>
        <v>0</v>
      </c>
      <c r="G51" s="15">
        <f>G52+G53</f>
        <v>0</v>
      </c>
    </row>
    <row r="52" spans="1:7" ht="15" customHeight="1" x14ac:dyDescent="0.25">
      <c r="A52" s="5" t="s">
        <v>12</v>
      </c>
      <c r="B52" s="3" t="s">
        <v>377</v>
      </c>
      <c r="C52" s="14" t="s">
        <v>2127</v>
      </c>
      <c r="D52" s="14" t="s">
        <v>269</v>
      </c>
    </row>
    <row r="53" spans="1:7" ht="15" customHeight="1" x14ac:dyDescent="0.25">
      <c r="A53" s="5" t="s">
        <v>12</v>
      </c>
      <c r="B53" s="3" t="s">
        <v>377</v>
      </c>
      <c r="C53" s="14" t="s">
        <v>2128</v>
      </c>
      <c r="D53" s="14" t="s">
        <v>271</v>
      </c>
    </row>
    <row r="54" spans="1:7" ht="15" customHeight="1" x14ac:dyDescent="0.25">
      <c r="A54" s="5" t="s">
        <v>9</v>
      </c>
      <c r="B54" s="3" t="s">
        <v>521</v>
      </c>
      <c r="C54" s="14" t="s">
        <v>1822</v>
      </c>
      <c r="D54" s="14" t="s">
        <v>853</v>
      </c>
    </row>
    <row r="55" spans="1:7" ht="15" customHeight="1" x14ac:dyDescent="0.25">
      <c r="A55" s="5" t="s">
        <v>9</v>
      </c>
      <c r="B55" s="3" t="s">
        <v>521</v>
      </c>
      <c r="C55" s="14" t="s">
        <v>1823</v>
      </c>
      <c r="D55" s="14" t="s">
        <v>854</v>
      </c>
      <c r="F55" s="15">
        <f>F56+F57+F58</f>
        <v>0</v>
      </c>
      <c r="G55" s="15">
        <f>G56+G57+G58</f>
        <v>0</v>
      </c>
    </row>
    <row r="56" spans="1:7" ht="15" customHeight="1" x14ac:dyDescent="0.25">
      <c r="A56" s="14" t="s">
        <v>12</v>
      </c>
      <c r="B56" s="3" t="s">
        <v>521</v>
      </c>
      <c r="C56" s="14" t="s">
        <v>1824</v>
      </c>
      <c r="D56" s="14" t="s">
        <v>909</v>
      </c>
    </row>
    <row r="57" spans="1:7" ht="15" customHeight="1" x14ac:dyDescent="0.25">
      <c r="A57" s="14" t="s">
        <v>12</v>
      </c>
      <c r="B57" s="3" t="s">
        <v>521</v>
      </c>
      <c r="C57" s="14" t="s">
        <v>1825</v>
      </c>
      <c r="D57" s="14" t="s">
        <v>910</v>
      </c>
    </row>
    <row r="58" spans="1:7" ht="15" customHeight="1" x14ac:dyDescent="0.25">
      <c r="A58" s="14" t="s">
        <v>12</v>
      </c>
      <c r="B58" s="3" t="s">
        <v>521</v>
      </c>
      <c r="C58" s="14" t="s">
        <v>1826</v>
      </c>
      <c r="D58" s="14" t="s">
        <v>911</v>
      </c>
    </row>
    <row r="59" spans="1:7" ht="15" customHeight="1" x14ac:dyDescent="0.25">
      <c r="A59" s="14" t="s">
        <v>9</v>
      </c>
      <c r="B59" s="3" t="s">
        <v>521</v>
      </c>
      <c r="C59" s="14" t="s">
        <v>1827</v>
      </c>
      <c r="D59" s="14" t="s">
        <v>912</v>
      </c>
    </row>
    <row r="60" spans="1:7" ht="15" customHeight="1" x14ac:dyDescent="0.25">
      <c r="A60" s="14"/>
      <c r="B60" s="3"/>
      <c r="C60" s="14"/>
      <c r="D60" s="14"/>
    </row>
    <row r="61" spans="1:7" ht="15" customHeight="1" x14ac:dyDescent="0.25">
      <c r="A61" s="5" t="s">
        <v>6</v>
      </c>
      <c r="B61" s="5" t="s">
        <v>111</v>
      </c>
      <c r="C61" s="14" t="s">
        <v>2000</v>
      </c>
      <c r="D61" s="14" t="s">
        <v>887</v>
      </c>
      <c r="F61" s="15">
        <f>F62+F65</f>
        <v>0</v>
      </c>
      <c r="G61" s="15">
        <f>G62+G65</f>
        <v>0</v>
      </c>
    </row>
    <row r="62" spans="1:7" ht="15" customHeight="1" x14ac:dyDescent="0.25">
      <c r="A62" s="5" t="s">
        <v>9</v>
      </c>
      <c r="B62" s="5" t="s">
        <v>111</v>
      </c>
      <c r="C62" s="14" t="s">
        <v>2001</v>
      </c>
      <c r="D62" s="14" t="s">
        <v>1985</v>
      </c>
      <c r="F62" s="15">
        <f>F63+F64</f>
        <v>0</v>
      </c>
      <c r="G62" s="15">
        <f>G63+G64</f>
        <v>0</v>
      </c>
    </row>
    <row r="63" spans="1:7" ht="15" customHeight="1" x14ac:dyDescent="0.25">
      <c r="A63" s="5" t="s">
        <v>12</v>
      </c>
      <c r="B63" s="5" t="s">
        <v>111</v>
      </c>
      <c r="C63" s="14" t="s">
        <v>2009</v>
      </c>
      <c r="D63" s="14" t="s">
        <v>2013</v>
      </c>
    </row>
    <row r="64" spans="1:7" ht="15" customHeight="1" x14ac:dyDescent="0.25">
      <c r="A64" s="5" t="s">
        <v>12</v>
      </c>
      <c r="B64" s="5" t="s">
        <v>111</v>
      </c>
      <c r="C64" s="14" t="s">
        <v>2010</v>
      </c>
      <c r="D64" s="14" t="s">
        <v>2008</v>
      </c>
    </row>
    <row r="65" spans="1:8" ht="15" customHeight="1" x14ac:dyDescent="0.25">
      <c r="A65" s="5" t="s">
        <v>9</v>
      </c>
      <c r="B65" s="5" t="s">
        <v>111</v>
      </c>
      <c r="C65" s="14" t="s">
        <v>2005</v>
      </c>
      <c r="D65" s="14" t="s">
        <v>2004</v>
      </c>
    </row>
    <row r="66" spans="1:8" ht="15" customHeight="1" x14ac:dyDescent="0.25">
      <c r="A66" s="5" t="s">
        <v>6</v>
      </c>
      <c r="B66" s="5" t="s">
        <v>111</v>
      </c>
      <c r="C66" s="14" t="s">
        <v>2002</v>
      </c>
      <c r="D66" s="14" t="s">
        <v>893</v>
      </c>
      <c r="F66" s="15">
        <f>F67+F70</f>
        <v>0</v>
      </c>
      <c r="G66" s="15">
        <f>G67+G70</f>
        <v>0</v>
      </c>
    </row>
    <row r="67" spans="1:8" ht="15" customHeight="1" x14ac:dyDescent="0.25">
      <c r="A67" s="5" t="s">
        <v>9</v>
      </c>
      <c r="B67" s="5" t="s">
        <v>539</v>
      </c>
      <c r="C67" s="14" t="s">
        <v>2003</v>
      </c>
      <c r="D67" s="14" t="s">
        <v>1986</v>
      </c>
      <c r="F67" s="15">
        <f>F68+F69</f>
        <v>0</v>
      </c>
      <c r="G67" s="15">
        <f>G68+G69</f>
        <v>0</v>
      </c>
    </row>
    <row r="68" spans="1:8" ht="15" customHeight="1" x14ac:dyDescent="0.25">
      <c r="A68" s="5" t="s">
        <v>12</v>
      </c>
      <c r="B68" s="5" t="s">
        <v>539</v>
      </c>
      <c r="C68" s="14" t="s">
        <v>2011</v>
      </c>
      <c r="D68" s="14" t="s">
        <v>2013</v>
      </c>
    </row>
    <row r="69" spans="1:8" ht="15" customHeight="1" x14ac:dyDescent="0.25">
      <c r="A69" s="5" t="s">
        <v>12</v>
      </c>
      <c r="B69" s="5" t="s">
        <v>539</v>
      </c>
      <c r="C69" s="14" t="s">
        <v>2012</v>
      </c>
      <c r="D69" s="14" t="s">
        <v>2008</v>
      </c>
    </row>
    <row r="70" spans="1:8" ht="15" customHeight="1" x14ac:dyDescent="0.25">
      <c r="A70" s="5" t="s">
        <v>9</v>
      </c>
      <c r="B70" s="5" t="s">
        <v>539</v>
      </c>
      <c r="C70" s="14" t="s">
        <v>2006</v>
      </c>
      <c r="D70" s="14" t="s">
        <v>2007</v>
      </c>
    </row>
    <row r="71" spans="1:8" ht="15" customHeight="1" x14ac:dyDescent="0.25">
      <c r="A71" s="14"/>
      <c r="B71" s="3"/>
      <c r="C71" s="14"/>
      <c r="D71" s="14"/>
    </row>
    <row r="72" spans="1:8" ht="15" customHeight="1" x14ac:dyDescent="0.25">
      <c r="A72" s="3" t="s">
        <v>6</v>
      </c>
      <c r="B72" s="3" t="s">
        <v>1</v>
      </c>
      <c r="C72" s="13" t="s">
        <v>1830</v>
      </c>
      <c r="D72" s="13" t="s">
        <v>1176</v>
      </c>
      <c r="E72" s="19"/>
      <c r="F72" s="19">
        <f>F73+F98+F108</f>
        <v>0</v>
      </c>
      <c r="G72" s="19">
        <f>G73+G98+G108</f>
        <v>0</v>
      </c>
      <c r="H72" s="19"/>
    </row>
    <row r="73" spans="1:8" ht="15" customHeight="1" x14ac:dyDescent="0.25">
      <c r="A73" s="3" t="s">
        <v>9</v>
      </c>
      <c r="B73" s="3" t="s">
        <v>1</v>
      </c>
      <c r="C73" s="13" t="s">
        <v>1831</v>
      </c>
      <c r="D73" s="13" t="s">
        <v>1182</v>
      </c>
      <c r="E73" s="19"/>
      <c r="F73" s="19">
        <f>F76+F93+F95</f>
        <v>0</v>
      </c>
      <c r="G73" s="19">
        <f>G76+G93+G95</f>
        <v>0</v>
      </c>
      <c r="H73" s="19"/>
    </row>
    <row r="74" spans="1:8" ht="15" customHeight="1" x14ac:dyDescent="0.25">
      <c r="A74" s="5" t="s">
        <v>12</v>
      </c>
      <c r="B74" s="5" t="s">
        <v>518</v>
      </c>
      <c r="C74" s="14" t="s">
        <v>1837</v>
      </c>
      <c r="D74" s="14" t="s">
        <v>1835</v>
      </c>
      <c r="F74" s="15" t="e">
        <f>F73/F47</f>
        <v>#DIV/0!</v>
      </c>
      <c r="G74" s="15" t="e">
        <f>G73/G47</f>
        <v>#DIV/0!</v>
      </c>
      <c r="H74" s="15" t="s">
        <v>1163</v>
      </c>
    </row>
    <row r="75" spans="1:8" ht="15" customHeight="1" x14ac:dyDescent="0.25">
      <c r="A75" s="5" t="s">
        <v>12</v>
      </c>
      <c r="B75" s="5" t="s">
        <v>518</v>
      </c>
      <c r="C75" s="14" t="s">
        <v>1838</v>
      </c>
      <c r="D75" s="14" t="s">
        <v>1836</v>
      </c>
      <c r="F75" s="15" t="e">
        <f>(F73-F83-F84-F85-F90-F91-F92)/F47</f>
        <v>#DIV/0!</v>
      </c>
      <c r="G75" s="15" t="e">
        <f>(G73-G83-G84-G85-G90-G91-G92)/G47</f>
        <v>#DIV/0!</v>
      </c>
      <c r="H75" s="15" t="s">
        <v>1163</v>
      </c>
    </row>
    <row r="76" spans="1:8" ht="15" customHeight="1" x14ac:dyDescent="0.25">
      <c r="A76" s="21" t="s">
        <v>12</v>
      </c>
      <c r="B76" s="21" t="s">
        <v>1</v>
      </c>
      <c r="C76" s="16" t="s">
        <v>1839</v>
      </c>
      <c r="D76" s="16" t="s">
        <v>1832</v>
      </c>
      <c r="E76" s="22"/>
      <c r="F76" s="22">
        <f>F79+F86</f>
        <v>0</v>
      </c>
      <c r="G76" s="22">
        <f>G79+G86</f>
        <v>0</v>
      </c>
      <c r="H76" s="22"/>
    </row>
    <row r="77" spans="1:8" ht="15" customHeight="1" x14ac:dyDescent="0.25">
      <c r="A77" s="27" t="s">
        <v>74</v>
      </c>
      <c r="B77" s="27" t="s">
        <v>518</v>
      </c>
      <c r="C77" s="28" t="s">
        <v>1854</v>
      </c>
      <c r="D77" s="28" t="s">
        <v>1852</v>
      </c>
      <c r="E77" s="29"/>
      <c r="F77" s="29" t="e">
        <f>F76/F48</f>
        <v>#DIV/0!</v>
      </c>
      <c r="G77" s="29" t="e">
        <f>G76/G48</f>
        <v>#DIV/0!</v>
      </c>
      <c r="H77" s="29" t="s">
        <v>1376</v>
      </c>
    </row>
    <row r="78" spans="1:8" ht="15" customHeight="1" x14ac:dyDescent="0.25">
      <c r="A78" s="27" t="s">
        <v>74</v>
      </c>
      <c r="B78" s="27" t="s">
        <v>518</v>
      </c>
      <c r="C78" s="28" t="s">
        <v>1855</v>
      </c>
      <c r="D78" s="28" t="s">
        <v>1853</v>
      </c>
      <c r="E78" s="29"/>
      <c r="F78" s="29" t="e">
        <f>(F76-F83-F84-F85)/F48</f>
        <v>#DIV/0!</v>
      </c>
      <c r="G78" s="29" t="e">
        <f>(G76-G83-G84-G85)/G48</f>
        <v>#DIV/0!</v>
      </c>
      <c r="H78" s="29" t="s">
        <v>1376</v>
      </c>
    </row>
    <row r="79" spans="1:8" ht="15" customHeight="1" x14ac:dyDescent="0.25">
      <c r="A79" s="27" t="s">
        <v>74</v>
      </c>
      <c r="B79" s="27" t="s">
        <v>1</v>
      </c>
      <c r="C79" s="28" t="s">
        <v>1865</v>
      </c>
      <c r="D79" s="28" t="s">
        <v>1856</v>
      </c>
      <c r="E79" s="29"/>
      <c r="F79" s="29"/>
      <c r="G79" s="29">
        <f>G81+G83+G84+G85</f>
        <v>0</v>
      </c>
      <c r="H79" s="29"/>
    </row>
    <row r="80" spans="1:8" ht="15" customHeight="1" x14ac:dyDescent="0.25">
      <c r="A80" s="5" t="s">
        <v>1395</v>
      </c>
      <c r="B80" s="5" t="s">
        <v>518</v>
      </c>
      <c r="C80" s="14" t="s">
        <v>1867</v>
      </c>
      <c r="D80" s="14" t="s">
        <v>1857</v>
      </c>
      <c r="F80" s="15" t="e">
        <f>F79/F49</f>
        <v>#DIV/0!</v>
      </c>
      <c r="G80" s="15" t="e">
        <f>G79/G49</f>
        <v>#DIV/0!</v>
      </c>
      <c r="H80" s="15" t="s">
        <v>1163</v>
      </c>
    </row>
    <row r="81" spans="1:8" ht="15" customHeight="1" x14ac:dyDescent="0.25">
      <c r="A81" s="5" t="s">
        <v>1395</v>
      </c>
      <c r="B81" s="5" t="s">
        <v>1</v>
      </c>
      <c r="C81" s="14" t="s">
        <v>1868</v>
      </c>
      <c r="D81" s="14" t="s">
        <v>1877</v>
      </c>
      <c r="F81" s="15">
        <f>F79-F83-F84-F85</f>
        <v>0</v>
      </c>
      <c r="G81" s="15">
        <f>G49*G82</f>
        <v>0</v>
      </c>
      <c r="H81" s="15" t="s">
        <v>1167</v>
      </c>
    </row>
    <row r="82" spans="1:8" ht="15" customHeight="1" x14ac:dyDescent="0.25">
      <c r="A82" s="5" t="s">
        <v>1395</v>
      </c>
      <c r="B82" s="5" t="s">
        <v>518</v>
      </c>
      <c r="C82" s="14" t="s">
        <v>1869</v>
      </c>
      <c r="D82" s="14" t="s">
        <v>1858</v>
      </c>
      <c r="F82" s="15" t="e">
        <f>F81/F49</f>
        <v>#DIV/0!</v>
      </c>
    </row>
    <row r="83" spans="1:8" ht="15" customHeight="1" x14ac:dyDescent="0.25">
      <c r="A83" s="5" t="s">
        <v>1395</v>
      </c>
      <c r="B83" s="5" t="s">
        <v>1</v>
      </c>
      <c r="C83" s="14" t="s">
        <v>1870</v>
      </c>
      <c r="D83" s="14" t="s">
        <v>1859</v>
      </c>
    </row>
    <row r="84" spans="1:8" ht="15" customHeight="1" x14ac:dyDescent="0.25">
      <c r="A84" s="5" t="s">
        <v>1395</v>
      </c>
      <c r="B84" s="5" t="s">
        <v>1</v>
      </c>
      <c r="C84" s="14" t="s">
        <v>1871</v>
      </c>
      <c r="D84" s="14" t="s">
        <v>1860</v>
      </c>
    </row>
    <row r="85" spans="1:8" ht="15" customHeight="1" x14ac:dyDescent="0.25">
      <c r="A85" s="5" t="s">
        <v>1395</v>
      </c>
      <c r="B85" s="5" t="s">
        <v>1</v>
      </c>
      <c r="C85" s="14" t="s">
        <v>1878</v>
      </c>
      <c r="D85" s="14" t="s">
        <v>1861</v>
      </c>
    </row>
    <row r="86" spans="1:8" ht="15" customHeight="1" x14ac:dyDescent="0.25">
      <c r="A86" s="27" t="s">
        <v>74</v>
      </c>
      <c r="B86" s="27" t="s">
        <v>1</v>
      </c>
      <c r="C86" s="28" t="s">
        <v>1866</v>
      </c>
      <c r="D86" s="28" t="s">
        <v>1862</v>
      </c>
      <c r="E86" s="29"/>
      <c r="F86" s="29"/>
      <c r="G86" s="29">
        <f>G88+G90+G91+G92</f>
        <v>0</v>
      </c>
      <c r="H86" s="29"/>
    </row>
    <row r="87" spans="1:8" ht="15" customHeight="1" x14ac:dyDescent="0.25">
      <c r="A87" s="5" t="s">
        <v>1395</v>
      </c>
      <c r="B87" s="5" t="s">
        <v>518</v>
      </c>
      <c r="C87" s="14" t="s">
        <v>1872</v>
      </c>
      <c r="D87" s="14" t="s">
        <v>1863</v>
      </c>
      <c r="F87" s="15" t="e">
        <f>F86/F50</f>
        <v>#DIV/0!</v>
      </c>
      <c r="G87" s="15" t="e">
        <f>G86/G50</f>
        <v>#DIV/0!</v>
      </c>
      <c r="H87" s="15" t="s">
        <v>1163</v>
      </c>
    </row>
    <row r="88" spans="1:8" ht="15" customHeight="1" x14ac:dyDescent="0.25">
      <c r="A88" s="5" t="s">
        <v>1395</v>
      </c>
      <c r="B88" s="5" t="s">
        <v>1</v>
      </c>
      <c r="C88" s="14" t="s">
        <v>1873</v>
      </c>
      <c r="D88" s="14" t="s">
        <v>1880</v>
      </c>
      <c r="F88" s="15">
        <f>F86-F90-F91-F92</f>
        <v>0</v>
      </c>
      <c r="G88" s="15">
        <f>G50*G89</f>
        <v>0</v>
      </c>
      <c r="H88" s="15" t="s">
        <v>1167</v>
      </c>
    </row>
    <row r="89" spans="1:8" ht="15" customHeight="1" x14ac:dyDescent="0.25">
      <c r="A89" s="5" t="s">
        <v>1395</v>
      </c>
      <c r="B89" s="5" t="s">
        <v>518</v>
      </c>
      <c r="C89" s="14" t="s">
        <v>1874</v>
      </c>
      <c r="D89" s="14" t="s">
        <v>1864</v>
      </c>
      <c r="F89" s="15" t="e">
        <f>F88/F50</f>
        <v>#DIV/0!</v>
      </c>
      <c r="H89" s="15" t="s">
        <v>1163</v>
      </c>
    </row>
    <row r="90" spans="1:8" ht="15" customHeight="1" x14ac:dyDescent="0.25">
      <c r="A90" s="5" t="s">
        <v>1395</v>
      </c>
      <c r="B90" s="5" t="s">
        <v>1</v>
      </c>
      <c r="C90" s="14" t="s">
        <v>1875</v>
      </c>
      <c r="D90" s="14" t="s">
        <v>1859</v>
      </c>
    </row>
    <row r="91" spans="1:8" ht="15" customHeight="1" x14ac:dyDescent="0.25">
      <c r="A91" s="5" t="s">
        <v>1395</v>
      </c>
      <c r="B91" s="5" t="s">
        <v>1</v>
      </c>
      <c r="C91" s="14" t="s">
        <v>1876</v>
      </c>
      <c r="D91" s="14" t="s">
        <v>1860</v>
      </c>
    </row>
    <row r="92" spans="1:8" ht="15" customHeight="1" x14ac:dyDescent="0.25">
      <c r="A92" s="5" t="s">
        <v>1395</v>
      </c>
      <c r="B92" s="5" t="s">
        <v>1</v>
      </c>
      <c r="C92" s="14" t="s">
        <v>1879</v>
      </c>
      <c r="D92" s="14" t="s">
        <v>1861</v>
      </c>
    </row>
    <row r="93" spans="1:8" ht="15" customHeight="1" x14ac:dyDescent="0.25">
      <c r="A93" s="21" t="s">
        <v>12</v>
      </c>
      <c r="B93" s="21" t="s">
        <v>1</v>
      </c>
      <c r="C93" s="16" t="s">
        <v>1840</v>
      </c>
      <c r="D93" s="16" t="s">
        <v>1833</v>
      </c>
      <c r="E93" s="22"/>
      <c r="F93" s="22"/>
      <c r="G93" s="22">
        <f>G52*G94</f>
        <v>0</v>
      </c>
      <c r="H93" s="22" t="s">
        <v>1164</v>
      </c>
    </row>
    <row r="94" spans="1:8" ht="15" customHeight="1" x14ac:dyDescent="0.25">
      <c r="A94" s="5" t="s">
        <v>74</v>
      </c>
      <c r="B94" s="5" t="s">
        <v>518</v>
      </c>
      <c r="C94" s="14" t="s">
        <v>1844</v>
      </c>
      <c r="D94" s="14" t="s">
        <v>1842</v>
      </c>
      <c r="F94" s="15" t="e">
        <f>F93/F52</f>
        <v>#DIV/0!</v>
      </c>
      <c r="H94" s="15" t="s">
        <v>1163</v>
      </c>
    </row>
    <row r="95" spans="1:8" ht="15" customHeight="1" x14ac:dyDescent="0.25">
      <c r="A95" s="21" t="s">
        <v>12</v>
      </c>
      <c r="B95" s="21" t="s">
        <v>1</v>
      </c>
      <c r="C95" s="16" t="s">
        <v>1841</v>
      </c>
      <c r="D95" s="16" t="s">
        <v>1834</v>
      </c>
      <c r="E95" s="22"/>
      <c r="F95" s="22"/>
      <c r="G95" s="22">
        <f>G53*G96</f>
        <v>0</v>
      </c>
      <c r="H95" s="22" t="s">
        <v>1164</v>
      </c>
    </row>
    <row r="96" spans="1:8" ht="15" customHeight="1" x14ac:dyDescent="0.25">
      <c r="A96" s="5" t="s">
        <v>74</v>
      </c>
      <c r="B96" s="5" t="s">
        <v>518</v>
      </c>
      <c r="C96" s="14" t="s">
        <v>1845</v>
      </c>
      <c r="D96" s="14" t="s">
        <v>1843</v>
      </c>
      <c r="F96" s="15" t="e">
        <f>F95/F53</f>
        <v>#DIV/0!</v>
      </c>
      <c r="H96" s="15" t="s">
        <v>1163</v>
      </c>
    </row>
    <row r="97" spans="1:8" ht="15" customHeight="1" x14ac:dyDescent="0.25">
      <c r="A97" s="5"/>
      <c r="B97" s="5"/>
      <c r="C97" s="14"/>
      <c r="D97" s="14"/>
    </row>
    <row r="98" spans="1:8" ht="15" customHeight="1" x14ac:dyDescent="0.25">
      <c r="A98" s="13" t="s">
        <v>9</v>
      </c>
      <c r="B98" s="13" t="s">
        <v>1</v>
      </c>
      <c r="C98" s="13" t="s">
        <v>1881</v>
      </c>
      <c r="D98" s="13" t="s">
        <v>1363</v>
      </c>
      <c r="F98" s="15">
        <f>F99+F103</f>
        <v>0</v>
      </c>
      <c r="G98" s="15">
        <f>G99+G103</f>
        <v>0</v>
      </c>
    </row>
    <row r="99" spans="1:8" ht="15" customHeight="1" x14ac:dyDescent="0.25">
      <c r="A99" s="3" t="s">
        <v>12</v>
      </c>
      <c r="B99" s="13" t="s">
        <v>1</v>
      </c>
      <c r="C99" s="13" t="s">
        <v>1938</v>
      </c>
      <c r="D99" s="13" t="s">
        <v>1364</v>
      </c>
      <c r="G99" s="15">
        <f>G101*G102</f>
        <v>0</v>
      </c>
      <c r="H99" s="15" t="s">
        <v>1164</v>
      </c>
    </row>
    <row r="100" spans="1:8" ht="15" customHeight="1" x14ac:dyDescent="0.25">
      <c r="A100" s="5" t="s">
        <v>74</v>
      </c>
      <c r="B100" s="5" t="s">
        <v>67</v>
      </c>
      <c r="C100" s="14" t="s">
        <v>1939</v>
      </c>
      <c r="D100" s="14" t="s">
        <v>1365</v>
      </c>
    </row>
    <row r="101" spans="1:8" ht="15" customHeight="1" x14ac:dyDescent="0.25">
      <c r="A101" s="5" t="s">
        <v>74</v>
      </c>
      <c r="B101" s="5" t="s">
        <v>521</v>
      </c>
      <c r="C101" s="14" t="s">
        <v>1940</v>
      </c>
      <c r="D101" s="14" t="s">
        <v>1366</v>
      </c>
    </row>
    <row r="102" spans="1:8" ht="15" customHeight="1" x14ac:dyDescent="0.25">
      <c r="A102" s="5" t="s">
        <v>74</v>
      </c>
      <c r="B102" s="5" t="s">
        <v>518</v>
      </c>
      <c r="C102" s="14" t="s">
        <v>1941</v>
      </c>
      <c r="D102" s="14" t="s">
        <v>1367</v>
      </c>
      <c r="F102" s="15" t="e">
        <f>F99/F101</f>
        <v>#DIV/0!</v>
      </c>
      <c r="H102" s="15" t="s">
        <v>1163</v>
      </c>
    </row>
    <row r="103" spans="1:8" ht="15" customHeight="1" x14ac:dyDescent="0.25">
      <c r="A103" s="3" t="s">
        <v>12</v>
      </c>
      <c r="B103" s="13" t="s">
        <v>1</v>
      </c>
      <c r="C103" s="13" t="s">
        <v>1942</v>
      </c>
      <c r="D103" s="13" t="s">
        <v>1883</v>
      </c>
      <c r="G103" s="15">
        <f>G105*G106</f>
        <v>0</v>
      </c>
      <c r="H103" s="15" t="s">
        <v>1164</v>
      </c>
    </row>
    <row r="104" spans="1:8" ht="15" customHeight="1" x14ac:dyDescent="0.25">
      <c r="A104" s="5" t="s">
        <v>74</v>
      </c>
      <c r="B104" s="5" t="s">
        <v>67</v>
      </c>
      <c r="C104" s="14" t="s">
        <v>1943</v>
      </c>
      <c r="D104" s="14" t="s">
        <v>1884</v>
      </c>
    </row>
    <row r="105" spans="1:8" ht="15" customHeight="1" x14ac:dyDescent="0.25">
      <c r="A105" s="5" t="s">
        <v>74</v>
      </c>
      <c r="B105" s="5" t="s">
        <v>521</v>
      </c>
      <c r="C105" s="14" t="s">
        <v>1944</v>
      </c>
      <c r="D105" s="14" t="s">
        <v>1885</v>
      </c>
    </row>
    <row r="106" spans="1:8" ht="15" customHeight="1" x14ac:dyDescent="0.25">
      <c r="A106" s="5" t="s">
        <v>74</v>
      </c>
      <c r="B106" s="5" t="s">
        <v>518</v>
      </c>
      <c r="C106" s="14" t="s">
        <v>1945</v>
      </c>
      <c r="D106" s="14" t="s">
        <v>1886</v>
      </c>
      <c r="F106" s="15" t="e">
        <f>F103/F105</f>
        <v>#DIV/0!</v>
      </c>
      <c r="H106" s="15" t="s">
        <v>1163</v>
      </c>
    </row>
    <row r="107" spans="1:8" ht="15" customHeight="1" x14ac:dyDescent="0.25">
      <c r="A107" s="5"/>
      <c r="B107" s="5"/>
      <c r="C107" s="14"/>
      <c r="D107" s="14"/>
    </row>
    <row r="108" spans="1:8" ht="15" customHeight="1" x14ac:dyDescent="0.25">
      <c r="A108" s="13" t="s">
        <v>9</v>
      </c>
      <c r="B108" s="13" t="s">
        <v>1</v>
      </c>
      <c r="C108" s="13" t="s">
        <v>1882</v>
      </c>
      <c r="D108" s="13" t="s">
        <v>914</v>
      </c>
      <c r="F108" s="15">
        <f>F109</f>
        <v>0</v>
      </c>
      <c r="G108" s="15">
        <f>G109</f>
        <v>0</v>
      </c>
    </row>
    <row r="109" spans="1:8" ht="15" customHeight="1" x14ac:dyDescent="0.25">
      <c r="A109" s="3" t="s">
        <v>12</v>
      </c>
      <c r="B109" s="13" t="s">
        <v>1</v>
      </c>
      <c r="C109" s="13" t="s">
        <v>1946</v>
      </c>
      <c r="D109" s="13" t="s">
        <v>1887</v>
      </c>
      <c r="G109" s="15">
        <f>G111*G112</f>
        <v>0</v>
      </c>
      <c r="H109" s="15" t="s">
        <v>1164</v>
      </c>
    </row>
    <row r="110" spans="1:8" ht="15" customHeight="1" x14ac:dyDescent="0.25">
      <c r="A110" s="5" t="s">
        <v>74</v>
      </c>
      <c r="B110" s="5" t="s">
        <v>67</v>
      </c>
      <c r="C110" s="14" t="s">
        <v>1947</v>
      </c>
      <c r="D110" s="14" t="s">
        <v>1888</v>
      </c>
    </row>
    <row r="111" spans="1:8" ht="15" customHeight="1" x14ac:dyDescent="0.25">
      <c r="A111" s="5" t="s">
        <v>74</v>
      </c>
      <c r="B111" s="5" t="s">
        <v>521</v>
      </c>
      <c r="C111" s="14" t="s">
        <v>1948</v>
      </c>
      <c r="D111" s="14" t="s">
        <v>1889</v>
      </c>
    </row>
    <row r="112" spans="1:8" ht="15" customHeight="1" x14ac:dyDescent="0.25">
      <c r="A112" s="5" t="s">
        <v>74</v>
      </c>
      <c r="B112" s="5" t="s">
        <v>518</v>
      </c>
      <c r="C112" s="14" t="s">
        <v>1949</v>
      </c>
      <c r="D112" s="14" t="s">
        <v>1890</v>
      </c>
      <c r="F112" s="15" t="e">
        <f>F109/F111</f>
        <v>#DIV/0!</v>
      </c>
      <c r="H112" s="15" t="s">
        <v>1163</v>
      </c>
    </row>
    <row r="113" spans="1:8" ht="15" customHeight="1" x14ac:dyDescent="0.25">
      <c r="A113" s="5"/>
      <c r="B113" s="5"/>
      <c r="C113" s="14"/>
      <c r="D113" s="14"/>
    </row>
    <row r="114" spans="1:8" ht="15" customHeight="1" x14ac:dyDescent="0.25">
      <c r="A114" s="3" t="s">
        <v>6</v>
      </c>
      <c r="B114" s="3" t="s">
        <v>15</v>
      </c>
      <c r="C114" s="13" t="s">
        <v>1891</v>
      </c>
      <c r="D114" s="13" t="s">
        <v>868</v>
      </c>
      <c r="E114" s="19"/>
      <c r="F114" s="19">
        <f>F115+F127+F132+F135</f>
        <v>0</v>
      </c>
      <c r="G114" s="19">
        <f>G115+G127+G132+G135</f>
        <v>0</v>
      </c>
      <c r="H114" s="19"/>
    </row>
    <row r="115" spans="1:8" ht="15" customHeight="1" x14ac:dyDescent="0.25">
      <c r="A115" s="3" t="s">
        <v>9</v>
      </c>
      <c r="B115" s="3" t="s">
        <v>15</v>
      </c>
      <c r="C115" s="13" t="s">
        <v>1893</v>
      </c>
      <c r="D115" s="13" t="s">
        <v>1177</v>
      </c>
      <c r="E115" s="19"/>
      <c r="F115" s="19">
        <f>F116+F122+F124</f>
        <v>0</v>
      </c>
      <c r="G115" s="19">
        <f>G116+G122+G124</f>
        <v>0</v>
      </c>
      <c r="H115" s="19"/>
    </row>
    <row r="116" spans="1:8" ht="15" customHeight="1" x14ac:dyDescent="0.25">
      <c r="A116" s="21" t="s">
        <v>12</v>
      </c>
      <c r="B116" s="21" t="s">
        <v>15</v>
      </c>
      <c r="C116" s="16" t="s">
        <v>1961</v>
      </c>
      <c r="D116" s="16" t="s">
        <v>1960</v>
      </c>
      <c r="E116" s="22"/>
      <c r="F116" s="22">
        <f>F118+F120</f>
        <v>0</v>
      </c>
      <c r="G116" s="22">
        <f>G118+G120</f>
        <v>0</v>
      </c>
      <c r="H116" s="22"/>
    </row>
    <row r="117" spans="1:8" ht="15" customHeight="1" x14ac:dyDescent="0.25">
      <c r="A117" s="5" t="s">
        <v>74</v>
      </c>
      <c r="B117" s="5" t="s">
        <v>518</v>
      </c>
      <c r="C117" s="14" t="s">
        <v>1971</v>
      </c>
      <c r="D117" s="14" t="s">
        <v>1970</v>
      </c>
      <c r="F117" s="15" t="e">
        <f>F116/F48</f>
        <v>#DIV/0!</v>
      </c>
      <c r="G117" s="15" t="e">
        <f>G116/G48</f>
        <v>#DIV/0!</v>
      </c>
      <c r="H117" s="15" t="s">
        <v>1163</v>
      </c>
    </row>
    <row r="118" spans="1:8" ht="15" customHeight="1" x14ac:dyDescent="0.25">
      <c r="A118" s="5" t="s">
        <v>74</v>
      </c>
      <c r="B118" s="5" t="s">
        <v>15</v>
      </c>
      <c r="C118" s="14" t="s">
        <v>1976</v>
      </c>
      <c r="D118" s="14" t="s">
        <v>1972</v>
      </c>
      <c r="G118" s="15">
        <f>G49*G119</f>
        <v>0</v>
      </c>
      <c r="H118" s="15" t="s">
        <v>1164</v>
      </c>
    </row>
    <row r="119" spans="1:8" ht="15" customHeight="1" x14ac:dyDescent="0.25">
      <c r="A119" s="5" t="s">
        <v>1395</v>
      </c>
      <c r="B119" s="5" t="s">
        <v>518</v>
      </c>
      <c r="C119" s="14" t="s">
        <v>1978</v>
      </c>
      <c r="D119" s="14" t="s">
        <v>1973</v>
      </c>
      <c r="F119" s="15" t="e">
        <f>F118/F49</f>
        <v>#DIV/0!</v>
      </c>
      <c r="H119" s="15" t="s">
        <v>1163</v>
      </c>
    </row>
    <row r="120" spans="1:8" ht="15" customHeight="1" x14ac:dyDescent="0.25">
      <c r="A120" s="5" t="s">
        <v>74</v>
      </c>
      <c r="B120" s="5" t="s">
        <v>15</v>
      </c>
      <c r="C120" s="14" t="s">
        <v>1977</v>
      </c>
      <c r="D120" s="14" t="s">
        <v>1974</v>
      </c>
      <c r="G120" s="15">
        <f>G50*G121</f>
        <v>0</v>
      </c>
      <c r="H120" s="15" t="s">
        <v>1164</v>
      </c>
    </row>
    <row r="121" spans="1:8" ht="15" customHeight="1" x14ac:dyDescent="0.25">
      <c r="A121" s="5" t="s">
        <v>1395</v>
      </c>
      <c r="B121" s="5" t="s">
        <v>518</v>
      </c>
      <c r="C121" s="14" t="s">
        <v>1979</v>
      </c>
      <c r="D121" s="14" t="s">
        <v>1975</v>
      </c>
      <c r="F121" s="15" t="e">
        <f>F120/F50</f>
        <v>#DIV/0!</v>
      </c>
      <c r="H121" s="15" t="s">
        <v>1163</v>
      </c>
    </row>
    <row r="122" spans="1:8" ht="15" customHeight="1" x14ac:dyDescent="0.25">
      <c r="A122" s="21" t="s">
        <v>12</v>
      </c>
      <c r="B122" s="21" t="s">
        <v>15</v>
      </c>
      <c r="C122" s="16" t="s">
        <v>1962</v>
      </c>
      <c r="D122" s="16" t="s">
        <v>1963</v>
      </c>
      <c r="E122" s="22"/>
      <c r="F122" s="22"/>
      <c r="G122" s="22">
        <f>G52*G123</f>
        <v>0</v>
      </c>
      <c r="H122" s="22" t="s">
        <v>1164</v>
      </c>
    </row>
    <row r="123" spans="1:8" ht="15" customHeight="1" x14ac:dyDescent="0.25">
      <c r="A123" s="5" t="s">
        <v>74</v>
      </c>
      <c r="B123" s="5" t="s">
        <v>518</v>
      </c>
      <c r="C123" s="14" t="s">
        <v>1964</v>
      </c>
      <c r="D123" s="14" t="s">
        <v>1965</v>
      </c>
      <c r="F123" s="15" t="e">
        <f>F122/F52</f>
        <v>#DIV/0!</v>
      </c>
      <c r="H123" s="15" t="s">
        <v>1163</v>
      </c>
    </row>
    <row r="124" spans="1:8" ht="15" customHeight="1" x14ac:dyDescent="0.25">
      <c r="A124" s="21" t="s">
        <v>12</v>
      </c>
      <c r="B124" s="21" t="s">
        <v>15</v>
      </c>
      <c r="C124" s="16" t="s">
        <v>1966</v>
      </c>
      <c r="D124" s="16" t="s">
        <v>1968</v>
      </c>
      <c r="E124" s="22"/>
      <c r="F124" s="22"/>
      <c r="G124" s="22">
        <f>G53*G125</f>
        <v>0</v>
      </c>
      <c r="H124" s="22" t="s">
        <v>1164</v>
      </c>
    </row>
    <row r="125" spans="1:8" ht="15" customHeight="1" x14ac:dyDescent="0.25">
      <c r="A125" s="5" t="s">
        <v>74</v>
      </c>
      <c r="B125" s="5" t="s">
        <v>518</v>
      </c>
      <c r="C125" s="14" t="s">
        <v>1967</v>
      </c>
      <c r="D125" s="14" t="s">
        <v>1969</v>
      </c>
      <c r="F125" s="15" t="e">
        <f>F124/F53</f>
        <v>#DIV/0!</v>
      </c>
      <c r="H125" s="15" t="s">
        <v>1163</v>
      </c>
    </row>
    <row r="126" spans="1:8" ht="15" customHeight="1" x14ac:dyDescent="0.25">
      <c r="A126" s="5"/>
      <c r="B126" s="5"/>
      <c r="C126" s="14"/>
      <c r="D126" s="14"/>
    </row>
    <row r="127" spans="1:8" s="19" customFormat="1" ht="15" customHeight="1" x14ac:dyDescent="0.25">
      <c r="A127" s="3" t="s">
        <v>9</v>
      </c>
      <c r="B127" s="3" t="s">
        <v>15</v>
      </c>
      <c r="C127" s="13" t="s">
        <v>1894</v>
      </c>
      <c r="D127" s="13" t="s">
        <v>1180</v>
      </c>
      <c r="F127" s="19">
        <f>F128+F130</f>
        <v>0</v>
      </c>
      <c r="G127" s="19">
        <f>G128+G130</f>
        <v>0</v>
      </c>
    </row>
    <row r="128" spans="1:8" ht="15" customHeight="1" x14ac:dyDescent="0.25">
      <c r="A128" s="5" t="s">
        <v>12</v>
      </c>
      <c r="B128" s="5" t="s">
        <v>15</v>
      </c>
      <c r="C128" s="14" t="s">
        <v>1950</v>
      </c>
      <c r="D128" s="14" t="s">
        <v>1181</v>
      </c>
      <c r="G128" s="15">
        <f>G101*G129</f>
        <v>0</v>
      </c>
      <c r="H128" s="15" t="s">
        <v>1164</v>
      </c>
    </row>
    <row r="129" spans="1:8" ht="15" customHeight="1" x14ac:dyDescent="0.25">
      <c r="A129" s="5" t="s">
        <v>74</v>
      </c>
      <c r="B129" s="5" t="s">
        <v>518</v>
      </c>
      <c r="C129" s="14" t="s">
        <v>1951</v>
      </c>
      <c r="D129" s="14" t="s">
        <v>1208</v>
      </c>
      <c r="F129" s="15" t="e">
        <f>F128/F101</f>
        <v>#DIV/0!</v>
      </c>
      <c r="H129" s="15" t="s">
        <v>1163</v>
      </c>
    </row>
    <row r="130" spans="1:8" ht="15" customHeight="1" x14ac:dyDescent="0.25">
      <c r="A130" s="5" t="s">
        <v>12</v>
      </c>
      <c r="B130" s="5" t="s">
        <v>15</v>
      </c>
      <c r="C130" s="14" t="s">
        <v>1956</v>
      </c>
      <c r="D130" s="14" t="s">
        <v>1958</v>
      </c>
      <c r="G130" s="15">
        <f>G105*G131</f>
        <v>0</v>
      </c>
      <c r="H130" s="15" t="s">
        <v>1164</v>
      </c>
    </row>
    <row r="131" spans="1:8" ht="15" customHeight="1" x14ac:dyDescent="0.25">
      <c r="A131" s="5" t="s">
        <v>74</v>
      </c>
      <c r="B131" s="5" t="s">
        <v>518</v>
      </c>
      <c r="C131" s="14" t="s">
        <v>1957</v>
      </c>
      <c r="D131" s="14" t="s">
        <v>1959</v>
      </c>
      <c r="F131" s="15" t="e">
        <f>F130/F105</f>
        <v>#DIV/0!</v>
      </c>
      <c r="H131" s="15" t="s">
        <v>1163</v>
      </c>
    </row>
    <row r="132" spans="1:8" s="19" customFormat="1" ht="15" customHeight="1" x14ac:dyDescent="0.25">
      <c r="A132" s="3" t="s">
        <v>9</v>
      </c>
      <c r="B132" s="3" t="s">
        <v>15</v>
      </c>
      <c r="C132" s="13" t="s">
        <v>1895</v>
      </c>
      <c r="D132" s="13" t="s">
        <v>1892</v>
      </c>
      <c r="F132" s="19">
        <f>F133</f>
        <v>0</v>
      </c>
      <c r="G132" s="19">
        <f>G133</f>
        <v>0</v>
      </c>
    </row>
    <row r="133" spans="1:8" ht="15" customHeight="1" x14ac:dyDescent="0.25">
      <c r="A133" s="5" t="s">
        <v>12</v>
      </c>
      <c r="B133" s="5" t="s">
        <v>15</v>
      </c>
      <c r="C133" s="14" t="s">
        <v>1952</v>
      </c>
      <c r="D133" s="14" t="s">
        <v>1954</v>
      </c>
      <c r="G133" s="15">
        <f>G111*G134</f>
        <v>0</v>
      </c>
      <c r="H133" s="15" t="s">
        <v>1164</v>
      </c>
    </row>
    <row r="134" spans="1:8" ht="15" customHeight="1" x14ac:dyDescent="0.25">
      <c r="A134" s="5" t="s">
        <v>74</v>
      </c>
      <c r="B134" s="5" t="s">
        <v>518</v>
      </c>
      <c r="C134" s="14" t="s">
        <v>1953</v>
      </c>
      <c r="D134" s="14" t="s">
        <v>1955</v>
      </c>
      <c r="F134" s="15" t="e">
        <f>F133/F111</f>
        <v>#DIV/0!</v>
      </c>
      <c r="H134" s="15" t="s">
        <v>1163</v>
      </c>
    </row>
    <row r="135" spans="1:8" s="19" customFormat="1" ht="15" customHeight="1" x14ac:dyDescent="0.25">
      <c r="A135" s="3" t="s">
        <v>9</v>
      </c>
      <c r="B135" s="3" t="s">
        <v>15</v>
      </c>
      <c r="C135" s="13" t="s">
        <v>2034</v>
      </c>
      <c r="D135" s="13" t="s">
        <v>1209</v>
      </c>
      <c r="F135" s="19">
        <f>F136</f>
        <v>0</v>
      </c>
      <c r="G135" s="19">
        <f>G136</f>
        <v>0</v>
      </c>
    </row>
    <row r="136" spans="1:8" ht="15" customHeight="1" x14ac:dyDescent="0.25">
      <c r="A136" s="5" t="s">
        <v>12</v>
      </c>
      <c r="B136" s="5" t="s">
        <v>15</v>
      </c>
      <c r="C136" s="14" t="s">
        <v>2035</v>
      </c>
      <c r="D136" s="14" t="s">
        <v>1582</v>
      </c>
    </row>
    <row r="137" spans="1:8" ht="15" customHeight="1" x14ac:dyDescent="0.25">
      <c r="A137" s="5"/>
      <c r="B137" s="5"/>
      <c r="C137" s="14"/>
      <c r="D137" s="14"/>
    </row>
    <row r="138" spans="1:8" ht="15" customHeight="1" x14ac:dyDescent="0.25">
      <c r="A138" s="3" t="s">
        <v>6</v>
      </c>
      <c r="B138" s="3" t="s">
        <v>15</v>
      </c>
      <c r="C138" s="13" t="s">
        <v>1980</v>
      </c>
      <c r="D138" s="13" t="s">
        <v>1218</v>
      </c>
      <c r="E138" s="19"/>
      <c r="F138" s="19">
        <f>F139+F145</f>
        <v>0</v>
      </c>
      <c r="G138" s="19">
        <f>G139+G145</f>
        <v>0</v>
      </c>
      <c r="H138" s="19"/>
    </row>
    <row r="139" spans="1:8" ht="15" customHeight="1" x14ac:dyDescent="0.25">
      <c r="A139" s="13" t="s">
        <v>9</v>
      </c>
      <c r="B139" s="13" t="s">
        <v>520</v>
      </c>
      <c r="C139" s="13" t="s">
        <v>1981</v>
      </c>
      <c r="D139" s="13" t="s">
        <v>1377</v>
      </c>
      <c r="F139" s="15">
        <f>F141+F143</f>
        <v>0</v>
      </c>
      <c r="G139" s="15">
        <f>G141+G143</f>
        <v>0</v>
      </c>
    </row>
    <row r="140" spans="1:8" ht="15" customHeight="1" x14ac:dyDescent="0.25">
      <c r="A140" s="14" t="s">
        <v>12</v>
      </c>
      <c r="B140" s="14" t="s">
        <v>518</v>
      </c>
      <c r="C140" s="14" t="s">
        <v>1982</v>
      </c>
      <c r="D140" s="14" t="s">
        <v>1587</v>
      </c>
      <c r="F140" s="15" t="e">
        <f>F139/F67</f>
        <v>#DIV/0!</v>
      </c>
      <c r="G140" s="15" t="e">
        <f>G139/G67</f>
        <v>#DIV/0!</v>
      </c>
      <c r="H140" s="15" t="s">
        <v>1163</v>
      </c>
    </row>
    <row r="141" spans="1:8" s="24" customFormat="1" ht="15" customHeight="1" x14ac:dyDescent="0.25">
      <c r="A141" s="26" t="s">
        <v>12</v>
      </c>
      <c r="B141" s="23" t="s">
        <v>15</v>
      </c>
      <c r="C141" s="26" t="s">
        <v>1983</v>
      </c>
      <c r="D141" s="26" t="s">
        <v>2014</v>
      </c>
      <c r="G141" s="24">
        <f>G68*G142</f>
        <v>0</v>
      </c>
      <c r="H141" s="24" t="s">
        <v>1164</v>
      </c>
    </row>
    <row r="142" spans="1:8" ht="15" customHeight="1" x14ac:dyDescent="0.25">
      <c r="A142" s="14" t="s">
        <v>74</v>
      </c>
      <c r="B142" s="14" t="s">
        <v>518</v>
      </c>
      <c r="C142" s="14" t="s">
        <v>2018</v>
      </c>
      <c r="D142" s="14" t="s">
        <v>2015</v>
      </c>
      <c r="F142" s="15" t="e">
        <f>F141/F68</f>
        <v>#DIV/0!</v>
      </c>
      <c r="H142" s="15" t="s">
        <v>1163</v>
      </c>
    </row>
    <row r="143" spans="1:8" ht="15" customHeight="1" x14ac:dyDescent="0.25">
      <c r="A143" s="14" t="s">
        <v>12</v>
      </c>
      <c r="B143" s="14" t="s">
        <v>15</v>
      </c>
      <c r="C143" s="14" t="s">
        <v>1984</v>
      </c>
      <c r="D143" s="14" t="s">
        <v>2016</v>
      </c>
      <c r="G143" s="15">
        <f>G69*G144</f>
        <v>0</v>
      </c>
      <c r="H143" s="15" t="s">
        <v>1164</v>
      </c>
    </row>
    <row r="144" spans="1:8" ht="15" customHeight="1" x14ac:dyDescent="0.25">
      <c r="A144" s="14" t="s">
        <v>74</v>
      </c>
      <c r="B144" s="14" t="s">
        <v>518</v>
      </c>
      <c r="C144" s="14" t="s">
        <v>2019</v>
      </c>
      <c r="D144" s="14" t="s">
        <v>2017</v>
      </c>
      <c r="F144" s="15" t="e">
        <f>F143/F69</f>
        <v>#DIV/0!</v>
      </c>
      <c r="H144" s="15" t="s">
        <v>1163</v>
      </c>
    </row>
    <row r="145" spans="1:8" ht="15" customHeight="1" x14ac:dyDescent="0.25">
      <c r="A145" s="3" t="s">
        <v>9</v>
      </c>
      <c r="B145" s="3" t="s">
        <v>520</v>
      </c>
      <c r="C145" s="13" t="s">
        <v>2020</v>
      </c>
      <c r="D145" s="13" t="s">
        <v>1588</v>
      </c>
      <c r="F145" s="15">
        <f>F146+F150</f>
        <v>0</v>
      </c>
      <c r="G145" s="15">
        <f>G146+G150</f>
        <v>0</v>
      </c>
    </row>
    <row r="146" spans="1:8" ht="15" customHeight="1" x14ac:dyDescent="0.25">
      <c r="A146" s="5" t="s">
        <v>12</v>
      </c>
      <c r="B146" s="5" t="s">
        <v>520</v>
      </c>
      <c r="C146" s="14" t="s">
        <v>2021</v>
      </c>
      <c r="D146" s="14" t="s">
        <v>1589</v>
      </c>
      <c r="G146" s="15">
        <f>G148*G149</f>
        <v>0</v>
      </c>
      <c r="H146" s="15" t="s">
        <v>1164</v>
      </c>
    </row>
    <row r="147" spans="1:8" ht="15" customHeight="1" x14ac:dyDescent="0.25">
      <c r="A147" s="14" t="s">
        <v>74</v>
      </c>
      <c r="B147" s="14" t="s">
        <v>341</v>
      </c>
      <c r="C147" s="14" t="s">
        <v>2023</v>
      </c>
      <c r="D147" s="14" t="s">
        <v>1590</v>
      </c>
    </row>
    <row r="148" spans="1:8" ht="15" customHeight="1" x14ac:dyDescent="0.25">
      <c r="A148" s="14" t="s">
        <v>74</v>
      </c>
      <c r="B148" s="14" t="s">
        <v>422</v>
      </c>
      <c r="C148" s="14" t="s">
        <v>2024</v>
      </c>
      <c r="D148" s="14" t="s">
        <v>1591</v>
      </c>
    </row>
    <row r="149" spans="1:8" ht="15" customHeight="1" x14ac:dyDescent="0.25">
      <c r="A149" s="14" t="s">
        <v>74</v>
      </c>
      <c r="B149" s="5" t="s">
        <v>518</v>
      </c>
      <c r="C149" s="14" t="s">
        <v>2025</v>
      </c>
      <c r="D149" s="14" t="s">
        <v>1592</v>
      </c>
      <c r="F149" s="15" t="e">
        <f>F146/F148</f>
        <v>#DIV/0!</v>
      </c>
      <c r="H149" s="15" t="s">
        <v>1163</v>
      </c>
    </row>
    <row r="150" spans="1:8" ht="15" customHeight="1" x14ac:dyDescent="0.25">
      <c r="A150" s="5" t="s">
        <v>12</v>
      </c>
      <c r="B150" s="5" t="s">
        <v>520</v>
      </c>
      <c r="C150" s="14" t="s">
        <v>2026</v>
      </c>
      <c r="D150" s="14" t="s">
        <v>2030</v>
      </c>
      <c r="G150" s="15">
        <f>G152*G153</f>
        <v>0</v>
      </c>
      <c r="H150" s="15" t="s">
        <v>1164</v>
      </c>
    </row>
    <row r="151" spans="1:8" ht="15" customHeight="1" x14ac:dyDescent="0.25">
      <c r="A151" s="14" t="s">
        <v>74</v>
      </c>
      <c r="B151" s="14" t="s">
        <v>341</v>
      </c>
      <c r="C151" s="14" t="s">
        <v>2027</v>
      </c>
      <c r="D151" s="14" t="s">
        <v>2031</v>
      </c>
    </row>
    <row r="152" spans="1:8" ht="15" customHeight="1" x14ac:dyDescent="0.25">
      <c r="A152" s="14" t="s">
        <v>74</v>
      </c>
      <c r="B152" s="14" t="s">
        <v>422</v>
      </c>
      <c r="C152" s="14" t="s">
        <v>2028</v>
      </c>
      <c r="D152" s="14" t="s">
        <v>2032</v>
      </c>
    </row>
    <row r="153" spans="1:8" ht="15" customHeight="1" x14ac:dyDescent="0.25">
      <c r="A153" s="14" t="s">
        <v>74</v>
      </c>
      <c r="B153" s="5" t="s">
        <v>518</v>
      </c>
      <c r="C153" s="14" t="s">
        <v>2029</v>
      </c>
      <c r="D153" s="14" t="s">
        <v>2033</v>
      </c>
      <c r="F153" s="15" t="e">
        <f>F150/F152</f>
        <v>#DIV/0!</v>
      </c>
      <c r="H153" s="15" t="s">
        <v>1163</v>
      </c>
    </row>
    <row r="154" spans="1:8" ht="15" customHeight="1" x14ac:dyDescent="0.25">
      <c r="A154" s="14"/>
      <c r="B154" s="14"/>
      <c r="C154" s="14"/>
      <c r="D154" s="14"/>
    </row>
    <row r="155" spans="1:8" ht="15" customHeight="1" x14ac:dyDescent="0.25">
      <c r="A155" s="13" t="s">
        <v>6</v>
      </c>
      <c r="B155" s="13" t="s">
        <v>1</v>
      </c>
      <c r="C155" s="13" t="s">
        <v>2036</v>
      </c>
      <c r="D155" s="13" t="s">
        <v>898</v>
      </c>
      <c r="F155" s="15">
        <f>F156+F162+F167</f>
        <v>0</v>
      </c>
      <c r="G155" s="15">
        <f>G156+G162+G167</f>
        <v>0</v>
      </c>
    </row>
    <row r="156" spans="1:8" ht="15" customHeight="1" x14ac:dyDescent="0.25">
      <c r="A156" s="13" t="s">
        <v>9</v>
      </c>
      <c r="B156" s="13" t="s">
        <v>1</v>
      </c>
      <c r="C156" s="13" t="s">
        <v>2041</v>
      </c>
      <c r="D156" s="13" t="s">
        <v>1229</v>
      </c>
      <c r="F156" s="15">
        <f>F158+F160</f>
        <v>0</v>
      </c>
      <c r="G156" s="15">
        <f>G158+G160</f>
        <v>0</v>
      </c>
    </row>
    <row r="157" spans="1:8" ht="15" customHeight="1" x14ac:dyDescent="0.25">
      <c r="A157" s="14" t="s">
        <v>12</v>
      </c>
      <c r="B157" s="14" t="s">
        <v>518</v>
      </c>
      <c r="C157" s="14" t="s">
        <v>2042</v>
      </c>
      <c r="D157" s="14" t="s">
        <v>1597</v>
      </c>
      <c r="F157" s="15" t="e">
        <f>F156/F67</f>
        <v>#DIV/0!</v>
      </c>
      <c r="G157" s="15" t="e">
        <f>G156/G67</f>
        <v>#DIV/0!</v>
      </c>
      <c r="H157" s="15" t="s">
        <v>1163</v>
      </c>
    </row>
    <row r="158" spans="1:8" ht="15" customHeight="1" x14ac:dyDescent="0.25">
      <c r="A158" s="14" t="s">
        <v>12</v>
      </c>
      <c r="B158" s="14" t="s">
        <v>1</v>
      </c>
      <c r="C158" s="14" t="s">
        <v>2043</v>
      </c>
      <c r="D158" s="14" t="s">
        <v>2037</v>
      </c>
      <c r="G158" s="15">
        <f>G68*G159</f>
        <v>0</v>
      </c>
      <c r="H158" s="15" t="s">
        <v>1164</v>
      </c>
    </row>
    <row r="159" spans="1:8" ht="15" customHeight="1" x14ac:dyDescent="0.25">
      <c r="A159" s="14" t="s">
        <v>74</v>
      </c>
      <c r="B159" s="14" t="s">
        <v>518</v>
      </c>
      <c r="C159" s="14" t="s">
        <v>2045</v>
      </c>
      <c r="D159" s="14" t="s">
        <v>2038</v>
      </c>
      <c r="F159" s="15" t="e">
        <f>F15/F68</f>
        <v>#DIV/0!</v>
      </c>
      <c r="H159" s="15" t="s">
        <v>1163</v>
      </c>
    </row>
    <row r="160" spans="1:8" ht="15" customHeight="1" x14ac:dyDescent="0.25">
      <c r="A160" s="14" t="s">
        <v>12</v>
      </c>
      <c r="B160" s="14" t="s">
        <v>1</v>
      </c>
      <c r="C160" s="14" t="s">
        <v>2044</v>
      </c>
      <c r="D160" s="14" t="s">
        <v>2039</v>
      </c>
      <c r="G160" s="15">
        <f>G69*G161</f>
        <v>0</v>
      </c>
      <c r="H160" s="15" t="s">
        <v>1164</v>
      </c>
    </row>
    <row r="161" spans="1:8" ht="15" customHeight="1" x14ac:dyDescent="0.25">
      <c r="A161" s="14" t="s">
        <v>74</v>
      </c>
      <c r="B161" s="14" t="s">
        <v>518</v>
      </c>
      <c r="C161" s="14" t="s">
        <v>2046</v>
      </c>
      <c r="D161" s="14" t="s">
        <v>2040</v>
      </c>
      <c r="F161" s="15" t="e">
        <f>F160/F69</f>
        <v>#DIV/0!</v>
      </c>
      <c r="H161" s="15" t="s">
        <v>1163</v>
      </c>
    </row>
    <row r="162" spans="1:8" ht="15" customHeight="1" x14ac:dyDescent="0.25">
      <c r="A162" s="13" t="s">
        <v>9</v>
      </c>
      <c r="B162" s="13" t="s">
        <v>1</v>
      </c>
      <c r="C162" s="13" t="s">
        <v>2047</v>
      </c>
      <c r="D162" s="13" t="s">
        <v>1232</v>
      </c>
      <c r="F162" s="15">
        <f>F163+F165</f>
        <v>0</v>
      </c>
      <c r="G162" s="15">
        <f>G163+G165</f>
        <v>0</v>
      </c>
    </row>
    <row r="163" spans="1:8" ht="15" customHeight="1" x14ac:dyDescent="0.25">
      <c r="A163" s="14" t="s">
        <v>12</v>
      </c>
      <c r="B163" s="14" t="s">
        <v>1</v>
      </c>
      <c r="C163" s="14" t="s">
        <v>2048</v>
      </c>
      <c r="D163" s="14" t="s">
        <v>1233</v>
      </c>
      <c r="G163" s="15">
        <f>G148*G164</f>
        <v>0</v>
      </c>
      <c r="H163" s="15" t="s">
        <v>1164</v>
      </c>
    </row>
    <row r="164" spans="1:8" ht="15" customHeight="1" x14ac:dyDescent="0.25">
      <c r="A164" s="14" t="s">
        <v>74</v>
      </c>
      <c r="B164" s="14" t="s">
        <v>518</v>
      </c>
      <c r="C164" s="14" t="s">
        <v>2052</v>
      </c>
      <c r="D164" s="14" t="s">
        <v>1234</v>
      </c>
      <c r="F164" s="15" t="e">
        <f>F163/F148</f>
        <v>#DIV/0!</v>
      </c>
      <c r="H164" s="15" t="s">
        <v>1163</v>
      </c>
    </row>
    <row r="165" spans="1:8" ht="15" customHeight="1" x14ac:dyDescent="0.25">
      <c r="A165" s="14" t="s">
        <v>12</v>
      </c>
      <c r="B165" s="14" t="s">
        <v>1</v>
      </c>
      <c r="C165" s="14" t="s">
        <v>2051</v>
      </c>
      <c r="D165" s="14" t="s">
        <v>2049</v>
      </c>
      <c r="G165" s="15">
        <f>G152*G166</f>
        <v>0</v>
      </c>
      <c r="H165" s="15" t="s">
        <v>1164</v>
      </c>
    </row>
    <row r="166" spans="1:8" ht="15" customHeight="1" x14ac:dyDescent="0.25">
      <c r="A166" s="14" t="s">
        <v>74</v>
      </c>
      <c r="B166" s="14" t="s">
        <v>518</v>
      </c>
      <c r="C166" s="14" t="s">
        <v>2053</v>
      </c>
      <c r="D166" s="14" t="s">
        <v>2050</v>
      </c>
      <c r="F166" s="15" t="e">
        <f>F165/F152</f>
        <v>#DIV/0!</v>
      </c>
      <c r="H166" s="15" t="s">
        <v>1163</v>
      </c>
    </row>
    <row r="167" spans="1:8" ht="15" customHeight="1" x14ac:dyDescent="0.25">
      <c r="A167" s="13" t="s">
        <v>9</v>
      </c>
      <c r="B167" s="13" t="s">
        <v>1</v>
      </c>
      <c r="C167" s="13" t="s">
        <v>2054</v>
      </c>
      <c r="D167" s="13" t="s">
        <v>1499</v>
      </c>
      <c r="F167" s="15">
        <f>F168</f>
        <v>0</v>
      </c>
      <c r="G167" s="15">
        <f>G168</f>
        <v>0</v>
      </c>
    </row>
    <row r="168" spans="1:8" ht="15" customHeight="1" x14ac:dyDescent="0.25">
      <c r="A168" s="14" t="s">
        <v>12</v>
      </c>
      <c r="B168" s="14" t="s">
        <v>1</v>
      </c>
      <c r="C168" s="14" t="s">
        <v>2055</v>
      </c>
      <c r="D168" s="14" t="s">
        <v>1600</v>
      </c>
    </row>
    <row r="169" spans="1:8" ht="15" customHeight="1" x14ac:dyDescent="0.25">
      <c r="A169" s="14"/>
      <c r="B169" s="14"/>
      <c r="C169" s="14"/>
      <c r="D169" s="14"/>
    </row>
    <row r="170" spans="1:8" ht="15" customHeight="1" x14ac:dyDescent="0.25">
      <c r="A170" s="13" t="s">
        <v>6</v>
      </c>
      <c r="B170" s="13" t="s">
        <v>1</v>
      </c>
      <c r="C170" s="13" t="s">
        <v>2056</v>
      </c>
      <c r="D170" s="13" t="s">
        <v>869</v>
      </c>
      <c r="G170" s="15">
        <f>G171+G176+G177+G178+G179+G182+G183+G184</f>
        <v>0</v>
      </c>
    </row>
    <row r="171" spans="1:8" ht="15" customHeight="1" x14ac:dyDescent="0.25">
      <c r="A171" s="13" t="s">
        <v>9</v>
      </c>
      <c r="B171" s="13" t="s">
        <v>1</v>
      </c>
      <c r="C171" s="13" t="s">
        <v>2057</v>
      </c>
      <c r="D171" s="13" t="s">
        <v>870</v>
      </c>
      <c r="F171" s="15">
        <f>F173+F175</f>
        <v>0</v>
      </c>
      <c r="G171" s="15">
        <f>G173+G175</f>
        <v>0</v>
      </c>
    </row>
    <row r="172" spans="1:8" ht="15" customHeight="1" x14ac:dyDescent="0.25">
      <c r="A172" s="14" t="s">
        <v>12</v>
      </c>
      <c r="B172" s="14" t="s">
        <v>518</v>
      </c>
      <c r="C172" s="14" t="s">
        <v>2063</v>
      </c>
      <c r="D172" s="14" t="s">
        <v>1611</v>
      </c>
      <c r="F172" s="15" t="e">
        <f>F171/F54</f>
        <v>#DIV/0!</v>
      </c>
      <c r="G172" s="15" t="e">
        <f>G171/G54</f>
        <v>#DIV/0!</v>
      </c>
      <c r="H172" s="15" t="s">
        <v>1163</v>
      </c>
    </row>
    <row r="173" spans="1:8" ht="15" customHeight="1" x14ac:dyDescent="0.25">
      <c r="A173" s="14" t="s">
        <v>12</v>
      </c>
      <c r="B173" s="14" t="s">
        <v>1</v>
      </c>
      <c r="C173" s="14" t="s">
        <v>2064</v>
      </c>
      <c r="D173" s="14" t="s">
        <v>1175</v>
      </c>
    </row>
    <row r="174" spans="1:8" ht="15" customHeight="1" x14ac:dyDescent="0.25">
      <c r="A174" s="14" t="s">
        <v>74</v>
      </c>
      <c r="B174" s="14" t="s">
        <v>518</v>
      </c>
      <c r="C174" s="14" t="s">
        <v>2066</v>
      </c>
      <c r="D174" s="14" t="s">
        <v>2067</v>
      </c>
      <c r="F174" s="15" t="e">
        <f>F173/F54</f>
        <v>#DIV/0!</v>
      </c>
      <c r="G174" s="15" t="e">
        <f>G173/G54</f>
        <v>#DIV/0!</v>
      </c>
      <c r="H174" s="15" t="s">
        <v>1163</v>
      </c>
    </row>
    <row r="175" spans="1:8" ht="15" customHeight="1" x14ac:dyDescent="0.25">
      <c r="A175" s="14" t="s">
        <v>12</v>
      </c>
      <c r="B175" s="14" t="s">
        <v>1</v>
      </c>
      <c r="C175" s="14" t="s">
        <v>2065</v>
      </c>
      <c r="D175" s="14" t="s">
        <v>915</v>
      </c>
    </row>
    <row r="176" spans="1:8" ht="15" customHeight="1" x14ac:dyDescent="0.25">
      <c r="A176" s="13" t="s">
        <v>9</v>
      </c>
      <c r="B176" s="13" t="s">
        <v>1</v>
      </c>
      <c r="C176" s="13" t="s">
        <v>2058</v>
      </c>
      <c r="D176" s="13" t="s">
        <v>916</v>
      </c>
    </row>
    <row r="177" spans="1:8" ht="15" customHeight="1" x14ac:dyDescent="0.25">
      <c r="A177" s="13" t="s">
        <v>9</v>
      </c>
      <c r="B177" s="13" t="s">
        <v>1</v>
      </c>
      <c r="C177" s="13" t="s">
        <v>2059</v>
      </c>
      <c r="D177" s="13" t="s">
        <v>917</v>
      </c>
    </row>
    <row r="178" spans="1:8" ht="15" customHeight="1" x14ac:dyDescent="0.25">
      <c r="A178" s="13" t="s">
        <v>9</v>
      </c>
      <c r="B178" s="13" t="s">
        <v>1</v>
      </c>
      <c r="C178" s="13" t="s">
        <v>2060</v>
      </c>
      <c r="D178" s="13" t="s">
        <v>918</v>
      </c>
    </row>
    <row r="179" spans="1:8" ht="15" customHeight="1" x14ac:dyDescent="0.25">
      <c r="A179" s="13" t="s">
        <v>9</v>
      </c>
      <c r="B179" s="13" t="s">
        <v>1</v>
      </c>
      <c r="C179" s="13" t="s">
        <v>2363</v>
      </c>
      <c r="D179" s="13" t="s">
        <v>2360</v>
      </c>
    </row>
    <row r="180" spans="1:8" ht="15" customHeight="1" x14ac:dyDescent="0.25">
      <c r="A180" s="14" t="s">
        <v>12</v>
      </c>
      <c r="B180" s="14" t="s">
        <v>1</v>
      </c>
      <c r="C180" s="14" t="s">
        <v>2364</v>
      </c>
      <c r="D180" s="14" t="s">
        <v>2362</v>
      </c>
    </row>
    <row r="181" spans="1:8" ht="15" customHeight="1" x14ac:dyDescent="0.25">
      <c r="A181" s="14" t="s">
        <v>12</v>
      </c>
      <c r="B181" s="14" t="s">
        <v>1</v>
      </c>
      <c r="C181" s="14" t="s">
        <v>2365</v>
      </c>
      <c r="D181" s="14" t="s">
        <v>2361</v>
      </c>
    </row>
    <row r="182" spans="1:8" ht="15" customHeight="1" x14ac:dyDescent="0.25">
      <c r="A182" s="13" t="s">
        <v>9</v>
      </c>
      <c r="B182" s="13" t="s">
        <v>1</v>
      </c>
      <c r="C182" s="13" t="s">
        <v>2061</v>
      </c>
      <c r="D182" s="13" t="s">
        <v>919</v>
      </c>
    </row>
    <row r="183" spans="1:8" ht="15" customHeight="1" x14ac:dyDescent="0.25">
      <c r="A183" s="13" t="s">
        <v>9</v>
      </c>
      <c r="B183" s="13" t="s">
        <v>1</v>
      </c>
      <c r="C183" s="13" t="s">
        <v>2366</v>
      </c>
      <c r="D183" s="13" t="s">
        <v>920</v>
      </c>
    </row>
    <row r="184" spans="1:8" ht="15" customHeight="1" x14ac:dyDescent="0.25">
      <c r="A184" s="13" t="s">
        <v>9</v>
      </c>
      <c r="B184" s="13" t="s">
        <v>1</v>
      </c>
      <c r="C184" s="13" t="s">
        <v>2062</v>
      </c>
      <c r="D184" s="13" t="s">
        <v>884</v>
      </c>
      <c r="F184" s="15">
        <f>F170-F171-F176-F177-F178-F179-F182-F183</f>
        <v>0</v>
      </c>
    </row>
    <row r="185" spans="1:8" ht="15" customHeight="1" x14ac:dyDescent="0.25">
      <c r="A185" s="14"/>
      <c r="B185" s="14"/>
      <c r="C185" s="14"/>
      <c r="D185" s="14"/>
    </row>
    <row r="186" spans="1:8" ht="15" customHeight="1" x14ac:dyDescent="0.25">
      <c r="A186" s="13" t="s">
        <v>6</v>
      </c>
      <c r="B186" s="13" t="s">
        <v>15</v>
      </c>
      <c r="C186" s="13" t="s">
        <v>2068</v>
      </c>
      <c r="D186" s="13" t="s">
        <v>877</v>
      </c>
      <c r="G186" s="15">
        <f>G187+G189+G191+G193+G194+G195+G197</f>
        <v>0</v>
      </c>
    </row>
    <row r="187" spans="1:8" ht="15" customHeight="1" x14ac:dyDescent="0.25">
      <c r="A187" s="13" t="s">
        <v>9</v>
      </c>
      <c r="B187" s="13" t="s">
        <v>15</v>
      </c>
      <c r="C187" s="13" t="s">
        <v>2069</v>
      </c>
      <c r="D187" s="13" t="s">
        <v>878</v>
      </c>
      <c r="G187" s="15">
        <f>G46*G188</f>
        <v>0</v>
      </c>
      <c r="H187" s="15" t="s">
        <v>1164</v>
      </c>
    </row>
    <row r="188" spans="1:8" ht="15" customHeight="1" x14ac:dyDescent="0.25">
      <c r="A188" s="14" t="s">
        <v>12</v>
      </c>
      <c r="B188" s="14" t="s">
        <v>518</v>
      </c>
      <c r="C188" s="14" t="s">
        <v>2367</v>
      </c>
      <c r="D188" s="14" t="s">
        <v>879</v>
      </c>
      <c r="F188" s="15" t="e">
        <f>F187/F46</f>
        <v>#DIV/0!</v>
      </c>
      <c r="H188" s="15" t="s">
        <v>1163</v>
      </c>
    </row>
    <row r="189" spans="1:8" ht="15" customHeight="1" x14ac:dyDescent="0.25">
      <c r="A189" s="13" t="s">
        <v>9</v>
      </c>
      <c r="B189" s="13" t="s">
        <v>15</v>
      </c>
      <c r="C189" s="13" t="s">
        <v>2070</v>
      </c>
      <c r="D189" s="13" t="s">
        <v>880</v>
      </c>
      <c r="G189" s="15">
        <f>G46*G190</f>
        <v>0</v>
      </c>
      <c r="H189" s="15" t="s">
        <v>1164</v>
      </c>
    </row>
    <row r="190" spans="1:8" ht="15" customHeight="1" x14ac:dyDescent="0.25">
      <c r="A190" s="14" t="s">
        <v>12</v>
      </c>
      <c r="B190" s="14"/>
      <c r="C190" s="14" t="s">
        <v>2368</v>
      </c>
      <c r="D190" s="14" t="s">
        <v>879</v>
      </c>
      <c r="F190" s="15" t="e">
        <f>F189/F46</f>
        <v>#DIV/0!</v>
      </c>
      <c r="H190" s="15" t="s">
        <v>1163</v>
      </c>
    </row>
    <row r="191" spans="1:8" ht="15" customHeight="1" x14ac:dyDescent="0.25">
      <c r="A191" s="3" t="s">
        <v>9</v>
      </c>
      <c r="B191" s="13" t="s">
        <v>15</v>
      </c>
      <c r="C191" s="13" t="s">
        <v>2071</v>
      </c>
      <c r="D191" s="3" t="s">
        <v>881</v>
      </c>
      <c r="G191" s="15">
        <f>G46*G192</f>
        <v>0</v>
      </c>
      <c r="H191" s="15" t="s">
        <v>1164</v>
      </c>
    </row>
    <row r="192" spans="1:8" ht="15" customHeight="1" x14ac:dyDescent="0.25">
      <c r="A192" s="5" t="s">
        <v>12</v>
      </c>
      <c r="B192" s="5"/>
      <c r="C192" s="14" t="s">
        <v>2369</v>
      </c>
      <c r="D192" s="5" t="s">
        <v>879</v>
      </c>
      <c r="F192" s="15" t="e">
        <f>F191/F46</f>
        <v>#DIV/0!</v>
      </c>
      <c r="H192" s="15" t="s">
        <v>1163</v>
      </c>
    </row>
    <row r="193" spans="1:8" ht="15" customHeight="1" x14ac:dyDescent="0.25">
      <c r="A193" s="13" t="s">
        <v>9</v>
      </c>
      <c r="B193" s="13" t="s">
        <v>15</v>
      </c>
      <c r="C193" s="13" t="s">
        <v>2072</v>
      </c>
      <c r="D193" s="13" t="s">
        <v>882</v>
      </c>
    </row>
    <row r="194" spans="1:8" ht="15" customHeight="1" x14ac:dyDescent="0.25">
      <c r="A194" s="13" t="s">
        <v>9</v>
      </c>
      <c r="B194" s="13" t="s">
        <v>15</v>
      </c>
      <c r="C194" s="13" t="s">
        <v>2073</v>
      </c>
      <c r="D194" s="13" t="s">
        <v>921</v>
      </c>
    </row>
    <row r="195" spans="1:8" ht="15" customHeight="1" x14ac:dyDescent="0.25">
      <c r="A195" s="13" t="s">
        <v>9</v>
      </c>
      <c r="B195" s="13" t="s">
        <v>15</v>
      </c>
      <c r="C195" s="13" t="s">
        <v>2370</v>
      </c>
      <c r="D195" s="13" t="s">
        <v>902</v>
      </c>
      <c r="G195" s="15">
        <f>G46*G196</f>
        <v>0</v>
      </c>
      <c r="H195" s="15" t="s">
        <v>1164</v>
      </c>
    </row>
    <row r="196" spans="1:8" ht="15" customHeight="1" x14ac:dyDescent="0.25">
      <c r="A196" s="14" t="s">
        <v>12</v>
      </c>
      <c r="B196" s="14"/>
      <c r="C196" s="14" t="s">
        <v>2371</v>
      </c>
      <c r="D196" s="14" t="s">
        <v>883</v>
      </c>
      <c r="F196" s="15" t="e">
        <f>F195/F46</f>
        <v>#DIV/0!</v>
      </c>
      <c r="H196" s="15" t="s">
        <v>1163</v>
      </c>
    </row>
    <row r="197" spans="1:8" ht="15" customHeight="1" x14ac:dyDescent="0.25">
      <c r="A197" s="13" t="s">
        <v>9</v>
      </c>
      <c r="B197" s="13" t="s">
        <v>15</v>
      </c>
      <c r="C197" s="13" t="s">
        <v>2074</v>
      </c>
      <c r="D197" s="13" t="s">
        <v>884</v>
      </c>
      <c r="F197" s="15">
        <f>F186-F187-F189-F191-F193-F194-F195</f>
        <v>0</v>
      </c>
    </row>
    <row r="198" spans="1:8" ht="15" customHeight="1" x14ac:dyDescent="0.25">
      <c r="A198" s="14"/>
      <c r="B198" s="14"/>
      <c r="C198" s="14"/>
      <c r="D198" s="14"/>
    </row>
    <row r="199" spans="1:8" ht="15" customHeight="1" x14ac:dyDescent="0.25">
      <c r="A199" s="13" t="s">
        <v>6</v>
      </c>
      <c r="B199" s="13" t="s">
        <v>1</v>
      </c>
      <c r="C199" s="13" t="s">
        <v>2075</v>
      </c>
      <c r="D199" s="13" t="s">
        <v>1346</v>
      </c>
      <c r="F199" s="15">
        <f>F200+F201</f>
        <v>0</v>
      </c>
      <c r="G199" s="15">
        <f>G200+G201</f>
        <v>0</v>
      </c>
    </row>
    <row r="200" spans="1:8" ht="15" customHeight="1" x14ac:dyDescent="0.25">
      <c r="A200" s="14" t="s">
        <v>9</v>
      </c>
      <c r="B200" s="14" t="s">
        <v>1</v>
      </c>
      <c r="C200" s="14" t="s">
        <v>2077</v>
      </c>
      <c r="D200" s="14" t="s">
        <v>922</v>
      </c>
    </row>
    <row r="201" spans="1:8" ht="15" customHeight="1" x14ac:dyDescent="0.25">
      <c r="A201" s="14" t="s">
        <v>9</v>
      </c>
      <c r="B201" s="14" t="s">
        <v>1</v>
      </c>
      <c r="C201" s="14" t="s">
        <v>2078</v>
      </c>
      <c r="D201" s="14" t="s">
        <v>923</v>
      </c>
    </row>
    <row r="202" spans="1:8" ht="15" customHeight="1" x14ac:dyDescent="0.25">
      <c r="A202" s="14"/>
      <c r="B202" s="14"/>
      <c r="C202" s="14"/>
      <c r="D202" s="14"/>
    </row>
    <row r="203" spans="1:8" ht="15" customHeight="1" x14ac:dyDescent="0.25">
      <c r="A203" s="13" t="s">
        <v>6</v>
      </c>
      <c r="B203" s="13" t="s">
        <v>1</v>
      </c>
      <c r="C203" s="13" t="s">
        <v>2076</v>
      </c>
      <c r="D203" s="13" t="s">
        <v>886</v>
      </c>
    </row>
    <row r="204" spans="1:8" ht="15" customHeight="1" x14ac:dyDescent="0.25">
      <c r="A204" s="14"/>
      <c r="B204" s="14"/>
      <c r="C204" s="14"/>
      <c r="D204" s="14"/>
    </row>
  </sheetData>
  <phoneticPr fontId="2" type="noConversion"/>
  <pageMargins left="0.7" right="0.7" top="0.75" bottom="0.75" header="0.3" footer="0.3"/>
  <ignoredErrors>
    <ignoredError sqref="F151:H152 G149:H149 F150 H150 G153:H153" evalError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966B-0B55-466B-97A2-632E6DE21A89}">
  <dimension ref="A1:K235"/>
  <sheetViews>
    <sheetView zoomScaleNormal="100" workbookViewId="0">
      <pane xSplit="4" ySplit="1" topLeftCell="E216" activePane="bottomRight" state="frozen"/>
      <selection pane="topRight" activeCell="E1" sqref="E1"/>
      <selection pane="bottomLeft" activeCell="A2" sqref="A2"/>
      <selection pane="bottomRight" activeCell="H236" sqref="H236"/>
    </sheetView>
  </sheetViews>
  <sheetFormatPr defaultColWidth="8.6640625" defaultRowHeight="15" customHeight="1" x14ac:dyDescent="0.25"/>
  <cols>
    <col min="1" max="2" width="8.6640625" style="15"/>
    <col min="3" max="3" width="10.88671875" style="15" bestFit="1" customWidth="1"/>
    <col min="4" max="4" width="23.21875" style="15" bestFit="1" customWidth="1"/>
    <col min="5" max="7" width="8.6640625" style="15"/>
    <col min="8" max="8" width="10.109375" style="15" bestFit="1" customWidth="1"/>
    <col min="9" max="16384" width="8.6640625" style="15"/>
  </cols>
  <sheetData>
    <row r="1" spans="1:11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  <c r="I1" s="5" t="s">
        <v>2277</v>
      </c>
      <c r="J1" s="5" t="s">
        <v>2278</v>
      </c>
      <c r="K1" s="5" t="s">
        <v>2279</v>
      </c>
    </row>
    <row r="2" spans="1:11" ht="15" customHeight="1" x14ac:dyDescent="0.25">
      <c r="A2" s="3" t="s">
        <v>6</v>
      </c>
      <c r="B2" s="5" t="s">
        <v>1</v>
      </c>
      <c r="C2" s="4" t="s">
        <v>2276</v>
      </c>
      <c r="D2" s="3" t="s">
        <v>7</v>
      </c>
      <c r="F2" s="15">
        <f>F3+F6+F7</f>
        <v>0</v>
      </c>
      <c r="G2" s="15">
        <f>G3+G6+G7</f>
        <v>0</v>
      </c>
    </row>
    <row r="3" spans="1:11" ht="15" customHeight="1" x14ac:dyDescent="0.25">
      <c r="A3" s="5" t="s">
        <v>9</v>
      </c>
      <c r="B3" s="5" t="s">
        <v>1</v>
      </c>
      <c r="C3" s="4" t="s">
        <v>2079</v>
      </c>
      <c r="D3" s="5" t="s">
        <v>10</v>
      </c>
      <c r="F3" s="15">
        <f>F4+F5</f>
        <v>0</v>
      </c>
      <c r="G3" s="15">
        <f>G4+G5</f>
        <v>0</v>
      </c>
    </row>
    <row r="4" spans="1:11" ht="15" customHeight="1" x14ac:dyDescent="0.25">
      <c r="A4" s="5" t="s">
        <v>12</v>
      </c>
      <c r="B4" s="5" t="s">
        <v>1</v>
      </c>
      <c r="C4" s="7" t="s">
        <v>2080</v>
      </c>
      <c r="D4" s="5" t="s">
        <v>627</v>
      </c>
    </row>
    <row r="5" spans="1:11" ht="15" customHeight="1" x14ac:dyDescent="0.25">
      <c r="A5" s="5" t="s">
        <v>12</v>
      </c>
      <c r="B5" s="5" t="s">
        <v>1</v>
      </c>
      <c r="C5" s="7" t="s">
        <v>2081</v>
      </c>
      <c r="D5" s="5" t="s">
        <v>632</v>
      </c>
    </row>
    <row r="6" spans="1:11" ht="15" customHeight="1" x14ac:dyDescent="0.25">
      <c r="A6" s="5" t="s">
        <v>9</v>
      </c>
      <c r="B6" s="5" t="s">
        <v>1</v>
      </c>
      <c r="C6" s="4" t="s">
        <v>2082</v>
      </c>
      <c r="D6" s="5" t="s">
        <v>1174</v>
      </c>
      <c r="F6" s="15">
        <f>F187-F190</f>
        <v>0</v>
      </c>
      <c r="G6" s="15">
        <f>G187-G190</f>
        <v>0</v>
      </c>
    </row>
    <row r="7" spans="1:11" ht="15" customHeight="1" x14ac:dyDescent="0.25">
      <c r="A7" s="5" t="s">
        <v>9</v>
      </c>
      <c r="B7" s="5" t="s">
        <v>1</v>
      </c>
      <c r="C7" s="4" t="s">
        <v>2083</v>
      </c>
      <c r="D7" s="5" t="s">
        <v>23</v>
      </c>
      <c r="F7" s="15">
        <f>F193+F234</f>
        <v>0</v>
      </c>
      <c r="G7" s="15">
        <f>G193+G234</f>
        <v>0</v>
      </c>
    </row>
    <row r="8" spans="1:11" ht="15" customHeight="1" x14ac:dyDescent="0.25">
      <c r="A8" s="3" t="s">
        <v>6</v>
      </c>
      <c r="B8" s="5" t="s">
        <v>15</v>
      </c>
      <c r="C8" s="4" t="s">
        <v>2084</v>
      </c>
      <c r="D8" s="3" t="s">
        <v>641</v>
      </c>
    </row>
    <row r="9" spans="1:11" ht="15" customHeight="1" x14ac:dyDescent="0.25">
      <c r="A9" s="3" t="s">
        <v>6</v>
      </c>
      <c r="B9" s="5" t="s">
        <v>1</v>
      </c>
      <c r="C9" s="4" t="s">
        <v>2085</v>
      </c>
      <c r="D9" s="3" t="s">
        <v>35</v>
      </c>
      <c r="F9" s="15">
        <f>F2-F8</f>
        <v>0</v>
      </c>
      <c r="G9" s="15">
        <f>G2-G8</f>
        <v>0</v>
      </c>
    </row>
    <row r="10" spans="1:11" ht="15" customHeight="1" x14ac:dyDescent="0.25">
      <c r="A10" s="3" t="s">
        <v>6</v>
      </c>
      <c r="B10" s="5" t="s">
        <v>15</v>
      </c>
      <c r="C10" s="4" t="s">
        <v>2086</v>
      </c>
      <c r="D10" s="3" t="s">
        <v>37</v>
      </c>
    </row>
    <row r="11" spans="1:11" ht="15" customHeight="1" x14ac:dyDescent="0.25">
      <c r="A11" s="3" t="s">
        <v>6</v>
      </c>
      <c r="B11" s="5" t="s">
        <v>15</v>
      </c>
      <c r="C11" s="4" t="s">
        <v>2087</v>
      </c>
      <c r="D11" s="3" t="s">
        <v>645</v>
      </c>
      <c r="F11" s="15">
        <f>F12+F15+F18+F25+F26</f>
        <v>0</v>
      </c>
      <c r="G11" s="15">
        <f>G12+G15+G18+G25+G26</f>
        <v>0</v>
      </c>
    </row>
    <row r="12" spans="1:11" ht="15" customHeight="1" x14ac:dyDescent="0.25">
      <c r="A12" s="5" t="s">
        <v>9</v>
      </c>
      <c r="B12" s="5" t="s">
        <v>15</v>
      </c>
      <c r="C12" s="4" t="s">
        <v>2088</v>
      </c>
      <c r="D12" s="5" t="s">
        <v>647</v>
      </c>
      <c r="F12" s="15">
        <f>F13+F14</f>
        <v>0</v>
      </c>
      <c r="G12" s="15">
        <f>G13+G14</f>
        <v>0</v>
      </c>
    </row>
    <row r="13" spans="1:11" ht="15" customHeight="1" x14ac:dyDescent="0.25">
      <c r="A13" s="5" t="s">
        <v>12</v>
      </c>
      <c r="B13" s="5" t="s">
        <v>15</v>
      </c>
      <c r="C13" s="7" t="s">
        <v>2089</v>
      </c>
      <c r="D13" s="5" t="s">
        <v>43</v>
      </c>
    </row>
    <row r="14" spans="1:11" ht="15" customHeight="1" x14ac:dyDescent="0.25">
      <c r="A14" s="5" t="s">
        <v>12</v>
      </c>
      <c r="B14" s="5" t="s">
        <v>15</v>
      </c>
      <c r="C14" s="7" t="s">
        <v>2090</v>
      </c>
      <c r="D14" s="5" t="s">
        <v>650</v>
      </c>
    </row>
    <row r="15" spans="1:11" ht="15" customHeight="1" x14ac:dyDescent="0.25">
      <c r="A15" s="5" t="s">
        <v>9</v>
      </c>
      <c r="B15" s="5" t="s">
        <v>15</v>
      </c>
      <c r="C15" s="4" t="s">
        <v>2091</v>
      </c>
      <c r="D15" s="5" t="s">
        <v>49</v>
      </c>
      <c r="F15" s="15">
        <f>F16+F17</f>
        <v>0</v>
      </c>
      <c r="G15" s="15">
        <f>G16+G17</f>
        <v>0</v>
      </c>
    </row>
    <row r="16" spans="1:11" ht="15" customHeight="1" x14ac:dyDescent="0.25">
      <c r="A16" s="5" t="s">
        <v>12</v>
      </c>
      <c r="B16" s="5" t="s">
        <v>15</v>
      </c>
      <c r="C16" s="7" t="s">
        <v>2092</v>
      </c>
      <c r="D16" s="5" t="s">
        <v>51</v>
      </c>
    </row>
    <row r="17" spans="1:7" ht="15" customHeight="1" x14ac:dyDescent="0.25">
      <c r="A17" s="5" t="s">
        <v>12</v>
      </c>
      <c r="B17" s="5" t="s">
        <v>15</v>
      </c>
      <c r="C17" s="7" t="s">
        <v>2093</v>
      </c>
      <c r="D17" s="5" t="s">
        <v>53</v>
      </c>
    </row>
    <row r="18" spans="1:7" ht="15" customHeight="1" x14ac:dyDescent="0.25">
      <c r="A18" s="5" t="s">
        <v>9</v>
      </c>
      <c r="B18" s="5" t="s">
        <v>15</v>
      </c>
      <c r="C18" s="4" t="s">
        <v>2094</v>
      </c>
      <c r="D18" s="5" t="s">
        <v>55</v>
      </c>
      <c r="F18" s="15">
        <f>F19+F22+F23+F24</f>
        <v>0</v>
      </c>
      <c r="G18" s="15">
        <f>G19+G22+G23+G24</f>
        <v>0</v>
      </c>
    </row>
    <row r="19" spans="1:7" ht="15" customHeight="1" x14ac:dyDescent="0.25">
      <c r="A19" s="5" t="s">
        <v>12</v>
      </c>
      <c r="B19" s="5" t="s">
        <v>15</v>
      </c>
      <c r="C19" s="7" t="s">
        <v>2095</v>
      </c>
      <c r="D19" s="5" t="s">
        <v>656</v>
      </c>
      <c r="F19" s="15">
        <f>F20+F21</f>
        <v>0</v>
      </c>
      <c r="G19" s="15">
        <f>G20+G21</f>
        <v>0</v>
      </c>
    </row>
    <row r="20" spans="1:7" ht="15" customHeight="1" x14ac:dyDescent="0.25">
      <c r="A20" s="5" t="s">
        <v>74</v>
      </c>
      <c r="B20" s="5" t="s">
        <v>15</v>
      </c>
      <c r="C20" s="7" t="s">
        <v>2096</v>
      </c>
      <c r="D20" s="5" t="s">
        <v>658</v>
      </c>
    </row>
    <row r="21" spans="1:7" ht="15" customHeight="1" x14ac:dyDescent="0.25">
      <c r="A21" s="5" t="s">
        <v>74</v>
      </c>
      <c r="B21" s="5" t="s">
        <v>15</v>
      </c>
      <c r="C21" s="7" t="s">
        <v>2097</v>
      </c>
      <c r="D21" s="5" t="s">
        <v>660</v>
      </c>
    </row>
    <row r="22" spans="1:7" ht="15" customHeight="1" x14ac:dyDescent="0.25">
      <c r="A22" s="5" t="s">
        <v>12</v>
      </c>
      <c r="B22" s="5" t="s">
        <v>15</v>
      </c>
      <c r="C22" s="7" t="s">
        <v>2098</v>
      </c>
      <c r="D22" s="5" t="s">
        <v>662</v>
      </c>
    </row>
    <row r="23" spans="1:7" ht="15" customHeight="1" x14ac:dyDescent="0.25">
      <c r="A23" s="5" t="s">
        <v>12</v>
      </c>
      <c r="B23" s="5" t="s">
        <v>15</v>
      </c>
      <c r="C23" s="7" t="s">
        <v>2099</v>
      </c>
      <c r="D23" s="5" t="s">
        <v>664</v>
      </c>
    </row>
    <row r="24" spans="1:7" ht="15" customHeight="1" x14ac:dyDescent="0.25">
      <c r="A24" s="5" t="s">
        <v>12</v>
      </c>
      <c r="B24" s="5" t="s">
        <v>15</v>
      </c>
      <c r="C24" s="7" t="s">
        <v>2100</v>
      </c>
      <c r="D24" s="5" t="s">
        <v>666</v>
      </c>
    </row>
    <row r="25" spans="1:7" ht="15" customHeight="1" x14ac:dyDescent="0.25">
      <c r="A25" s="5" t="s">
        <v>9</v>
      </c>
      <c r="B25" s="5" t="s">
        <v>15</v>
      </c>
      <c r="C25" s="4" t="s">
        <v>2101</v>
      </c>
      <c r="D25" s="5" t="s">
        <v>668</v>
      </c>
    </row>
    <row r="26" spans="1:7" ht="15" customHeight="1" x14ac:dyDescent="0.25">
      <c r="A26" s="5" t="s">
        <v>9</v>
      </c>
      <c r="B26" s="5" t="s">
        <v>15</v>
      </c>
      <c r="C26" s="4" t="s">
        <v>2102</v>
      </c>
      <c r="D26" s="5" t="s">
        <v>57</v>
      </c>
    </row>
    <row r="27" spans="1:7" ht="15" customHeight="1" x14ac:dyDescent="0.25">
      <c r="A27" s="3" t="s">
        <v>6</v>
      </c>
      <c r="B27" s="5" t="s">
        <v>1</v>
      </c>
      <c r="C27" s="4" t="s">
        <v>2103</v>
      </c>
      <c r="D27" s="3" t="s">
        <v>59</v>
      </c>
    </row>
    <row r="28" spans="1:7" ht="15" customHeight="1" x14ac:dyDescent="0.25">
      <c r="A28" s="3" t="s">
        <v>6</v>
      </c>
      <c r="B28" s="5" t="s">
        <v>517</v>
      </c>
      <c r="C28" s="4" t="s">
        <v>2104</v>
      </c>
      <c r="D28" s="3" t="s">
        <v>672</v>
      </c>
      <c r="F28" s="15">
        <f>F9-F10-F11+F27</f>
        <v>0</v>
      </c>
      <c r="G28" s="15">
        <f>G9-G10-G11+G27</f>
        <v>0</v>
      </c>
    </row>
    <row r="29" spans="1:7" ht="15" customHeight="1" x14ac:dyDescent="0.25">
      <c r="A29" s="3" t="s">
        <v>6</v>
      </c>
      <c r="B29" s="5" t="s">
        <v>15</v>
      </c>
      <c r="C29" s="4" t="s">
        <v>2105</v>
      </c>
      <c r="D29" s="3" t="s">
        <v>674</v>
      </c>
    </row>
    <row r="30" spans="1:7" ht="15" customHeight="1" x14ac:dyDescent="0.25">
      <c r="A30" s="3" t="s">
        <v>6</v>
      </c>
      <c r="B30" s="5" t="s">
        <v>517</v>
      </c>
      <c r="C30" s="4" t="s">
        <v>2106</v>
      </c>
      <c r="D30" s="3" t="s">
        <v>61</v>
      </c>
      <c r="F30" s="15">
        <f>F28-F29</f>
        <v>0</v>
      </c>
      <c r="G30" s="15">
        <f>G28-G29</f>
        <v>0</v>
      </c>
    </row>
    <row r="31" spans="1:7" ht="15" customHeight="1" x14ac:dyDescent="0.25">
      <c r="A31" s="5"/>
      <c r="B31" s="5"/>
      <c r="C31" s="7"/>
      <c r="D31" s="5"/>
    </row>
    <row r="32" spans="1:7" ht="15" customHeight="1" x14ac:dyDescent="0.25">
      <c r="A32" s="13" t="s">
        <v>6</v>
      </c>
      <c r="B32" s="13" t="s">
        <v>67</v>
      </c>
      <c r="C32" s="13" t="s">
        <v>2107</v>
      </c>
      <c r="D32" s="13" t="s">
        <v>130</v>
      </c>
      <c r="F32" s="15">
        <f>F33</f>
        <v>0</v>
      </c>
      <c r="G32" s="15">
        <f>G33</f>
        <v>0</v>
      </c>
    </row>
    <row r="33" spans="1:8" ht="15" customHeight="1" x14ac:dyDescent="0.25">
      <c r="A33" s="14" t="s">
        <v>9</v>
      </c>
      <c r="B33" s="14" t="s">
        <v>67</v>
      </c>
      <c r="C33" s="14" t="s">
        <v>2108</v>
      </c>
      <c r="D33" s="14" t="s">
        <v>852</v>
      </c>
      <c r="F33" s="15">
        <f>F34</f>
        <v>0</v>
      </c>
      <c r="G33" s="15">
        <f>G34</f>
        <v>0</v>
      </c>
    </row>
    <row r="34" spans="1:8" ht="15" customHeight="1" x14ac:dyDescent="0.25">
      <c r="A34" s="14" t="s">
        <v>12</v>
      </c>
      <c r="B34" s="14" t="s">
        <v>67</v>
      </c>
      <c r="C34" s="14" t="s">
        <v>2129</v>
      </c>
      <c r="D34" s="14" t="s">
        <v>2125</v>
      </c>
    </row>
    <row r="35" spans="1:8" ht="15" customHeight="1" x14ac:dyDescent="0.25">
      <c r="A35" s="13" t="s">
        <v>6</v>
      </c>
      <c r="B35" s="13" t="s">
        <v>521</v>
      </c>
      <c r="C35" s="13" t="s">
        <v>2109</v>
      </c>
      <c r="D35" s="13" t="s">
        <v>855</v>
      </c>
      <c r="F35" s="15">
        <f>F36</f>
        <v>0</v>
      </c>
      <c r="G35" s="15">
        <f>G36</f>
        <v>0</v>
      </c>
    </row>
    <row r="36" spans="1:8" ht="15" customHeight="1" x14ac:dyDescent="0.25">
      <c r="A36" s="14" t="s">
        <v>9</v>
      </c>
      <c r="B36" s="14" t="s">
        <v>521</v>
      </c>
      <c r="C36" s="14" t="s">
        <v>2110</v>
      </c>
      <c r="D36" s="14" t="s">
        <v>852</v>
      </c>
      <c r="F36" s="15">
        <f>F37</f>
        <v>0</v>
      </c>
      <c r="G36" s="15">
        <f>G37</f>
        <v>0</v>
      </c>
    </row>
    <row r="37" spans="1:8" ht="15" customHeight="1" x14ac:dyDescent="0.25">
      <c r="A37" s="14" t="s">
        <v>12</v>
      </c>
      <c r="B37" s="14" t="s">
        <v>521</v>
      </c>
      <c r="C37" s="14" t="s">
        <v>2130</v>
      </c>
      <c r="D37" s="14" t="s">
        <v>2125</v>
      </c>
    </row>
    <row r="38" spans="1:8" ht="15" customHeight="1" x14ac:dyDescent="0.25">
      <c r="A38" s="5"/>
      <c r="B38" s="5"/>
      <c r="C38" s="7"/>
      <c r="D38" s="5"/>
    </row>
    <row r="39" spans="1:8" s="19" customFormat="1" ht="15" customHeight="1" x14ac:dyDescent="0.25">
      <c r="A39" s="3" t="s">
        <v>6</v>
      </c>
      <c r="B39" s="3" t="s">
        <v>1</v>
      </c>
      <c r="C39" s="4" t="s">
        <v>2131</v>
      </c>
      <c r="D39" s="3" t="s">
        <v>1176</v>
      </c>
      <c r="F39" s="15">
        <f>F40+F43+F65</f>
        <v>0</v>
      </c>
      <c r="G39" s="15">
        <f>G40+G43+G65</f>
        <v>0</v>
      </c>
    </row>
    <row r="40" spans="1:8" s="19" customFormat="1" ht="15" customHeight="1" x14ac:dyDescent="0.25">
      <c r="A40" s="13" t="s">
        <v>9</v>
      </c>
      <c r="B40" s="13" t="s">
        <v>1</v>
      </c>
      <c r="C40" s="13" t="s">
        <v>2132</v>
      </c>
      <c r="D40" s="13" t="s">
        <v>1182</v>
      </c>
      <c r="G40" s="15">
        <f>G36*G41</f>
        <v>0</v>
      </c>
      <c r="H40" s="15" t="s">
        <v>1164</v>
      </c>
    </row>
    <row r="41" spans="1:8" ht="15" customHeight="1" x14ac:dyDescent="0.25">
      <c r="A41" s="14" t="s">
        <v>12</v>
      </c>
      <c r="B41" s="14" t="s">
        <v>518</v>
      </c>
      <c r="C41" s="14" t="s">
        <v>2133</v>
      </c>
      <c r="D41" s="14" t="s">
        <v>1583</v>
      </c>
      <c r="F41" s="15" t="e">
        <f>F40/F36</f>
        <v>#DIV/0!</v>
      </c>
      <c r="H41" s="15" t="s">
        <v>1163</v>
      </c>
    </row>
    <row r="42" spans="1:8" ht="15" customHeight="1" x14ac:dyDescent="0.25">
      <c r="A42" s="13"/>
      <c r="B42" s="13"/>
      <c r="C42" s="13"/>
      <c r="D42" s="13"/>
    </row>
    <row r="43" spans="1:8" ht="15" customHeight="1" x14ac:dyDescent="0.25">
      <c r="A43" s="3" t="s">
        <v>9</v>
      </c>
      <c r="B43" s="13" t="s">
        <v>1</v>
      </c>
      <c r="C43" s="13" t="s">
        <v>2134</v>
      </c>
      <c r="D43" s="3" t="s">
        <v>1363</v>
      </c>
      <c r="F43" s="15">
        <f>F44+F48+F52+F56+F60</f>
        <v>0</v>
      </c>
      <c r="G43" s="15">
        <f>G44+G48+G52+G56+G60</f>
        <v>0</v>
      </c>
    </row>
    <row r="44" spans="1:8" ht="15" customHeight="1" x14ac:dyDescent="0.25">
      <c r="A44" s="3" t="s">
        <v>12</v>
      </c>
      <c r="B44" s="14" t="s">
        <v>1</v>
      </c>
      <c r="C44" s="4" t="s">
        <v>2136</v>
      </c>
      <c r="D44" s="3" t="s">
        <v>95</v>
      </c>
      <c r="G44" s="15">
        <f>G46*G47</f>
        <v>0</v>
      </c>
      <c r="H44" s="15" t="s">
        <v>1164</v>
      </c>
    </row>
    <row r="45" spans="1:8" ht="15" customHeight="1" x14ac:dyDescent="0.25">
      <c r="A45" s="5" t="s">
        <v>74</v>
      </c>
      <c r="B45" s="5" t="s">
        <v>67</v>
      </c>
      <c r="C45" s="7" t="s">
        <v>2137</v>
      </c>
      <c r="D45" s="14" t="s">
        <v>895</v>
      </c>
    </row>
    <row r="46" spans="1:8" ht="15" customHeight="1" x14ac:dyDescent="0.25">
      <c r="A46" s="5" t="s">
        <v>74</v>
      </c>
      <c r="B46" s="5" t="s">
        <v>521</v>
      </c>
      <c r="C46" s="7" t="s">
        <v>2138</v>
      </c>
      <c r="D46" s="14" t="s">
        <v>896</v>
      </c>
    </row>
    <row r="47" spans="1:8" ht="15" customHeight="1" x14ac:dyDescent="0.25">
      <c r="A47" s="5" t="s">
        <v>74</v>
      </c>
      <c r="B47" s="5" t="s">
        <v>518</v>
      </c>
      <c r="C47" s="7" t="s">
        <v>2139</v>
      </c>
      <c r="D47" s="14" t="s">
        <v>2135</v>
      </c>
      <c r="F47" s="15" t="e">
        <f>F44/F46</f>
        <v>#DIV/0!</v>
      </c>
      <c r="H47" s="15" t="s">
        <v>1163</v>
      </c>
    </row>
    <row r="48" spans="1:8" ht="15" customHeight="1" x14ac:dyDescent="0.25">
      <c r="A48" s="3" t="s">
        <v>12</v>
      </c>
      <c r="B48" s="14" t="s">
        <v>1</v>
      </c>
      <c r="C48" s="4" t="s">
        <v>2144</v>
      </c>
      <c r="D48" s="3" t="s">
        <v>2140</v>
      </c>
      <c r="G48" s="15">
        <f>G50*G51</f>
        <v>0</v>
      </c>
      <c r="H48" s="15" t="s">
        <v>1164</v>
      </c>
    </row>
    <row r="49" spans="1:8" ht="15" customHeight="1" x14ac:dyDescent="0.25">
      <c r="A49" s="5" t="s">
        <v>74</v>
      </c>
      <c r="B49" s="5" t="s">
        <v>67</v>
      </c>
      <c r="C49" s="7" t="s">
        <v>2145</v>
      </c>
      <c r="D49" s="14" t="s">
        <v>895</v>
      </c>
    </row>
    <row r="50" spans="1:8" ht="15" customHeight="1" x14ac:dyDescent="0.25">
      <c r="A50" s="5" t="s">
        <v>74</v>
      </c>
      <c r="B50" s="5" t="s">
        <v>521</v>
      </c>
      <c r="C50" s="7" t="s">
        <v>2146</v>
      </c>
      <c r="D50" s="14" t="s">
        <v>896</v>
      </c>
    </row>
    <row r="51" spans="1:8" ht="15" customHeight="1" x14ac:dyDescent="0.25">
      <c r="A51" s="5" t="s">
        <v>74</v>
      </c>
      <c r="B51" s="5" t="s">
        <v>518</v>
      </c>
      <c r="C51" s="7" t="s">
        <v>2147</v>
      </c>
      <c r="D51" s="14" t="s">
        <v>2135</v>
      </c>
      <c r="F51" s="15" t="e">
        <f>F48/F50</f>
        <v>#DIV/0!</v>
      </c>
      <c r="H51" s="15" t="s">
        <v>1163</v>
      </c>
    </row>
    <row r="52" spans="1:8" ht="15" customHeight="1" x14ac:dyDescent="0.25">
      <c r="A52" s="3" t="s">
        <v>12</v>
      </c>
      <c r="B52" s="14" t="s">
        <v>1</v>
      </c>
      <c r="C52" s="4" t="s">
        <v>2148</v>
      </c>
      <c r="D52" s="3" t="s">
        <v>2141</v>
      </c>
      <c r="G52" s="15">
        <f>G54*G55</f>
        <v>0</v>
      </c>
      <c r="H52" s="15" t="s">
        <v>1164</v>
      </c>
    </row>
    <row r="53" spans="1:8" ht="15" customHeight="1" x14ac:dyDescent="0.25">
      <c r="A53" s="5" t="s">
        <v>74</v>
      </c>
      <c r="B53" s="5" t="s">
        <v>67</v>
      </c>
      <c r="C53" s="7" t="s">
        <v>2149</v>
      </c>
      <c r="D53" s="14" t="s">
        <v>895</v>
      </c>
    </row>
    <row r="54" spans="1:8" ht="15" customHeight="1" x14ac:dyDescent="0.25">
      <c r="A54" s="5" t="s">
        <v>74</v>
      </c>
      <c r="B54" s="5" t="s">
        <v>521</v>
      </c>
      <c r="C54" s="7" t="s">
        <v>2150</v>
      </c>
      <c r="D54" s="14" t="s">
        <v>896</v>
      </c>
    </row>
    <row r="55" spans="1:8" ht="15" customHeight="1" x14ac:dyDescent="0.25">
      <c r="A55" s="5" t="s">
        <v>74</v>
      </c>
      <c r="B55" s="5" t="s">
        <v>518</v>
      </c>
      <c r="C55" s="7" t="s">
        <v>2151</v>
      </c>
      <c r="D55" s="14" t="s">
        <v>2135</v>
      </c>
      <c r="F55" s="15" t="e">
        <f>F52/F54</f>
        <v>#DIV/0!</v>
      </c>
      <c r="H55" s="15" t="s">
        <v>1163</v>
      </c>
    </row>
    <row r="56" spans="1:8" ht="15" customHeight="1" x14ac:dyDescent="0.25">
      <c r="A56" s="3" t="s">
        <v>12</v>
      </c>
      <c r="B56" s="14" t="s">
        <v>1</v>
      </c>
      <c r="C56" s="4" t="s">
        <v>2152</v>
      </c>
      <c r="D56" s="3" t="s">
        <v>2142</v>
      </c>
      <c r="G56" s="15">
        <f>G58*G59</f>
        <v>0</v>
      </c>
      <c r="H56" s="15" t="s">
        <v>1164</v>
      </c>
    </row>
    <row r="57" spans="1:8" ht="15" customHeight="1" x14ac:dyDescent="0.25">
      <c r="A57" s="5" t="s">
        <v>74</v>
      </c>
      <c r="B57" s="5" t="s">
        <v>67</v>
      </c>
      <c r="C57" s="7" t="s">
        <v>2153</v>
      </c>
      <c r="D57" s="14" t="s">
        <v>895</v>
      </c>
    </row>
    <row r="58" spans="1:8" ht="15" customHeight="1" x14ac:dyDescent="0.25">
      <c r="A58" s="5" t="s">
        <v>74</v>
      </c>
      <c r="B58" s="5" t="s">
        <v>521</v>
      </c>
      <c r="C58" s="7" t="s">
        <v>2154</v>
      </c>
      <c r="D58" s="14" t="s">
        <v>896</v>
      </c>
    </row>
    <row r="59" spans="1:8" ht="15" customHeight="1" x14ac:dyDescent="0.25">
      <c r="A59" s="5" t="s">
        <v>74</v>
      </c>
      <c r="B59" s="5" t="s">
        <v>518</v>
      </c>
      <c r="C59" s="7" t="s">
        <v>2155</v>
      </c>
      <c r="D59" s="14" t="s">
        <v>2135</v>
      </c>
      <c r="F59" s="15" t="e">
        <f>F56/F58</f>
        <v>#DIV/0!</v>
      </c>
      <c r="H59" s="15" t="s">
        <v>1163</v>
      </c>
    </row>
    <row r="60" spans="1:8" ht="15" customHeight="1" x14ac:dyDescent="0.25">
      <c r="A60" s="3" t="s">
        <v>12</v>
      </c>
      <c r="B60" s="14" t="s">
        <v>1</v>
      </c>
      <c r="C60" s="4" t="s">
        <v>2156</v>
      </c>
      <c r="D60" s="3" t="s">
        <v>2143</v>
      </c>
      <c r="G60" s="15">
        <f>G62*G63</f>
        <v>0</v>
      </c>
      <c r="H60" s="15" t="s">
        <v>1164</v>
      </c>
    </row>
    <row r="61" spans="1:8" ht="15" customHeight="1" x14ac:dyDescent="0.25">
      <c r="A61" s="5" t="s">
        <v>74</v>
      </c>
      <c r="B61" s="5" t="s">
        <v>67</v>
      </c>
      <c r="C61" s="7" t="s">
        <v>2157</v>
      </c>
      <c r="D61" s="14" t="s">
        <v>895</v>
      </c>
    </row>
    <row r="62" spans="1:8" ht="15" customHeight="1" x14ac:dyDescent="0.25">
      <c r="A62" s="5" t="s">
        <v>74</v>
      </c>
      <c r="B62" s="5" t="s">
        <v>521</v>
      </c>
      <c r="C62" s="7" t="s">
        <v>2158</v>
      </c>
      <c r="D62" s="14" t="s">
        <v>896</v>
      </c>
    </row>
    <row r="63" spans="1:8" ht="15" customHeight="1" x14ac:dyDescent="0.25">
      <c r="A63" s="5" t="s">
        <v>74</v>
      </c>
      <c r="B63" s="5" t="s">
        <v>518</v>
      </c>
      <c r="C63" s="7" t="s">
        <v>2159</v>
      </c>
      <c r="D63" s="14" t="s">
        <v>2135</v>
      </c>
      <c r="F63" s="15" t="e">
        <f>F60/F62</f>
        <v>#DIV/0!</v>
      </c>
      <c r="H63" s="15" t="s">
        <v>1163</v>
      </c>
    </row>
    <row r="64" spans="1:8" ht="15" customHeight="1" x14ac:dyDescent="0.25">
      <c r="A64" s="5"/>
      <c r="B64" s="5"/>
      <c r="C64" s="7"/>
      <c r="D64" s="14"/>
    </row>
    <row r="65" spans="1:8" ht="15" customHeight="1" x14ac:dyDescent="0.25">
      <c r="A65" s="3" t="s">
        <v>9</v>
      </c>
      <c r="B65" s="13" t="s">
        <v>1</v>
      </c>
      <c r="C65" s="4" t="s">
        <v>2160</v>
      </c>
      <c r="D65" s="3" t="s">
        <v>2161</v>
      </c>
      <c r="F65" s="15">
        <f>F66+F70+F74+F78+F82+F86+F90+F94+F98+F102</f>
        <v>0</v>
      </c>
      <c r="G65" s="15">
        <f>G66+G70+G74+G78+G82+G86+G90+G94+G98+G102</f>
        <v>0</v>
      </c>
    </row>
    <row r="66" spans="1:8" ht="15" customHeight="1" x14ac:dyDescent="0.25">
      <c r="A66" s="3" t="s">
        <v>12</v>
      </c>
      <c r="B66" s="14" t="s">
        <v>1</v>
      </c>
      <c r="C66" s="4" t="s">
        <v>2162</v>
      </c>
      <c r="D66" s="3" t="s">
        <v>931</v>
      </c>
      <c r="G66" s="15">
        <f>G68*G69</f>
        <v>0</v>
      </c>
      <c r="H66" s="15" t="s">
        <v>1164</v>
      </c>
    </row>
    <row r="67" spans="1:8" ht="15" customHeight="1" x14ac:dyDescent="0.25">
      <c r="A67" s="5" t="s">
        <v>74</v>
      </c>
      <c r="B67" s="5" t="s">
        <v>67</v>
      </c>
      <c r="C67" s="7" t="s">
        <v>2164</v>
      </c>
      <c r="D67" s="14" t="s">
        <v>895</v>
      </c>
    </row>
    <row r="68" spans="1:8" ht="15" customHeight="1" x14ac:dyDescent="0.25">
      <c r="A68" s="5" t="s">
        <v>74</v>
      </c>
      <c r="B68" s="5" t="s">
        <v>521</v>
      </c>
      <c r="C68" s="7" t="s">
        <v>2165</v>
      </c>
      <c r="D68" s="14" t="s">
        <v>896</v>
      </c>
    </row>
    <row r="69" spans="1:8" ht="15" customHeight="1" x14ac:dyDescent="0.25">
      <c r="A69" s="5" t="s">
        <v>74</v>
      </c>
      <c r="B69" s="5" t="s">
        <v>518</v>
      </c>
      <c r="C69" s="7" t="s">
        <v>2166</v>
      </c>
      <c r="D69" s="14" t="s">
        <v>2135</v>
      </c>
      <c r="F69" s="15" t="e">
        <f>F66/F68</f>
        <v>#DIV/0!</v>
      </c>
      <c r="H69" s="15" t="s">
        <v>1163</v>
      </c>
    </row>
    <row r="70" spans="1:8" ht="15" customHeight="1" x14ac:dyDescent="0.25">
      <c r="A70" s="3" t="s">
        <v>12</v>
      </c>
      <c r="B70" s="14" t="s">
        <v>1</v>
      </c>
      <c r="C70" s="4" t="s">
        <v>2167</v>
      </c>
      <c r="D70" s="3" t="s">
        <v>289</v>
      </c>
      <c r="G70" s="15">
        <f>G72*G73</f>
        <v>0</v>
      </c>
      <c r="H70" s="15" t="s">
        <v>1164</v>
      </c>
    </row>
    <row r="71" spans="1:8" ht="15" customHeight="1" x14ac:dyDescent="0.25">
      <c r="A71" s="5" t="s">
        <v>74</v>
      </c>
      <c r="B71" s="5" t="s">
        <v>67</v>
      </c>
      <c r="C71" s="7" t="s">
        <v>2168</v>
      </c>
      <c r="D71" s="14" t="s">
        <v>895</v>
      </c>
    </row>
    <row r="72" spans="1:8" ht="15" customHeight="1" x14ac:dyDescent="0.25">
      <c r="A72" s="5" t="s">
        <v>74</v>
      </c>
      <c r="B72" s="5" t="s">
        <v>521</v>
      </c>
      <c r="C72" s="7" t="s">
        <v>2169</v>
      </c>
      <c r="D72" s="14" t="s">
        <v>896</v>
      </c>
    </row>
    <row r="73" spans="1:8" ht="15" customHeight="1" x14ac:dyDescent="0.25">
      <c r="A73" s="5" t="s">
        <v>74</v>
      </c>
      <c r="B73" s="5" t="s">
        <v>518</v>
      </c>
      <c r="C73" s="7" t="s">
        <v>2170</v>
      </c>
      <c r="D73" s="14" t="s">
        <v>2135</v>
      </c>
      <c r="F73" s="15" t="e">
        <f>F70/F72</f>
        <v>#DIV/0!</v>
      </c>
      <c r="H73" s="15" t="s">
        <v>1163</v>
      </c>
    </row>
    <row r="74" spans="1:8" ht="15" customHeight="1" x14ac:dyDescent="0.25">
      <c r="A74" s="3" t="s">
        <v>12</v>
      </c>
      <c r="B74" s="14" t="s">
        <v>1</v>
      </c>
      <c r="C74" s="4" t="s">
        <v>2171</v>
      </c>
      <c r="D74" s="3" t="s">
        <v>291</v>
      </c>
      <c r="G74" s="15">
        <f>G76*G77</f>
        <v>0</v>
      </c>
      <c r="H74" s="15" t="s">
        <v>1164</v>
      </c>
    </row>
    <row r="75" spans="1:8" ht="15" customHeight="1" x14ac:dyDescent="0.25">
      <c r="A75" s="5" t="s">
        <v>74</v>
      </c>
      <c r="B75" s="5" t="s">
        <v>67</v>
      </c>
      <c r="C75" s="7" t="s">
        <v>2172</v>
      </c>
      <c r="D75" s="14" t="s">
        <v>895</v>
      </c>
    </row>
    <row r="76" spans="1:8" ht="15" customHeight="1" x14ac:dyDescent="0.25">
      <c r="A76" s="5" t="s">
        <v>74</v>
      </c>
      <c r="B76" s="5" t="s">
        <v>521</v>
      </c>
      <c r="C76" s="7" t="s">
        <v>2173</v>
      </c>
      <c r="D76" s="14" t="s">
        <v>896</v>
      </c>
    </row>
    <row r="77" spans="1:8" ht="15" customHeight="1" x14ac:dyDescent="0.25">
      <c r="A77" s="5" t="s">
        <v>74</v>
      </c>
      <c r="B77" s="5" t="s">
        <v>518</v>
      </c>
      <c r="C77" s="7" t="s">
        <v>2174</v>
      </c>
      <c r="D77" s="14" t="s">
        <v>2135</v>
      </c>
      <c r="F77" s="15" t="e">
        <f>F74/F76</f>
        <v>#DIV/0!</v>
      </c>
      <c r="H77" s="15" t="s">
        <v>1163</v>
      </c>
    </row>
    <row r="78" spans="1:8" ht="15" customHeight="1" x14ac:dyDescent="0.25">
      <c r="A78" s="3" t="s">
        <v>12</v>
      </c>
      <c r="B78" s="14" t="s">
        <v>1</v>
      </c>
      <c r="C78" s="4" t="s">
        <v>2175</v>
      </c>
      <c r="D78" s="3" t="s">
        <v>293</v>
      </c>
      <c r="G78" s="15">
        <f>G80*G81</f>
        <v>0</v>
      </c>
      <c r="H78" s="15" t="s">
        <v>1164</v>
      </c>
    </row>
    <row r="79" spans="1:8" ht="15" customHeight="1" x14ac:dyDescent="0.25">
      <c r="A79" s="5" t="s">
        <v>74</v>
      </c>
      <c r="B79" s="5" t="s">
        <v>67</v>
      </c>
      <c r="C79" s="7" t="s">
        <v>2176</v>
      </c>
      <c r="D79" s="14" t="s">
        <v>895</v>
      </c>
    </row>
    <row r="80" spans="1:8" ht="15" customHeight="1" x14ac:dyDescent="0.25">
      <c r="A80" s="5" t="s">
        <v>74</v>
      </c>
      <c r="B80" s="5" t="s">
        <v>521</v>
      </c>
      <c r="C80" s="7" t="s">
        <v>2177</v>
      </c>
      <c r="D80" s="14" t="s">
        <v>896</v>
      </c>
    </row>
    <row r="81" spans="1:8" ht="15" customHeight="1" x14ac:dyDescent="0.25">
      <c r="A81" s="5" t="s">
        <v>74</v>
      </c>
      <c r="B81" s="5" t="s">
        <v>518</v>
      </c>
      <c r="C81" s="7" t="s">
        <v>2178</v>
      </c>
      <c r="D81" s="14" t="s">
        <v>2135</v>
      </c>
      <c r="F81" s="15" t="e">
        <f>F78/F80</f>
        <v>#DIV/0!</v>
      </c>
      <c r="H81" s="15" t="s">
        <v>1163</v>
      </c>
    </row>
    <row r="82" spans="1:8" ht="15" customHeight="1" x14ac:dyDescent="0.25">
      <c r="A82" s="3" t="s">
        <v>12</v>
      </c>
      <c r="B82" s="14" t="s">
        <v>1</v>
      </c>
      <c r="C82" s="4" t="s">
        <v>2179</v>
      </c>
      <c r="D82" s="3" t="s">
        <v>295</v>
      </c>
      <c r="G82" s="15">
        <f>G84*G85</f>
        <v>0</v>
      </c>
      <c r="H82" s="15" t="s">
        <v>1164</v>
      </c>
    </row>
    <row r="83" spans="1:8" ht="15" customHeight="1" x14ac:dyDescent="0.25">
      <c r="A83" s="5" t="s">
        <v>74</v>
      </c>
      <c r="B83" s="5" t="s">
        <v>67</v>
      </c>
      <c r="C83" s="7" t="s">
        <v>2180</v>
      </c>
      <c r="D83" s="14" t="s">
        <v>895</v>
      </c>
    </row>
    <row r="84" spans="1:8" ht="15" customHeight="1" x14ac:dyDescent="0.25">
      <c r="A84" s="5" t="s">
        <v>74</v>
      </c>
      <c r="B84" s="5" t="s">
        <v>521</v>
      </c>
      <c r="C84" s="7" t="s">
        <v>2181</v>
      </c>
      <c r="D84" s="14" t="s">
        <v>896</v>
      </c>
    </row>
    <row r="85" spans="1:8" ht="15" customHeight="1" x14ac:dyDescent="0.25">
      <c r="A85" s="5" t="s">
        <v>74</v>
      </c>
      <c r="B85" s="5" t="s">
        <v>518</v>
      </c>
      <c r="C85" s="7" t="s">
        <v>2182</v>
      </c>
      <c r="D85" s="14" t="s">
        <v>2135</v>
      </c>
      <c r="F85" s="15" t="e">
        <f>F82/F84</f>
        <v>#DIV/0!</v>
      </c>
      <c r="H85" s="15" t="s">
        <v>1163</v>
      </c>
    </row>
    <row r="86" spans="1:8" ht="15" customHeight="1" x14ac:dyDescent="0.25">
      <c r="A86" s="3" t="s">
        <v>12</v>
      </c>
      <c r="B86" s="14" t="s">
        <v>1</v>
      </c>
      <c r="C86" s="4" t="s">
        <v>2183</v>
      </c>
      <c r="D86" s="3" t="s">
        <v>297</v>
      </c>
      <c r="G86" s="15">
        <f>G88*G89</f>
        <v>0</v>
      </c>
      <c r="H86" s="15" t="s">
        <v>1164</v>
      </c>
    </row>
    <row r="87" spans="1:8" ht="15" customHeight="1" x14ac:dyDescent="0.25">
      <c r="A87" s="5" t="s">
        <v>74</v>
      </c>
      <c r="B87" s="5" t="s">
        <v>67</v>
      </c>
      <c r="C87" s="7" t="s">
        <v>2184</v>
      </c>
      <c r="D87" s="14" t="s">
        <v>895</v>
      </c>
    </row>
    <row r="88" spans="1:8" ht="15" customHeight="1" x14ac:dyDescent="0.25">
      <c r="A88" s="5" t="s">
        <v>74</v>
      </c>
      <c r="B88" s="5" t="s">
        <v>521</v>
      </c>
      <c r="C88" s="7" t="s">
        <v>2185</v>
      </c>
      <c r="D88" s="14" t="s">
        <v>896</v>
      </c>
    </row>
    <row r="89" spans="1:8" ht="15" customHeight="1" x14ac:dyDescent="0.25">
      <c r="A89" s="5" t="s">
        <v>74</v>
      </c>
      <c r="B89" s="5" t="s">
        <v>518</v>
      </c>
      <c r="C89" s="7" t="s">
        <v>2186</v>
      </c>
      <c r="D89" s="14" t="s">
        <v>2135</v>
      </c>
      <c r="F89" s="15" t="e">
        <f>F86/F88</f>
        <v>#DIV/0!</v>
      </c>
      <c r="H89" s="15" t="s">
        <v>1163</v>
      </c>
    </row>
    <row r="90" spans="1:8" ht="15" customHeight="1" x14ac:dyDescent="0.25">
      <c r="A90" s="3" t="s">
        <v>12</v>
      </c>
      <c r="B90" s="14" t="s">
        <v>1</v>
      </c>
      <c r="C90" s="4" t="s">
        <v>2187</v>
      </c>
      <c r="D90" s="3" t="s">
        <v>299</v>
      </c>
      <c r="G90" s="15">
        <f>G92*G93</f>
        <v>0</v>
      </c>
      <c r="H90" s="15" t="s">
        <v>1164</v>
      </c>
    </row>
    <row r="91" spans="1:8" ht="15" customHeight="1" x14ac:dyDescent="0.25">
      <c r="A91" s="5" t="s">
        <v>74</v>
      </c>
      <c r="B91" s="5" t="s">
        <v>67</v>
      </c>
      <c r="C91" s="7" t="s">
        <v>2188</v>
      </c>
      <c r="D91" s="14" t="s">
        <v>895</v>
      </c>
    </row>
    <row r="92" spans="1:8" ht="15" customHeight="1" x14ac:dyDescent="0.25">
      <c r="A92" s="5" t="s">
        <v>74</v>
      </c>
      <c r="B92" s="5" t="s">
        <v>521</v>
      </c>
      <c r="C92" s="7" t="s">
        <v>2189</v>
      </c>
      <c r="D92" s="14" t="s">
        <v>896</v>
      </c>
    </row>
    <row r="93" spans="1:8" ht="15" customHeight="1" x14ac:dyDescent="0.25">
      <c r="A93" s="5" t="s">
        <v>74</v>
      </c>
      <c r="B93" s="5" t="s">
        <v>518</v>
      </c>
      <c r="C93" s="7" t="s">
        <v>2190</v>
      </c>
      <c r="D93" s="14" t="s">
        <v>2135</v>
      </c>
      <c r="F93" s="15" t="e">
        <f>F90/F92</f>
        <v>#DIV/0!</v>
      </c>
      <c r="H93" s="15" t="s">
        <v>1163</v>
      </c>
    </row>
    <row r="94" spans="1:8" ht="15" customHeight="1" x14ac:dyDescent="0.25">
      <c r="A94" s="3" t="s">
        <v>12</v>
      </c>
      <c r="B94" s="14" t="s">
        <v>1</v>
      </c>
      <c r="C94" s="4" t="s">
        <v>2191</v>
      </c>
      <c r="D94" s="3" t="s">
        <v>301</v>
      </c>
      <c r="G94" s="15">
        <f>G96*G97</f>
        <v>0</v>
      </c>
      <c r="H94" s="15" t="s">
        <v>1164</v>
      </c>
    </row>
    <row r="95" spans="1:8" ht="15" customHeight="1" x14ac:dyDescent="0.25">
      <c r="A95" s="5" t="s">
        <v>74</v>
      </c>
      <c r="B95" s="5" t="s">
        <v>67</v>
      </c>
      <c r="C95" s="7" t="s">
        <v>2192</v>
      </c>
      <c r="D95" s="14" t="s">
        <v>895</v>
      </c>
    </row>
    <row r="96" spans="1:8" ht="15" customHeight="1" x14ac:dyDescent="0.25">
      <c r="A96" s="5" t="s">
        <v>74</v>
      </c>
      <c r="B96" s="5" t="s">
        <v>521</v>
      </c>
      <c r="C96" s="7" t="s">
        <v>2193</v>
      </c>
      <c r="D96" s="14" t="s">
        <v>896</v>
      </c>
    </row>
    <row r="97" spans="1:8" ht="15" customHeight="1" x14ac:dyDescent="0.25">
      <c r="A97" s="5" t="s">
        <v>74</v>
      </c>
      <c r="B97" s="5" t="s">
        <v>518</v>
      </c>
      <c r="C97" s="7" t="s">
        <v>2194</v>
      </c>
      <c r="D97" s="14" t="s">
        <v>2135</v>
      </c>
      <c r="F97" s="15" t="e">
        <f>F94/F96</f>
        <v>#DIV/0!</v>
      </c>
      <c r="H97" s="15" t="s">
        <v>1163</v>
      </c>
    </row>
    <row r="98" spans="1:8" ht="15" customHeight="1" x14ac:dyDescent="0.25">
      <c r="A98" s="3" t="s">
        <v>12</v>
      </c>
      <c r="B98" s="14" t="s">
        <v>1</v>
      </c>
      <c r="C98" s="4" t="s">
        <v>2195</v>
      </c>
      <c r="D98" s="3" t="s">
        <v>2163</v>
      </c>
      <c r="G98" s="15">
        <f>G100*G101</f>
        <v>0</v>
      </c>
      <c r="H98" s="15" t="s">
        <v>1164</v>
      </c>
    </row>
    <row r="99" spans="1:8" ht="15" customHeight="1" x14ac:dyDescent="0.25">
      <c r="A99" s="5" t="s">
        <v>74</v>
      </c>
      <c r="B99" s="5" t="s">
        <v>67</v>
      </c>
      <c r="C99" s="7" t="s">
        <v>2196</v>
      </c>
      <c r="D99" s="14" t="s">
        <v>895</v>
      </c>
    </row>
    <row r="100" spans="1:8" ht="15" customHeight="1" x14ac:dyDescent="0.25">
      <c r="A100" s="5" t="s">
        <v>74</v>
      </c>
      <c r="B100" s="5" t="s">
        <v>521</v>
      </c>
      <c r="C100" s="7" t="s">
        <v>2197</v>
      </c>
      <c r="D100" s="14" t="s">
        <v>896</v>
      </c>
    </row>
    <row r="101" spans="1:8" ht="15" customHeight="1" x14ac:dyDescent="0.25">
      <c r="A101" s="5" t="s">
        <v>74</v>
      </c>
      <c r="B101" s="5" t="s">
        <v>518</v>
      </c>
      <c r="C101" s="7" t="s">
        <v>2198</v>
      </c>
      <c r="D101" s="14" t="s">
        <v>2135</v>
      </c>
      <c r="F101" s="15" t="e">
        <f>F98/F100</f>
        <v>#DIV/0!</v>
      </c>
      <c r="H101" s="15" t="s">
        <v>1163</v>
      </c>
    </row>
    <row r="102" spans="1:8" ht="15" customHeight="1" x14ac:dyDescent="0.25">
      <c r="A102" s="3" t="s">
        <v>12</v>
      </c>
      <c r="B102" s="14" t="s">
        <v>1</v>
      </c>
      <c r="C102" s="4" t="s">
        <v>2199</v>
      </c>
      <c r="D102" s="3" t="s">
        <v>305</v>
      </c>
      <c r="G102" s="15">
        <f>G104*G105</f>
        <v>0</v>
      </c>
      <c r="H102" s="15" t="s">
        <v>1164</v>
      </c>
    </row>
    <row r="103" spans="1:8" ht="15" customHeight="1" x14ac:dyDescent="0.25">
      <c r="A103" s="5" t="s">
        <v>74</v>
      </c>
      <c r="B103" s="5" t="s">
        <v>67</v>
      </c>
      <c r="C103" s="7" t="s">
        <v>2200</v>
      </c>
      <c r="D103" s="14" t="s">
        <v>895</v>
      </c>
    </row>
    <row r="104" spans="1:8" ht="15" customHeight="1" x14ac:dyDescent="0.25">
      <c r="A104" s="5" t="s">
        <v>74</v>
      </c>
      <c r="B104" s="5" t="s">
        <v>521</v>
      </c>
      <c r="C104" s="7" t="s">
        <v>2201</v>
      </c>
      <c r="D104" s="14" t="s">
        <v>896</v>
      </c>
    </row>
    <row r="105" spans="1:8" ht="15" customHeight="1" x14ac:dyDescent="0.25">
      <c r="A105" s="5" t="s">
        <v>74</v>
      </c>
      <c r="B105" s="5" t="s">
        <v>518</v>
      </c>
      <c r="C105" s="7" t="s">
        <v>2202</v>
      </c>
      <c r="D105" s="14" t="s">
        <v>2135</v>
      </c>
      <c r="F105" s="15" t="e">
        <f>F102/F104</f>
        <v>#DIV/0!</v>
      </c>
      <c r="H105" s="15" t="s">
        <v>1163</v>
      </c>
    </row>
    <row r="106" spans="1:8" ht="15" customHeight="1" x14ac:dyDescent="0.25">
      <c r="A106" s="5"/>
      <c r="B106" s="5"/>
      <c r="C106" s="7"/>
      <c r="D106" s="14"/>
    </row>
    <row r="107" spans="1:8" ht="15" customHeight="1" x14ac:dyDescent="0.25">
      <c r="A107" s="3" t="s">
        <v>6</v>
      </c>
      <c r="B107" s="3" t="s">
        <v>15</v>
      </c>
      <c r="C107" s="4" t="s">
        <v>2203</v>
      </c>
      <c r="D107" s="3" t="s">
        <v>868</v>
      </c>
      <c r="F107" s="15">
        <f>F108+F111+F123</f>
        <v>0</v>
      </c>
      <c r="G107" s="15">
        <f>G108+G111+G123</f>
        <v>0</v>
      </c>
    </row>
    <row r="108" spans="1:8" ht="15" customHeight="1" x14ac:dyDescent="0.25">
      <c r="A108" s="13" t="s">
        <v>9</v>
      </c>
      <c r="B108" s="13" t="s">
        <v>15</v>
      </c>
      <c r="C108" s="13" t="s">
        <v>2204</v>
      </c>
      <c r="D108" s="13" t="s">
        <v>1177</v>
      </c>
      <c r="G108" s="15">
        <f>G36*G109</f>
        <v>0</v>
      </c>
      <c r="H108" s="15" t="s">
        <v>1164</v>
      </c>
    </row>
    <row r="109" spans="1:8" ht="15" customHeight="1" x14ac:dyDescent="0.25">
      <c r="A109" s="14" t="s">
        <v>12</v>
      </c>
      <c r="B109" s="14" t="s">
        <v>518</v>
      </c>
      <c r="C109" s="14" t="s">
        <v>2205</v>
      </c>
      <c r="D109" s="14" t="s">
        <v>1586</v>
      </c>
      <c r="F109" s="15" t="e">
        <f>F108/F36</f>
        <v>#DIV/0!</v>
      </c>
      <c r="H109" s="15" t="s">
        <v>1163</v>
      </c>
    </row>
    <row r="110" spans="1:8" ht="15" customHeight="1" x14ac:dyDescent="0.25">
      <c r="A110" s="5"/>
      <c r="B110" s="5"/>
      <c r="C110" s="7"/>
      <c r="D110" s="14"/>
    </row>
    <row r="111" spans="1:8" ht="15" customHeight="1" x14ac:dyDescent="0.25">
      <c r="A111" s="3" t="s">
        <v>9</v>
      </c>
      <c r="B111" s="3" t="s">
        <v>15</v>
      </c>
      <c r="C111" s="4" t="s">
        <v>2206</v>
      </c>
      <c r="D111" s="13" t="s">
        <v>1180</v>
      </c>
      <c r="E111" s="19"/>
      <c r="F111" s="19">
        <f>F112+F114+F116+F118+F120</f>
        <v>0</v>
      </c>
      <c r="G111" s="19">
        <f>G112+G114+G116+G118+G120</f>
        <v>0</v>
      </c>
    </row>
    <row r="112" spans="1:8" ht="15" customHeight="1" x14ac:dyDescent="0.25">
      <c r="A112" s="5" t="s">
        <v>12</v>
      </c>
      <c r="B112" s="5" t="s">
        <v>15</v>
      </c>
      <c r="C112" s="7" t="s">
        <v>2207</v>
      </c>
      <c r="D112" s="14" t="s">
        <v>95</v>
      </c>
      <c r="F112" s="15">
        <f>F44</f>
        <v>0</v>
      </c>
      <c r="G112" s="15">
        <f>G44</f>
        <v>0</v>
      </c>
    </row>
    <row r="113" spans="1:8" ht="15" customHeight="1" x14ac:dyDescent="0.25">
      <c r="A113" s="5" t="s">
        <v>74</v>
      </c>
      <c r="B113" s="5" t="s">
        <v>518</v>
      </c>
      <c r="C113" s="7" t="s">
        <v>2208</v>
      </c>
      <c r="D113" s="14" t="s">
        <v>905</v>
      </c>
      <c r="F113" s="15" t="e">
        <f>F47</f>
        <v>#DIV/0!</v>
      </c>
      <c r="G113" s="15">
        <f>G47</f>
        <v>0</v>
      </c>
    </row>
    <row r="114" spans="1:8" ht="15" customHeight="1" x14ac:dyDescent="0.25">
      <c r="A114" s="5" t="s">
        <v>12</v>
      </c>
      <c r="B114" s="5" t="s">
        <v>15</v>
      </c>
      <c r="C114" s="7" t="s">
        <v>2209</v>
      </c>
      <c r="D114" s="14" t="s">
        <v>2140</v>
      </c>
      <c r="G114" s="15">
        <f>G54*G115</f>
        <v>0</v>
      </c>
      <c r="H114" s="15" t="s">
        <v>1164</v>
      </c>
    </row>
    <row r="115" spans="1:8" ht="15" customHeight="1" x14ac:dyDescent="0.25">
      <c r="A115" s="5" t="s">
        <v>74</v>
      </c>
      <c r="B115" s="5" t="s">
        <v>518</v>
      </c>
      <c r="C115" s="7" t="s">
        <v>2210</v>
      </c>
      <c r="D115" s="14" t="s">
        <v>905</v>
      </c>
      <c r="F115" s="15" t="e">
        <f>F114/F50</f>
        <v>#DIV/0!</v>
      </c>
      <c r="H115" s="15" t="s">
        <v>1163</v>
      </c>
    </row>
    <row r="116" spans="1:8" ht="15" customHeight="1" x14ac:dyDescent="0.25">
      <c r="A116" s="5" t="s">
        <v>12</v>
      </c>
      <c r="B116" s="5" t="s">
        <v>15</v>
      </c>
      <c r="C116" s="7" t="s">
        <v>2211</v>
      </c>
      <c r="D116" s="14" t="s">
        <v>2141</v>
      </c>
      <c r="G116" s="15">
        <f>G54*G117</f>
        <v>0</v>
      </c>
      <c r="H116" s="15" t="s">
        <v>1164</v>
      </c>
    </row>
    <row r="117" spans="1:8" ht="15" customHeight="1" x14ac:dyDescent="0.25">
      <c r="A117" s="5" t="s">
        <v>74</v>
      </c>
      <c r="B117" s="5" t="s">
        <v>518</v>
      </c>
      <c r="C117" s="7" t="s">
        <v>2212</v>
      </c>
      <c r="D117" s="14" t="s">
        <v>905</v>
      </c>
      <c r="F117" s="15" t="e">
        <f>F116/F54</f>
        <v>#DIV/0!</v>
      </c>
      <c r="H117" s="15" t="s">
        <v>1163</v>
      </c>
    </row>
    <row r="118" spans="1:8" ht="15" customHeight="1" x14ac:dyDescent="0.25">
      <c r="A118" s="5" t="s">
        <v>12</v>
      </c>
      <c r="B118" s="5" t="s">
        <v>15</v>
      </c>
      <c r="C118" s="7" t="s">
        <v>2213</v>
      </c>
      <c r="D118" s="14" t="s">
        <v>2142</v>
      </c>
      <c r="G118" s="15">
        <f>G58*G119</f>
        <v>0</v>
      </c>
      <c r="H118" s="15" t="s">
        <v>1164</v>
      </c>
    </row>
    <row r="119" spans="1:8" ht="15" customHeight="1" x14ac:dyDescent="0.25">
      <c r="A119" s="5" t="s">
        <v>74</v>
      </c>
      <c r="B119" s="5" t="s">
        <v>518</v>
      </c>
      <c r="C119" s="7" t="s">
        <v>2214</v>
      </c>
      <c r="D119" s="14" t="s">
        <v>905</v>
      </c>
      <c r="F119" s="15" t="e">
        <f>F118/F58</f>
        <v>#DIV/0!</v>
      </c>
      <c r="H119" s="15" t="s">
        <v>1163</v>
      </c>
    </row>
    <row r="120" spans="1:8" ht="15" customHeight="1" x14ac:dyDescent="0.25">
      <c r="A120" s="5" t="s">
        <v>12</v>
      </c>
      <c r="B120" s="5" t="s">
        <v>15</v>
      </c>
      <c r="C120" s="7" t="s">
        <v>2215</v>
      </c>
      <c r="D120" s="14" t="s">
        <v>2143</v>
      </c>
      <c r="G120" s="15">
        <f>(G62+G208)*G121</f>
        <v>0</v>
      </c>
      <c r="H120" s="15" t="s">
        <v>1164</v>
      </c>
    </row>
    <row r="121" spans="1:8" ht="15" customHeight="1" x14ac:dyDescent="0.25">
      <c r="A121" s="5" t="s">
        <v>74</v>
      </c>
      <c r="B121" s="5" t="s">
        <v>518</v>
      </c>
      <c r="C121" s="7" t="s">
        <v>2216</v>
      </c>
      <c r="D121" s="14" t="s">
        <v>905</v>
      </c>
      <c r="F121" s="15" t="e">
        <f>F120/(F62+F208)</f>
        <v>#DIV/0!</v>
      </c>
      <c r="H121" s="15" t="s">
        <v>1163</v>
      </c>
    </row>
    <row r="122" spans="1:8" ht="15" customHeight="1" x14ac:dyDescent="0.25">
      <c r="A122" s="5"/>
      <c r="B122" s="5"/>
      <c r="C122" s="7"/>
      <c r="D122" s="14"/>
    </row>
    <row r="123" spans="1:8" ht="15" customHeight="1" x14ac:dyDescent="0.25">
      <c r="A123" s="3" t="s">
        <v>9</v>
      </c>
      <c r="B123" s="3" t="s">
        <v>15</v>
      </c>
      <c r="C123" s="4" t="s">
        <v>2217</v>
      </c>
      <c r="D123" s="13" t="s">
        <v>1892</v>
      </c>
      <c r="E123" s="19"/>
      <c r="F123" s="19">
        <f>F124+F126+F128+F130+F132+F134+F136+F138+F140+F142+F144+F146</f>
        <v>0</v>
      </c>
      <c r="G123" s="19">
        <f>G124+G126+G128+G130+G132+G134+G136+G138+G140+G142+G144+G146</f>
        <v>0</v>
      </c>
    </row>
    <row r="124" spans="1:8" ht="15" customHeight="1" x14ac:dyDescent="0.25">
      <c r="A124" s="5" t="s">
        <v>12</v>
      </c>
      <c r="B124" s="5" t="s">
        <v>15</v>
      </c>
      <c r="C124" s="7" t="s">
        <v>2218</v>
      </c>
      <c r="D124" s="14" t="s">
        <v>931</v>
      </c>
      <c r="G124" s="15">
        <f>(G68+G204)*G125</f>
        <v>0</v>
      </c>
      <c r="H124" s="15" t="s">
        <v>1164</v>
      </c>
    </row>
    <row r="125" spans="1:8" ht="15" customHeight="1" x14ac:dyDescent="0.25">
      <c r="A125" s="5" t="s">
        <v>74</v>
      </c>
      <c r="B125" s="5" t="s">
        <v>518</v>
      </c>
      <c r="C125" s="7" t="s">
        <v>2219</v>
      </c>
      <c r="D125" s="14" t="s">
        <v>905</v>
      </c>
      <c r="F125" s="15" t="e">
        <f>F124/(F68+F204)</f>
        <v>#DIV/0!</v>
      </c>
      <c r="H125" s="15" t="s">
        <v>1163</v>
      </c>
    </row>
    <row r="126" spans="1:8" ht="15" customHeight="1" x14ac:dyDescent="0.25">
      <c r="A126" s="5" t="s">
        <v>12</v>
      </c>
      <c r="B126" s="5" t="s">
        <v>15</v>
      </c>
      <c r="C126" s="7" t="s">
        <v>2220</v>
      </c>
      <c r="D126" s="14" t="s">
        <v>289</v>
      </c>
      <c r="G126" s="15">
        <f>G72*G127</f>
        <v>0</v>
      </c>
      <c r="H126" s="15" t="s">
        <v>1164</v>
      </c>
    </row>
    <row r="127" spans="1:8" ht="15" customHeight="1" x14ac:dyDescent="0.25">
      <c r="A127" s="5" t="s">
        <v>74</v>
      </c>
      <c r="B127" s="5" t="s">
        <v>518</v>
      </c>
      <c r="C127" s="7" t="s">
        <v>2221</v>
      </c>
      <c r="D127" s="14" t="s">
        <v>905</v>
      </c>
      <c r="F127" s="15" t="e">
        <f>F126/F72</f>
        <v>#DIV/0!</v>
      </c>
      <c r="H127" s="15" t="s">
        <v>1163</v>
      </c>
    </row>
    <row r="128" spans="1:8" ht="15" customHeight="1" x14ac:dyDescent="0.25">
      <c r="A128" s="5" t="s">
        <v>12</v>
      </c>
      <c r="B128" s="5" t="s">
        <v>15</v>
      </c>
      <c r="C128" s="7" t="s">
        <v>2222</v>
      </c>
      <c r="D128" s="14" t="s">
        <v>291</v>
      </c>
      <c r="G128" s="15">
        <f>G76*G129</f>
        <v>0</v>
      </c>
      <c r="H128" s="15" t="s">
        <v>1164</v>
      </c>
    </row>
    <row r="129" spans="1:8" ht="15" customHeight="1" x14ac:dyDescent="0.25">
      <c r="A129" s="5" t="s">
        <v>74</v>
      </c>
      <c r="B129" s="5" t="s">
        <v>518</v>
      </c>
      <c r="C129" s="7" t="s">
        <v>2223</v>
      </c>
      <c r="D129" s="14" t="s">
        <v>905</v>
      </c>
      <c r="F129" s="15" t="e">
        <f>F128/F76</f>
        <v>#DIV/0!</v>
      </c>
      <c r="H129" s="15" t="s">
        <v>1163</v>
      </c>
    </row>
    <row r="130" spans="1:8" ht="15" customHeight="1" x14ac:dyDescent="0.25">
      <c r="A130" s="5" t="s">
        <v>12</v>
      </c>
      <c r="B130" s="5" t="s">
        <v>15</v>
      </c>
      <c r="C130" s="7" t="s">
        <v>2224</v>
      </c>
      <c r="D130" s="14" t="s">
        <v>293</v>
      </c>
      <c r="G130" s="15">
        <f>G80*G131</f>
        <v>0</v>
      </c>
      <c r="H130" s="15" t="s">
        <v>1164</v>
      </c>
    </row>
    <row r="131" spans="1:8" ht="15" customHeight="1" x14ac:dyDescent="0.25">
      <c r="A131" s="5" t="s">
        <v>74</v>
      </c>
      <c r="B131" s="5" t="s">
        <v>518</v>
      </c>
      <c r="C131" s="7" t="s">
        <v>2225</v>
      </c>
      <c r="D131" s="14" t="s">
        <v>905</v>
      </c>
      <c r="F131" s="15" t="e">
        <f>F130/F80</f>
        <v>#DIV/0!</v>
      </c>
      <c r="H131" s="15" t="s">
        <v>1163</v>
      </c>
    </row>
    <row r="132" spans="1:8" ht="15" customHeight="1" x14ac:dyDescent="0.25">
      <c r="A132" s="5" t="s">
        <v>12</v>
      </c>
      <c r="B132" s="5" t="s">
        <v>15</v>
      </c>
      <c r="C132" s="7" t="s">
        <v>2226</v>
      </c>
      <c r="D132" s="14" t="s">
        <v>295</v>
      </c>
      <c r="G132" s="15">
        <f>G84*G133</f>
        <v>0</v>
      </c>
      <c r="H132" s="15" t="s">
        <v>1164</v>
      </c>
    </row>
    <row r="133" spans="1:8" ht="15" customHeight="1" x14ac:dyDescent="0.25">
      <c r="A133" s="5" t="s">
        <v>74</v>
      </c>
      <c r="B133" s="5" t="s">
        <v>518</v>
      </c>
      <c r="C133" s="7" t="s">
        <v>2227</v>
      </c>
      <c r="D133" s="14" t="s">
        <v>905</v>
      </c>
      <c r="F133" s="15" t="e">
        <f>F132/F84</f>
        <v>#DIV/0!</v>
      </c>
      <c r="H133" s="15" t="s">
        <v>1163</v>
      </c>
    </row>
    <row r="134" spans="1:8" ht="15" customHeight="1" x14ac:dyDescent="0.25">
      <c r="A134" s="5" t="s">
        <v>12</v>
      </c>
      <c r="B134" s="5" t="s">
        <v>15</v>
      </c>
      <c r="C134" s="7" t="s">
        <v>2228</v>
      </c>
      <c r="D134" s="14" t="s">
        <v>297</v>
      </c>
      <c r="G134" s="15">
        <f>G88*G135</f>
        <v>0</v>
      </c>
      <c r="H134" s="15" t="s">
        <v>1164</v>
      </c>
    </row>
    <row r="135" spans="1:8" ht="15" customHeight="1" x14ac:dyDescent="0.25">
      <c r="A135" s="5" t="s">
        <v>74</v>
      </c>
      <c r="B135" s="5" t="s">
        <v>518</v>
      </c>
      <c r="C135" s="7" t="s">
        <v>2229</v>
      </c>
      <c r="D135" s="14" t="s">
        <v>905</v>
      </c>
      <c r="F135" s="15" t="e">
        <f>F134/F88</f>
        <v>#DIV/0!</v>
      </c>
      <c r="H135" s="15" t="s">
        <v>1163</v>
      </c>
    </row>
    <row r="136" spans="1:8" ht="15" customHeight="1" x14ac:dyDescent="0.25">
      <c r="A136" s="5" t="s">
        <v>12</v>
      </c>
      <c r="B136" s="5" t="s">
        <v>15</v>
      </c>
      <c r="C136" s="7" t="s">
        <v>2230</v>
      </c>
      <c r="D136" s="14" t="s">
        <v>299</v>
      </c>
      <c r="G136" s="15">
        <f>G92*G137</f>
        <v>0</v>
      </c>
      <c r="H136" s="15" t="s">
        <v>1164</v>
      </c>
    </row>
    <row r="137" spans="1:8" ht="15" customHeight="1" x14ac:dyDescent="0.25">
      <c r="A137" s="5" t="s">
        <v>74</v>
      </c>
      <c r="B137" s="5" t="s">
        <v>518</v>
      </c>
      <c r="C137" s="7" t="s">
        <v>2231</v>
      </c>
      <c r="D137" s="14" t="s">
        <v>905</v>
      </c>
      <c r="F137" s="15" t="e">
        <f>F136/F92</f>
        <v>#DIV/0!</v>
      </c>
      <c r="H137" s="15" t="s">
        <v>1163</v>
      </c>
    </row>
    <row r="138" spans="1:8" ht="15" customHeight="1" x14ac:dyDescent="0.25">
      <c r="A138" s="5" t="s">
        <v>12</v>
      </c>
      <c r="B138" s="5" t="s">
        <v>15</v>
      </c>
      <c r="C138" s="7" t="s">
        <v>2232</v>
      </c>
      <c r="D138" s="14" t="s">
        <v>301</v>
      </c>
      <c r="G138" s="15">
        <f>G96*G139</f>
        <v>0</v>
      </c>
      <c r="H138" s="15" t="s">
        <v>1164</v>
      </c>
    </row>
    <row r="139" spans="1:8" ht="15" customHeight="1" x14ac:dyDescent="0.25">
      <c r="A139" s="5" t="s">
        <v>74</v>
      </c>
      <c r="B139" s="5" t="s">
        <v>518</v>
      </c>
      <c r="C139" s="7" t="s">
        <v>2233</v>
      </c>
      <c r="D139" s="14" t="s">
        <v>905</v>
      </c>
      <c r="F139" s="15" t="e">
        <f>F138/F96</f>
        <v>#DIV/0!</v>
      </c>
      <c r="H139" s="15" t="s">
        <v>1163</v>
      </c>
    </row>
    <row r="140" spans="1:8" ht="15" customHeight="1" x14ac:dyDescent="0.25">
      <c r="A140" s="5" t="s">
        <v>12</v>
      </c>
      <c r="B140" s="5" t="s">
        <v>15</v>
      </c>
      <c r="C140" s="7" t="s">
        <v>2234</v>
      </c>
      <c r="D140" s="14" t="s">
        <v>2163</v>
      </c>
      <c r="G140" s="15">
        <f>G100*G141</f>
        <v>0</v>
      </c>
      <c r="H140" s="15" t="s">
        <v>1164</v>
      </c>
    </row>
    <row r="141" spans="1:8" ht="15" customHeight="1" x14ac:dyDescent="0.25">
      <c r="A141" s="5" t="s">
        <v>74</v>
      </c>
      <c r="B141" s="5" t="s">
        <v>518</v>
      </c>
      <c r="C141" s="7" t="s">
        <v>2235</v>
      </c>
      <c r="D141" s="14" t="s">
        <v>905</v>
      </c>
      <c r="F141" s="15" t="e">
        <f>F140/F100</f>
        <v>#DIV/0!</v>
      </c>
      <c r="H141" s="15" t="s">
        <v>1163</v>
      </c>
    </row>
    <row r="142" spans="1:8" ht="15" customHeight="1" x14ac:dyDescent="0.25">
      <c r="A142" s="5" t="s">
        <v>12</v>
      </c>
      <c r="B142" s="5" t="s">
        <v>15</v>
      </c>
      <c r="C142" s="7" t="s">
        <v>2321</v>
      </c>
      <c r="D142" s="14" t="s">
        <v>305</v>
      </c>
      <c r="G142" s="15">
        <f>G104*G143</f>
        <v>0</v>
      </c>
      <c r="H142" s="15" t="s">
        <v>1164</v>
      </c>
    </row>
    <row r="143" spans="1:8" ht="15" customHeight="1" x14ac:dyDescent="0.25">
      <c r="A143" s="5" t="s">
        <v>74</v>
      </c>
      <c r="B143" s="5" t="s">
        <v>518</v>
      </c>
      <c r="C143" s="7" t="s">
        <v>2236</v>
      </c>
      <c r="D143" s="14" t="s">
        <v>905</v>
      </c>
      <c r="F143" s="15" t="e">
        <f>F142/F104</f>
        <v>#DIV/0!</v>
      </c>
      <c r="H143" s="15" t="s">
        <v>1163</v>
      </c>
    </row>
    <row r="144" spans="1:8" ht="15" customHeight="1" x14ac:dyDescent="0.25">
      <c r="A144" s="5" t="s">
        <v>12</v>
      </c>
      <c r="B144" s="5" t="s">
        <v>15</v>
      </c>
      <c r="C144" s="7" t="s">
        <v>2322</v>
      </c>
      <c r="D144" s="14" t="s">
        <v>2326</v>
      </c>
      <c r="G144" s="15">
        <f>G212*G145</f>
        <v>0</v>
      </c>
      <c r="H144" s="15" t="s">
        <v>1164</v>
      </c>
    </row>
    <row r="145" spans="1:8" ht="15" customHeight="1" x14ac:dyDescent="0.25">
      <c r="A145" s="5" t="s">
        <v>74</v>
      </c>
      <c r="B145" s="5" t="s">
        <v>518</v>
      </c>
      <c r="C145" s="7" t="s">
        <v>2323</v>
      </c>
      <c r="D145" s="14" t="s">
        <v>905</v>
      </c>
      <c r="F145" s="15" t="e">
        <f>F144/F212</f>
        <v>#DIV/0!</v>
      </c>
      <c r="H145" s="15" t="s">
        <v>1163</v>
      </c>
    </row>
    <row r="146" spans="1:8" ht="15" customHeight="1" x14ac:dyDescent="0.25">
      <c r="A146" s="5" t="s">
        <v>12</v>
      </c>
      <c r="B146" s="5" t="s">
        <v>15</v>
      </c>
      <c r="C146" s="7" t="s">
        <v>2324</v>
      </c>
      <c r="D146" s="14" t="s">
        <v>2327</v>
      </c>
      <c r="G146" s="15">
        <f>G216*G147</f>
        <v>0</v>
      </c>
      <c r="H146" s="15" t="s">
        <v>1164</v>
      </c>
    </row>
    <row r="147" spans="1:8" ht="15" customHeight="1" x14ac:dyDescent="0.25">
      <c r="A147" s="5" t="s">
        <v>74</v>
      </c>
      <c r="B147" s="5" t="s">
        <v>518</v>
      </c>
      <c r="C147" s="7" t="s">
        <v>2325</v>
      </c>
      <c r="D147" s="14" t="s">
        <v>905</v>
      </c>
      <c r="F147" s="15" t="e">
        <f>F146/F216</f>
        <v>#DIV/0!</v>
      </c>
      <c r="H147" s="15" t="s">
        <v>1163</v>
      </c>
    </row>
    <row r="148" spans="1:8" ht="15" customHeight="1" x14ac:dyDescent="0.25">
      <c r="A148" s="5"/>
      <c r="B148" s="5"/>
      <c r="C148" s="7"/>
      <c r="D148" s="14"/>
    </row>
    <row r="149" spans="1:8" ht="15" customHeight="1" x14ac:dyDescent="0.25">
      <c r="A149" s="3" t="s">
        <v>6</v>
      </c>
      <c r="B149" s="3" t="s">
        <v>15</v>
      </c>
      <c r="C149" s="4" t="s">
        <v>2237</v>
      </c>
      <c r="D149" s="13" t="s">
        <v>1218</v>
      </c>
    </row>
    <row r="150" spans="1:8" ht="15" customHeight="1" x14ac:dyDescent="0.25">
      <c r="A150" s="3" t="s">
        <v>9</v>
      </c>
      <c r="B150" s="3" t="s">
        <v>15</v>
      </c>
      <c r="C150" s="4" t="s">
        <v>2238</v>
      </c>
      <c r="D150" s="13" t="s">
        <v>1588</v>
      </c>
    </row>
    <row r="151" spans="1:8" ht="15" customHeight="1" x14ac:dyDescent="0.25">
      <c r="A151" s="3" t="s">
        <v>12</v>
      </c>
      <c r="B151" s="3" t="s">
        <v>15</v>
      </c>
      <c r="C151" s="4" t="s">
        <v>2239</v>
      </c>
      <c r="D151" s="13" t="s">
        <v>2022</v>
      </c>
      <c r="G151" s="15">
        <f>G153*G154</f>
        <v>0</v>
      </c>
      <c r="H151" s="15" t="s">
        <v>1164</v>
      </c>
    </row>
    <row r="152" spans="1:8" ht="15" customHeight="1" x14ac:dyDescent="0.25">
      <c r="A152" s="14" t="s">
        <v>74</v>
      </c>
      <c r="B152" s="14" t="s">
        <v>111</v>
      </c>
      <c r="C152" s="7" t="s">
        <v>2240</v>
      </c>
      <c r="D152" s="14" t="s">
        <v>895</v>
      </c>
    </row>
    <row r="153" spans="1:8" ht="15" customHeight="1" x14ac:dyDescent="0.25">
      <c r="A153" s="14" t="s">
        <v>74</v>
      </c>
      <c r="B153" s="14" t="s">
        <v>539</v>
      </c>
      <c r="C153" s="7" t="s">
        <v>2241</v>
      </c>
      <c r="D153" s="14" t="s">
        <v>896</v>
      </c>
    </row>
    <row r="154" spans="1:8" ht="15" customHeight="1" x14ac:dyDescent="0.25">
      <c r="A154" s="14" t="s">
        <v>74</v>
      </c>
      <c r="B154" s="14" t="s">
        <v>519</v>
      </c>
      <c r="C154" s="7" t="s">
        <v>2242</v>
      </c>
      <c r="D154" s="14" t="s">
        <v>897</v>
      </c>
      <c r="F154" s="15" t="e">
        <f>F151/F153</f>
        <v>#DIV/0!</v>
      </c>
      <c r="H154" s="15" t="s">
        <v>1163</v>
      </c>
    </row>
    <row r="155" spans="1:8" ht="15" customHeight="1" x14ac:dyDescent="0.25">
      <c r="A155" s="3" t="s">
        <v>12</v>
      </c>
      <c r="B155" s="3" t="s">
        <v>15</v>
      </c>
      <c r="C155" s="4" t="s">
        <v>2243</v>
      </c>
      <c r="D155" s="13" t="s">
        <v>2263</v>
      </c>
      <c r="G155" s="15">
        <f>G157*G158</f>
        <v>0</v>
      </c>
      <c r="H155" s="15" t="s">
        <v>1164</v>
      </c>
    </row>
    <row r="156" spans="1:8" ht="15" customHeight="1" x14ac:dyDescent="0.25">
      <c r="A156" s="14" t="s">
        <v>74</v>
      </c>
      <c r="B156" s="14" t="s">
        <v>111</v>
      </c>
      <c r="C156" s="7" t="s">
        <v>2244</v>
      </c>
      <c r="D156" s="14" t="s">
        <v>895</v>
      </c>
    </row>
    <row r="157" spans="1:8" ht="15" customHeight="1" x14ac:dyDescent="0.25">
      <c r="A157" s="14" t="s">
        <v>74</v>
      </c>
      <c r="B157" s="14" t="s">
        <v>539</v>
      </c>
      <c r="C157" s="7" t="s">
        <v>2245</v>
      </c>
      <c r="D157" s="14" t="s">
        <v>896</v>
      </c>
    </row>
    <row r="158" spans="1:8" ht="15" customHeight="1" x14ac:dyDescent="0.25">
      <c r="A158" s="14" t="s">
        <v>74</v>
      </c>
      <c r="B158" s="14" t="s">
        <v>519</v>
      </c>
      <c r="C158" s="7" t="s">
        <v>2246</v>
      </c>
      <c r="D158" s="14" t="s">
        <v>897</v>
      </c>
      <c r="F158" s="15" t="e">
        <f>F155/F157</f>
        <v>#DIV/0!</v>
      </c>
      <c r="H158" s="15" t="s">
        <v>1163</v>
      </c>
    </row>
    <row r="159" spans="1:8" ht="15" customHeight="1" x14ac:dyDescent="0.25">
      <c r="A159" s="3" t="s">
        <v>12</v>
      </c>
      <c r="B159" s="3" t="s">
        <v>15</v>
      </c>
      <c r="C159" s="4" t="s">
        <v>2247</v>
      </c>
      <c r="D159" s="13" t="s">
        <v>358</v>
      </c>
      <c r="G159" s="15">
        <f>G161*G162</f>
        <v>0</v>
      </c>
      <c r="H159" s="15" t="s">
        <v>1164</v>
      </c>
    </row>
    <row r="160" spans="1:8" ht="15" customHeight="1" x14ac:dyDescent="0.25">
      <c r="A160" s="14" t="s">
        <v>74</v>
      </c>
      <c r="B160" s="14" t="s">
        <v>111</v>
      </c>
      <c r="C160" s="7" t="s">
        <v>2248</v>
      </c>
      <c r="D160" s="14" t="s">
        <v>895</v>
      </c>
    </row>
    <row r="161" spans="1:8" ht="15" customHeight="1" x14ac:dyDescent="0.25">
      <c r="A161" s="14" t="s">
        <v>74</v>
      </c>
      <c r="B161" s="14" t="s">
        <v>539</v>
      </c>
      <c r="C161" s="7" t="s">
        <v>2249</v>
      </c>
      <c r="D161" s="14" t="s">
        <v>896</v>
      </c>
    </row>
    <row r="162" spans="1:8" ht="15" customHeight="1" x14ac:dyDescent="0.25">
      <c r="A162" s="14" t="s">
        <v>74</v>
      </c>
      <c r="B162" s="14" t="s">
        <v>519</v>
      </c>
      <c r="C162" s="7" t="s">
        <v>2250</v>
      </c>
      <c r="D162" s="14" t="s">
        <v>897</v>
      </c>
      <c r="F162" s="15" t="e">
        <f>F159/F161</f>
        <v>#DIV/0!</v>
      </c>
      <c r="H162" s="15" t="s">
        <v>1163</v>
      </c>
    </row>
    <row r="163" spans="1:8" ht="15" customHeight="1" x14ac:dyDescent="0.25">
      <c r="A163" s="3" t="s">
        <v>12</v>
      </c>
      <c r="B163" s="3" t="s">
        <v>15</v>
      </c>
      <c r="C163" s="4" t="s">
        <v>2251</v>
      </c>
      <c r="D163" s="13" t="s">
        <v>365</v>
      </c>
      <c r="G163" s="15">
        <f>G165*G166</f>
        <v>0</v>
      </c>
      <c r="H163" s="15" t="s">
        <v>1164</v>
      </c>
    </row>
    <row r="164" spans="1:8" ht="15" customHeight="1" x14ac:dyDescent="0.25">
      <c r="A164" s="14" t="s">
        <v>74</v>
      </c>
      <c r="B164" s="14" t="s">
        <v>111</v>
      </c>
      <c r="C164" s="7" t="s">
        <v>2252</v>
      </c>
      <c r="D164" s="14" t="s">
        <v>895</v>
      </c>
    </row>
    <row r="165" spans="1:8" ht="15" customHeight="1" x14ac:dyDescent="0.25">
      <c r="A165" s="14" t="s">
        <v>74</v>
      </c>
      <c r="B165" s="14" t="s">
        <v>539</v>
      </c>
      <c r="C165" s="7" t="s">
        <v>2253</v>
      </c>
      <c r="D165" s="14" t="s">
        <v>896</v>
      </c>
    </row>
    <row r="166" spans="1:8" ht="15" customHeight="1" x14ac:dyDescent="0.25">
      <c r="A166" s="14" t="s">
        <v>74</v>
      </c>
      <c r="B166" s="14" t="s">
        <v>519</v>
      </c>
      <c r="C166" s="7" t="s">
        <v>2254</v>
      </c>
      <c r="D166" s="14" t="s">
        <v>897</v>
      </c>
      <c r="F166" s="15" t="e">
        <f>F163/F165</f>
        <v>#DIV/0!</v>
      </c>
      <c r="H166" s="15" t="s">
        <v>1163</v>
      </c>
    </row>
    <row r="167" spans="1:8" ht="15" customHeight="1" x14ac:dyDescent="0.25">
      <c r="A167" s="3" t="s">
        <v>12</v>
      </c>
      <c r="B167" s="3" t="s">
        <v>15</v>
      </c>
      <c r="C167" s="4" t="s">
        <v>2255</v>
      </c>
      <c r="D167" s="13" t="s">
        <v>371</v>
      </c>
      <c r="G167" s="15">
        <f>G169*G170</f>
        <v>0</v>
      </c>
      <c r="H167" s="15" t="s">
        <v>1164</v>
      </c>
    </row>
    <row r="168" spans="1:8" ht="15" customHeight="1" x14ac:dyDescent="0.25">
      <c r="A168" s="14" t="s">
        <v>74</v>
      </c>
      <c r="B168" s="14" t="s">
        <v>111</v>
      </c>
      <c r="C168" s="7" t="s">
        <v>2256</v>
      </c>
      <c r="D168" s="14" t="s">
        <v>895</v>
      </c>
    </row>
    <row r="169" spans="1:8" ht="15" customHeight="1" x14ac:dyDescent="0.25">
      <c r="A169" s="14" t="s">
        <v>74</v>
      </c>
      <c r="B169" s="14" t="s">
        <v>539</v>
      </c>
      <c r="C169" s="7" t="s">
        <v>2257</v>
      </c>
      <c r="D169" s="14" t="s">
        <v>896</v>
      </c>
    </row>
    <row r="170" spans="1:8" ht="15" customHeight="1" x14ac:dyDescent="0.25">
      <c r="A170" s="14" t="s">
        <v>74</v>
      </c>
      <c r="B170" s="14" t="s">
        <v>519</v>
      </c>
      <c r="C170" s="7" t="s">
        <v>2258</v>
      </c>
      <c r="D170" s="14" t="s">
        <v>897</v>
      </c>
      <c r="F170" s="15" t="e">
        <f>F167/F169</f>
        <v>#DIV/0!</v>
      </c>
      <c r="H170" s="15" t="s">
        <v>1163</v>
      </c>
    </row>
    <row r="171" spans="1:8" ht="15" customHeight="1" x14ac:dyDescent="0.25">
      <c r="A171" s="14"/>
      <c r="B171" s="14"/>
      <c r="C171" s="7"/>
      <c r="D171" s="14"/>
    </row>
    <row r="172" spans="1:8" ht="15" customHeight="1" x14ac:dyDescent="0.25">
      <c r="A172" s="14" t="s">
        <v>6</v>
      </c>
      <c r="B172" s="14" t="s">
        <v>1</v>
      </c>
      <c r="C172" s="7" t="s">
        <v>2259</v>
      </c>
      <c r="D172" s="14" t="s">
        <v>898</v>
      </c>
      <c r="F172" s="15">
        <f>F173</f>
        <v>0</v>
      </c>
      <c r="G172" s="15">
        <f>G173</f>
        <v>0</v>
      </c>
    </row>
    <row r="173" spans="1:8" ht="15" customHeight="1" x14ac:dyDescent="0.25">
      <c r="A173" s="14" t="s">
        <v>9</v>
      </c>
      <c r="B173" s="14" t="s">
        <v>1</v>
      </c>
      <c r="C173" s="7" t="s">
        <v>2260</v>
      </c>
      <c r="D173" s="14" t="s">
        <v>1232</v>
      </c>
      <c r="F173" s="15">
        <f>F174+F176+F178+F180+F182</f>
        <v>0</v>
      </c>
      <c r="G173" s="15">
        <f>G174+G176+G178+G180+G182</f>
        <v>0</v>
      </c>
    </row>
    <row r="174" spans="1:8" ht="15" customHeight="1" x14ac:dyDescent="0.25">
      <c r="A174" s="14" t="s">
        <v>12</v>
      </c>
      <c r="B174" s="14" t="s">
        <v>1</v>
      </c>
      <c r="C174" s="7" t="s">
        <v>2261</v>
      </c>
      <c r="D174" s="14" t="s">
        <v>2022</v>
      </c>
      <c r="G174" s="15">
        <f>G153*G175</f>
        <v>0</v>
      </c>
      <c r="H174" s="15" t="s">
        <v>1164</v>
      </c>
    </row>
    <row r="175" spans="1:8" ht="15" customHeight="1" x14ac:dyDescent="0.25">
      <c r="A175" s="14" t="s">
        <v>74</v>
      </c>
      <c r="B175" s="14" t="s">
        <v>518</v>
      </c>
      <c r="C175" s="7" t="s">
        <v>2262</v>
      </c>
      <c r="D175" s="14" t="s">
        <v>905</v>
      </c>
      <c r="F175" s="15" t="e">
        <f>F174/F153</f>
        <v>#DIV/0!</v>
      </c>
      <c r="H175" s="15" t="s">
        <v>1163</v>
      </c>
    </row>
    <row r="176" spans="1:8" ht="15" customHeight="1" x14ac:dyDescent="0.25">
      <c r="A176" s="14" t="s">
        <v>12</v>
      </c>
      <c r="B176" s="14" t="s">
        <v>1</v>
      </c>
      <c r="C176" s="7" t="s">
        <v>2328</v>
      </c>
      <c r="D176" s="14" t="s">
        <v>2263</v>
      </c>
      <c r="G176" s="15">
        <f>G157*G177</f>
        <v>0</v>
      </c>
      <c r="H176" s="15" t="s">
        <v>1164</v>
      </c>
    </row>
    <row r="177" spans="1:8" ht="15" customHeight="1" x14ac:dyDescent="0.25">
      <c r="A177" s="14" t="s">
        <v>74</v>
      </c>
      <c r="B177" s="14" t="s">
        <v>518</v>
      </c>
      <c r="C177" s="7" t="s">
        <v>2329</v>
      </c>
      <c r="D177" s="14" t="s">
        <v>905</v>
      </c>
      <c r="F177" s="15" t="e">
        <f>F176/F157</f>
        <v>#DIV/0!</v>
      </c>
      <c r="H177" s="15" t="s">
        <v>1163</v>
      </c>
    </row>
    <row r="178" spans="1:8" ht="15" customHeight="1" x14ac:dyDescent="0.25">
      <c r="A178" s="14" t="s">
        <v>12</v>
      </c>
      <c r="B178" s="14" t="s">
        <v>1</v>
      </c>
      <c r="C178" s="7" t="s">
        <v>2330</v>
      </c>
      <c r="D178" s="14" t="s">
        <v>358</v>
      </c>
      <c r="G178" s="15">
        <f>G161*G179</f>
        <v>0</v>
      </c>
      <c r="H178" s="15" t="s">
        <v>1164</v>
      </c>
    </row>
    <row r="179" spans="1:8" ht="15" customHeight="1" x14ac:dyDescent="0.25">
      <c r="A179" s="14" t="s">
        <v>74</v>
      </c>
      <c r="B179" s="14" t="s">
        <v>518</v>
      </c>
      <c r="C179" s="7" t="s">
        <v>2331</v>
      </c>
      <c r="D179" s="14" t="s">
        <v>905</v>
      </c>
      <c r="F179" s="15" t="e">
        <f>F178/F161</f>
        <v>#DIV/0!</v>
      </c>
      <c r="H179" s="15" t="s">
        <v>1163</v>
      </c>
    </row>
    <row r="180" spans="1:8" ht="15" customHeight="1" x14ac:dyDescent="0.25">
      <c r="A180" s="14" t="s">
        <v>12</v>
      </c>
      <c r="B180" s="14" t="s">
        <v>1</v>
      </c>
      <c r="C180" s="7" t="s">
        <v>2332</v>
      </c>
      <c r="D180" s="14" t="s">
        <v>365</v>
      </c>
      <c r="G180" s="15">
        <f>G165*G181</f>
        <v>0</v>
      </c>
      <c r="H180" s="15" t="s">
        <v>1164</v>
      </c>
    </row>
    <row r="181" spans="1:8" ht="15" customHeight="1" x14ac:dyDescent="0.25">
      <c r="A181" s="14" t="s">
        <v>74</v>
      </c>
      <c r="B181" s="14" t="s">
        <v>518</v>
      </c>
      <c r="C181" s="7" t="s">
        <v>2333</v>
      </c>
      <c r="D181" s="14" t="s">
        <v>905</v>
      </c>
      <c r="F181" s="15" t="e">
        <f>F180/F165</f>
        <v>#DIV/0!</v>
      </c>
      <c r="H181" s="15" t="s">
        <v>1163</v>
      </c>
    </row>
    <row r="182" spans="1:8" ht="15" customHeight="1" x14ac:dyDescent="0.25">
      <c r="A182" s="14" t="s">
        <v>12</v>
      </c>
      <c r="B182" s="14" t="s">
        <v>1</v>
      </c>
      <c r="C182" s="7" t="s">
        <v>2334</v>
      </c>
      <c r="D182" s="14" t="s">
        <v>371</v>
      </c>
      <c r="G182" s="15">
        <f>G169*G183</f>
        <v>0</v>
      </c>
      <c r="H182" s="15" t="s">
        <v>1164</v>
      </c>
    </row>
    <row r="183" spans="1:8" ht="15" customHeight="1" x14ac:dyDescent="0.25">
      <c r="A183" s="14" t="s">
        <v>74</v>
      </c>
      <c r="B183" s="14" t="s">
        <v>518</v>
      </c>
      <c r="C183" s="7" t="s">
        <v>2335</v>
      </c>
      <c r="D183" s="14" t="s">
        <v>905</v>
      </c>
      <c r="F183" s="15" t="e">
        <f>F182/F169</f>
        <v>#DIV/0!</v>
      </c>
      <c r="H183" s="15" t="s">
        <v>1163</v>
      </c>
    </row>
    <row r="184" spans="1:8" ht="15" customHeight="1" x14ac:dyDescent="0.25">
      <c r="A184" s="14" t="s">
        <v>12</v>
      </c>
      <c r="B184" s="14" t="s">
        <v>1</v>
      </c>
      <c r="C184" s="7" t="s">
        <v>2336</v>
      </c>
      <c r="D184" s="14" t="s">
        <v>373</v>
      </c>
      <c r="G184" s="15">
        <f>G220*G185</f>
        <v>0</v>
      </c>
      <c r="H184" s="15" t="s">
        <v>1164</v>
      </c>
    </row>
    <row r="185" spans="1:8" ht="15" customHeight="1" x14ac:dyDescent="0.25">
      <c r="A185" s="14" t="s">
        <v>74</v>
      </c>
      <c r="B185" s="14" t="s">
        <v>518</v>
      </c>
      <c r="C185" s="7" t="s">
        <v>2337</v>
      </c>
      <c r="D185" s="14" t="s">
        <v>905</v>
      </c>
      <c r="F185" s="15" t="e">
        <f>F184/F220</f>
        <v>#DIV/0!</v>
      </c>
      <c r="H185" s="15" t="s">
        <v>1163</v>
      </c>
    </row>
    <row r="186" spans="1:8" ht="15" customHeight="1" x14ac:dyDescent="0.25">
      <c r="A186" s="5"/>
      <c r="B186" s="5"/>
      <c r="C186" s="7"/>
      <c r="D186" s="14"/>
    </row>
    <row r="187" spans="1:8" ht="15" customHeight="1" x14ac:dyDescent="0.25">
      <c r="A187" s="13" t="s">
        <v>6</v>
      </c>
      <c r="B187" s="13" t="s">
        <v>1</v>
      </c>
      <c r="C187" s="4" t="s">
        <v>2264</v>
      </c>
      <c r="D187" s="13" t="s">
        <v>869</v>
      </c>
      <c r="F187" s="15">
        <f>F188</f>
        <v>0</v>
      </c>
      <c r="G187" s="15">
        <f>G188</f>
        <v>0</v>
      </c>
    </row>
    <row r="188" spans="1:8" ht="15" customHeight="1" x14ac:dyDescent="0.25">
      <c r="A188" s="13" t="s">
        <v>9</v>
      </c>
      <c r="B188" s="13" t="s">
        <v>1</v>
      </c>
      <c r="C188" s="4" t="s">
        <v>2265</v>
      </c>
      <c r="D188" s="13" t="s">
        <v>908</v>
      </c>
    </row>
    <row r="189" spans="1:8" ht="15" customHeight="1" x14ac:dyDescent="0.25">
      <c r="A189" s="5"/>
      <c r="B189" s="5"/>
      <c r="C189" s="7"/>
      <c r="D189" s="5"/>
    </row>
    <row r="190" spans="1:8" ht="15" customHeight="1" x14ac:dyDescent="0.25">
      <c r="A190" s="13" t="s">
        <v>6</v>
      </c>
      <c r="B190" s="13" t="s">
        <v>15</v>
      </c>
      <c r="C190" s="4" t="s">
        <v>2266</v>
      </c>
      <c r="D190" s="13" t="s">
        <v>877</v>
      </c>
      <c r="F190" s="15">
        <f>F191</f>
        <v>0</v>
      </c>
      <c r="G190" s="15">
        <f>G191</f>
        <v>0</v>
      </c>
    </row>
    <row r="191" spans="1:8" ht="15" customHeight="1" x14ac:dyDescent="0.25">
      <c r="A191" s="13" t="s">
        <v>9</v>
      </c>
      <c r="B191" s="13" t="s">
        <v>15</v>
      </c>
      <c r="C191" s="4" t="s">
        <v>2267</v>
      </c>
      <c r="D191" s="13" t="s">
        <v>924</v>
      </c>
    </row>
    <row r="192" spans="1:8" ht="15" customHeight="1" x14ac:dyDescent="0.25">
      <c r="A192" s="5"/>
      <c r="B192" s="5"/>
      <c r="C192" s="7"/>
      <c r="D192" s="5"/>
    </row>
    <row r="193" spans="1:8" ht="15" customHeight="1" x14ac:dyDescent="0.25">
      <c r="A193" s="13" t="s">
        <v>6</v>
      </c>
      <c r="B193" s="13" t="s">
        <v>1</v>
      </c>
      <c r="C193" s="4" t="s">
        <v>2268</v>
      </c>
      <c r="D193" s="13" t="s">
        <v>1346</v>
      </c>
      <c r="F193" s="15">
        <f>F194+F202+F206+F210+F214+F218+F222</f>
        <v>0</v>
      </c>
      <c r="G193" s="15">
        <f>G194+G202+G206+G210+G214+G218+G222</f>
        <v>0</v>
      </c>
    </row>
    <row r="194" spans="1:8" ht="15" customHeight="1" x14ac:dyDescent="0.25">
      <c r="A194" s="3" t="s">
        <v>9</v>
      </c>
      <c r="B194" s="3" t="s">
        <v>1</v>
      </c>
      <c r="C194" s="4" t="s">
        <v>2269</v>
      </c>
      <c r="D194" s="3" t="s">
        <v>925</v>
      </c>
      <c r="F194" s="15">
        <f>F195+F196+F197+F198+F199+F200+F201</f>
        <v>0</v>
      </c>
      <c r="G194" s="15">
        <f>G195+G196+G197+G198+G199+G200+G201</f>
        <v>0</v>
      </c>
    </row>
    <row r="195" spans="1:8" ht="15" customHeight="1" x14ac:dyDescent="0.25">
      <c r="A195" s="5" t="s">
        <v>12</v>
      </c>
      <c r="B195" s="5" t="s">
        <v>1</v>
      </c>
      <c r="C195" s="7" t="s">
        <v>2297</v>
      </c>
      <c r="D195" s="5" t="s">
        <v>2291</v>
      </c>
    </row>
    <row r="196" spans="1:8" ht="15" customHeight="1" x14ac:dyDescent="0.25">
      <c r="A196" s="5" t="s">
        <v>12</v>
      </c>
      <c r="B196" s="5" t="s">
        <v>1</v>
      </c>
      <c r="C196" s="7" t="s">
        <v>2298</v>
      </c>
      <c r="D196" s="5" t="s">
        <v>2292</v>
      </c>
    </row>
    <row r="197" spans="1:8" ht="15" customHeight="1" x14ac:dyDescent="0.25">
      <c r="A197" s="5" t="s">
        <v>12</v>
      </c>
      <c r="B197" s="5" t="s">
        <v>1</v>
      </c>
      <c r="C197" s="7" t="s">
        <v>2299</v>
      </c>
      <c r="D197" s="5" t="s">
        <v>2293</v>
      </c>
    </row>
    <row r="198" spans="1:8" ht="15" customHeight="1" x14ac:dyDescent="0.25">
      <c r="A198" s="5" t="s">
        <v>12</v>
      </c>
      <c r="B198" s="5" t="s">
        <v>1</v>
      </c>
      <c r="C198" s="7" t="s">
        <v>2300</v>
      </c>
      <c r="D198" s="5" t="s">
        <v>2294</v>
      </c>
    </row>
    <row r="199" spans="1:8" ht="15" customHeight="1" x14ac:dyDescent="0.25">
      <c r="A199" s="5" t="s">
        <v>12</v>
      </c>
      <c r="B199" s="5" t="s">
        <v>1</v>
      </c>
      <c r="C199" s="7" t="s">
        <v>2301</v>
      </c>
      <c r="D199" s="5" t="s">
        <v>2295</v>
      </c>
    </row>
    <row r="200" spans="1:8" ht="15" customHeight="1" x14ac:dyDescent="0.25">
      <c r="A200" s="5" t="s">
        <v>12</v>
      </c>
      <c r="B200" s="5" t="s">
        <v>1</v>
      </c>
      <c r="C200" s="7" t="s">
        <v>2302</v>
      </c>
      <c r="D200" s="5" t="s">
        <v>2296</v>
      </c>
    </row>
    <row r="201" spans="1:8" ht="15" customHeight="1" x14ac:dyDescent="0.25">
      <c r="A201" s="5" t="s">
        <v>12</v>
      </c>
      <c r="B201" s="5" t="s">
        <v>1</v>
      </c>
      <c r="C201" s="7" t="s">
        <v>2310</v>
      </c>
      <c r="D201" s="5" t="s">
        <v>101</v>
      </c>
    </row>
    <row r="202" spans="1:8" ht="15" customHeight="1" x14ac:dyDescent="0.25">
      <c r="A202" s="3" t="s">
        <v>9</v>
      </c>
      <c r="B202" s="3" t="s">
        <v>1</v>
      </c>
      <c r="C202" s="4" t="s">
        <v>2270</v>
      </c>
      <c r="D202" s="3" t="s">
        <v>2289</v>
      </c>
    </row>
    <row r="203" spans="1:8" ht="15" customHeight="1" x14ac:dyDescent="0.25">
      <c r="A203" s="5" t="s">
        <v>12</v>
      </c>
      <c r="B203" s="5" t="s">
        <v>67</v>
      </c>
      <c r="C203" s="7" t="s">
        <v>2280</v>
      </c>
      <c r="D203" s="5" t="s">
        <v>857</v>
      </c>
    </row>
    <row r="204" spans="1:8" ht="15" customHeight="1" x14ac:dyDescent="0.25">
      <c r="A204" s="5" t="s">
        <v>12</v>
      </c>
      <c r="B204" s="5" t="s">
        <v>521</v>
      </c>
      <c r="C204" s="7" t="s">
        <v>2281</v>
      </c>
      <c r="D204" s="14" t="s">
        <v>858</v>
      </c>
    </row>
    <row r="205" spans="1:8" ht="15" customHeight="1" x14ac:dyDescent="0.25">
      <c r="A205" s="5" t="s">
        <v>12</v>
      </c>
      <c r="B205" s="5" t="s">
        <v>518</v>
      </c>
      <c r="C205" s="7" t="s">
        <v>2311</v>
      </c>
      <c r="D205" s="14" t="s">
        <v>860</v>
      </c>
      <c r="F205" s="15" t="e">
        <f>F202/F204</f>
        <v>#DIV/0!</v>
      </c>
      <c r="H205" s="15" t="s">
        <v>1163</v>
      </c>
    </row>
    <row r="206" spans="1:8" ht="15" customHeight="1" x14ac:dyDescent="0.25">
      <c r="A206" s="3" t="s">
        <v>9</v>
      </c>
      <c r="B206" s="3" t="s">
        <v>1</v>
      </c>
      <c r="C206" s="4" t="s">
        <v>2271</v>
      </c>
      <c r="D206" s="3" t="s">
        <v>2290</v>
      </c>
    </row>
    <row r="207" spans="1:8" ht="15" customHeight="1" x14ac:dyDescent="0.25">
      <c r="A207" s="5" t="s">
        <v>12</v>
      </c>
      <c r="B207" s="5" t="s">
        <v>67</v>
      </c>
      <c r="C207" s="7" t="s">
        <v>2282</v>
      </c>
      <c r="D207" s="5" t="s">
        <v>857</v>
      </c>
    </row>
    <row r="208" spans="1:8" ht="15" customHeight="1" x14ac:dyDescent="0.25">
      <c r="A208" s="5" t="s">
        <v>12</v>
      </c>
      <c r="B208" s="5" t="s">
        <v>521</v>
      </c>
      <c r="C208" s="7" t="s">
        <v>2283</v>
      </c>
      <c r="D208" s="14" t="s">
        <v>858</v>
      </c>
    </row>
    <row r="209" spans="1:8" ht="15" customHeight="1" x14ac:dyDescent="0.25">
      <c r="A209" s="5" t="s">
        <v>12</v>
      </c>
      <c r="B209" s="5" t="s">
        <v>518</v>
      </c>
      <c r="C209" s="7" t="s">
        <v>2312</v>
      </c>
      <c r="D209" s="14" t="s">
        <v>860</v>
      </c>
      <c r="F209" s="15" t="e">
        <f>F206/F208</f>
        <v>#DIV/0!</v>
      </c>
      <c r="H209" s="15" t="s">
        <v>1163</v>
      </c>
    </row>
    <row r="210" spans="1:8" ht="15" customHeight="1" x14ac:dyDescent="0.25">
      <c r="A210" s="3" t="s">
        <v>9</v>
      </c>
      <c r="B210" s="3" t="s">
        <v>1</v>
      </c>
      <c r="C210" s="4" t="s">
        <v>2272</v>
      </c>
      <c r="D210" s="3" t="s">
        <v>926</v>
      </c>
      <c r="G210" s="15">
        <f>G212*G213</f>
        <v>0</v>
      </c>
      <c r="H210" s="15" t="s">
        <v>1164</v>
      </c>
    </row>
    <row r="211" spans="1:8" ht="15" customHeight="1" x14ac:dyDescent="0.25">
      <c r="A211" s="5" t="s">
        <v>12</v>
      </c>
      <c r="B211" s="5" t="s">
        <v>67</v>
      </c>
      <c r="C211" s="7" t="s">
        <v>2284</v>
      </c>
      <c r="D211" s="14" t="s">
        <v>857</v>
      </c>
    </row>
    <row r="212" spans="1:8" ht="15" customHeight="1" x14ac:dyDescent="0.25">
      <c r="A212" s="5" t="s">
        <v>12</v>
      </c>
      <c r="B212" s="5" t="s">
        <v>521</v>
      </c>
      <c r="C212" s="7" t="s">
        <v>2285</v>
      </c>
      <c r="D212" s="14" t="s">
        <v>858</v>
      </c>
    </row>
    <row r="213" spans="1:8" ht="15" customHeight="1" x14ac:dyDescent="0.25">
      <c r="A213" s="5" t="s">
        <v>12</v>
      </c>
      <c r="B213" s="5" t="s">
        <v>519</v>
      </c>
      <c r="C213" s="7" t="s">
        <v>2286</v>
      </c>
      <c r="D213" s="14" t="s">
        <v>871</v>
      </c>
      <c r="F213" s="15" t="e">
        <f>F210/F212</f>
        <v>#DIV/0!</v>
      </c>
      <c r="H213" s="15" t="s">
        <v>1163</v>
      </c>
    </row>
    <row r="214" spans="1:8" ht="15" customHeight="1" x14ac:dyDescent="0.25">
      <c r="A214" s="3" t="s">
        <v>9</v>
      </c>
      <c r="B214" s="3" t="s">
        <v>1</v>
      </c>
      <c r="C214" s="4" t="s">
        <v>2273</v>
      </c>
      <c r="D214" s="3" t="s">
        <v>927</v>
      </c>
      <c r="G214" s="15">
        <f>G216*G217</f>
        <v>0</v>
      </c>
      <c r="H214" s="15" t="s">
        <v>1164</v>
      </c>
    </row>
    <row r="215" spans="1:8" ht="15" customHeight="1" x14ac:dyDescent="0.25">
      <c r="A215" s="5" t="s">
        <v>12</v>
      </c>
      <c r="B215" s="5" t="s">
        <v>67</v>
      </c>
      <c r="C215" s="7" t="s">
        <v>2287</v>
      </c>
      <c r="D215" s="14" t="s">
        <v>857</v>
      </c>
    </row>
    <row r="216" spans="1:8" ht="15" customHeight="1" x14ac:dyDescent="0.25">
      <c r="A216" s="5" t="s">
        <v>12</v>
      </c>
      <c r="B216" s="5" t="s">
        <v>521</v>
      </c>
      <c r="C216" s="7" t="s">
        <v>2288</v>
      </c>
      <c r="D216" s="14" t="s">
        <v>858</v>
      </c>
    </row>
    <row r="217" spans="1:8" ht="15" customHeight="1" x14ac:dyDescent="0.25">
      <c r="A217" s="5" t="s">
        <v>12</v>
      </c>
      <c r="B217" s="5" t="s">
        <v>519</v>
      </c>
      <c r="C217" s="7" t="s">
        <v>2306</v>
      </c>
      <c r="D217" s="14" t="s">
        <v>871</v>
      </c>
      <c r="F217" s="15" t="e">
        <f>F214/F216</f>
        <v>#DIV/0!</v>
      </c>
      <c r="H217" s="15" t="s">
        <v>1163</v>
      </c>
    </row>
    <row r="218" spans="1:8" ht="15" customHeight="1" x14ac:dyDescent="0.25">
      <c r="A218" s="3" t="s">
        <v>9</v>
      </c>
      <c r="B218" s="3" t="s">
        <v>1</v>
      </c>
      <c r="C218" s="4" t="s">
        <v>2274</v>
      </c>
      <c r="D218" s="3" t="s">
        <v>928</v>
      </c>
    </row>
    <row r="219" spans="1:8" ht="15" customHeight="1" x14ac:dyDescent="0.25">
      <c r="A219" s="5" t="s">
        <v>12</v>
      </c>
      <c r="B219" s="5" t="s">
        <v>929</v>
      </c>
      <c r="C219" s="7" t="s">
        <v>2307</v>
      </c>
      <c r="D219" s="14" t="s">
        <v>857</v>
      </c>
    </row>
    <row r="220" spans="1:8" ht="15" customHeight="1" x14ac:dyDescent="0.25">
      <c r="A220" s="5" t="s">
        <v>12</v>
      </c>
      <c r="B220" s="5" t="s">
        <v>539</v>
      </c>
      <c r="C220" s="7" t="s">
        <v>2308</v>
      </c>
      <c r="D220" s="14" t="s">
        <v>858</v>
      </c>
    </row>
    <row r="221" spans="1:8" ht="15" customHeight="1" x14ac:dyDescent="0.25">
      <c r="A221" s="5" t="s">
        <v>12</v>
      </c>
      <c r="B221" s="5" t="s">
        <v>518</v>
      </c>
      <c r="C221" s="7" t="s">
        <v>2309</v>
      </c>
      <c r="D221" s="14" t="s">
        <v>865</v>
      </c>
      <c r="F221" s="15" t="e">
        <f>F218/F220</f>
        <v>#DIV/0!</v>
      </c>
      <c r="H221" s="15" t="s">
        <v>1163</v>
      </c>
    </row>
    <row r="222" spans="1:8" ht="15" customHeight="1" x14ac:dyDescent="0.25">
      <c r="A222" s="3" t="s">
        <v>9</v>
      </c>
      <c r="B222" s="3" t="s">
        <v>1</v>
      </c>
      <c r="C222" s="4" t="s">
        <v>2303</v>
      </c>
      <c r="D222" s="3" t="s">
        <v>930</v>
      </c>
      <c r="F222" s="15">
        <f>F223+F228</f>
        <v>0</v>
      </c>
      <c r="G222" s="15">
        <f>G223+G228</f>
        <v>0</v>
      </c>
    </row>
    <row r="223" spans="1:8" ht="15" customHeight="1" x14ac:dyDescent="0.25">
      <c r="A223" s="3" t="s">
        <v>12</v>
      </c>
      <c r="B223" s="3" t="s">
        <v>1</v>
      </c>
      <c r="C223" s="4" t="s">
        <v>2304</v>
      </c>
      <c r="D223" s="3" t="s">
        <v>931</v>
      </c>
      <c r="F223" s="15">
        <f>F224+F226</f>
        <v>0</v>
      </c>
      <c r="G223" s="15">
        <f>G224+G226</f>
        <v>0</v>
      </c>
    </row>
    <row r="224" spans="1:8" ht="15" customHeight="1" x14ac:dyDescent="0.25">
      <c r="A224" s="5" t="s">
        <v>74</v>
      </c>
      <c r="B224" s="3" t="s">
        <v>1</v>
      </c>
      <c r="C224" s="7" t="s">
        <v>2313</v>
      </c>
      <c r="D224" s="5" t="s">
        <v>932</v>
      </c>
      <c r="G224" s="15">
        <f>G72*(G225-G73)</f>
        <v>0</v>
      </c>
      <c r="H224" s="15" t="s">
        <v>1164</v>
      </c>
    </row>
    <row r="225" spans="1:8" ht="15" customHeight="1" x14ac:dyDescent="0.25">
      <c r="A225" s="5" t="s">
        <v>74</v>
      </c>
      <c r="B225" s="5" t="s">
        <v>518</v>
      </c>
      <c r="C225" s="7" t="s">
        <v>2314</v>
      </c>
      <c r="D225" s="5" t="s">
        <v>933</v>
      </c>
    </row>
    <row r="226" spans="1:8" ht="15" customHeight="1" x14ac:dyDescent="0.25">
      <c r="A226" s="5" t="s">
        <v>74</v>
      </c>
      <c r="B226" s="3" t="s">
        <v>1</v>
      </c>
      <c r="C226" s="7" t="s">
        <v>2315</v>
      </c>
      <c r="D226" s="5" t="s">
        <v>934</v>
      </c>
      <c r="G226" s="15">
        <f>G80*(G227-G81)</f>
        <v>0</v>
      </c>
      <c r="H226" s="15" t="s">
        <v>1164</v>
      </c>
    </row>
    <row r="227" spans="1:8" ht="15" customHeight="1" x14ac:dyDescent="0.25">
      <c r="A227" s="5" t="s">
        <v>74</v>
      </c>
      <c r="B227" s="5" t="s">
        <v>518</v>
      </c>
      <c r="C227" s="7" t="s">
        <v>2316</v>
      </c>
      <c r="D227" s="5" t="s">
        <v>933</v>
      </c>
    </row>
    <row r="228" spans="1:8" ht="15" customHeight="1" x14ac:dyDescent="0.25">
      <c r="A228" s="3" t="s">
        <v>12</v>
      </c>
      <c r="B228" s="3" t="s">
        <v>1</v>
      </c>
      <c r="C228" s="4" t="s">
        <v>2305</v>
      </c>
      <c r="D228" s="3" t="s">
        <v>935</v>
      </c>
      <c r="F228" s="15">
        <f>F229+F231</f>
        <v>0</v>
      </c>
      <c r="G228" s="15">
        <f>G229+G231</f>
        <v>0</v>
      </c>
    </row>
    <row r="229" spans="1:8" ht="15" customHeight="1" x14ac:dyDescent="0.25">
      <c r="A229" s="5" t="s">
        <v>74</v>
      </c>
      <c r="B229" s="3" t="s">
        <v>1</v>
      </c>
      <c r="C229" s="7" t="s">
        <v>2317</v>
      </c>
      <c r="D229" s="5" t="s">
        <v>936</v>
      </c>
      <c r="G229" s="15">
        <f>G212*(G230-G213)</f>
        <v>0</v>
      </c>
      <c r="H229" s="15" t="s">
        <v>1164</v>
      </c>
    </row>
    <row r="230" spans="1:8" ht="15" customHeight="1" x14ac:dyDescent="0.25">
      <c r="A230" s="5" t="s">
        <v>74</v>
      </c>
      <c r="B230" s="5" t="s">
        <v>518</v>
      </c>
      <c r="C230" s="7" t="s">
        <v>2318</v>
      </c>
      <c r="D230" s="5" t="s">
        <v>933</v>
      </c>
    </row>
    <row r="231" spans="1:8" ht="15" customHeight="1" x14ac:dyDescent="0.25">
      <c r="A231" s="5" t="s">
        <v>74</v>
      </c>
      <c r="B231" s="3" t="s">
        <v>1</v>
      </c>
      <c r="C231" s="7" t="s">
        <v>2319</v>
      </c>
      <c r="D231" s="5" t="s">
        <v>937</v>
      </c>
      <c r="G231" s="15">
        <f>G216*(G232-G217)</f>
        <v>0</v>
      </c>
      <c r="H231" s="15" t="s">
        <v>1164</v>
      </c>
    </row>
    <row r="232" spans="1:8" ht="15" customHeight="1" x14ac:dyDescent="0.25">
      <c r="A232" s="5" t="s">
        <v>74</v>
      </c>
      <c r="B232" s="5" t="s">
        <v>518</v>
      </c>
      <c r="C232" s="7" t="s">
        <v>2320</v>
      </c>
      <c r="D232" s="5" t="s">
        <v>933</v>
      </c>
    </row>
    <row r="233" spans="1:8" ht="15" customHeight="1" x14ac:dyDescent="0.25">
      <c r="A233" s="5"/>
      <c r="B233" s="5"/>
      <c r="C233" s="7"/>
      <c r="D233" s="5"/>
    </row>
    <row r="234" spans="1:8" ht="15" customHeight="1" x14ac:dyDescent="0.25">
      <c r="A234" s="13" t="s">
        <v>6</v>
      </c>
      <c r="B234" s="3" t="s">
        <v>1</v>
      </c>
      <c r="C234" s="13" t="s">
        <v>2275</v>
      </c>
      <c r="D234" s="13" t="s">
        <v>886</v>
      </c>
    </row>
    <row r="235" spans="1:8" ht="15" customHeight="1" x14ac:dyDescent="0.25">
      <c r="A235" s="14"/>
      <c r="B235" s="14"/>
      <c r="C235" s="14"/>
      <c r="D235" s="14"/>
    </row>
  </sheetData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2CC83-4CE8-4305-9837-465830854EBF}">
  <dimension ref="A1:H36"/>
  <sheetViews>
    <sheetView topLeftCell="A25" workbookViewId="0">
      <selection activeCell="F38" sqref="F38"/>
    </sheetView>
  </sheetViews>
  <sheetFormatPr defaultColWidth="8.6640625" defaultRowHeight="15" customHeight="1" x14ac:dyDescent="0.25"/>
  <cols>
    <col min="1" max="3" width="8.6640625" style="15"/>
    <col min="4" max="4" width="15.6640625" style="15" bestFit="1" customWidth="1"/>
    <col min="5" max="16384" width="8.6640625" style="15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ht="15" customHeight="1" x14ac:dyDescent="0.25">
      <c r="A2" s="3" t="s">
        <v>6</v>
      </c>
      <c r="B2" s="5" t="s">
        <v>1</v>
      </c>
      <c r="C2" s="4" t="s">
        <v>711</v>
      </c>
      <c r="D2" s="3" t="s">
        <v>7</v>
      </c>
      <c r="F2" s="15">
        <f>'C01国内业务'!F2+'C02国内研发'!F2</f>
        <v>0</v>
      </c>
      <c r="G2" s="15">
        <f>'C01国内业务'!G2+'C02国内研发'!G2</f>
        <v>0</v>
      </c>
    </row>
    <row r="3" spans="1:8" ht="15" customHeight="1" x14ac:dyDescent="0.25">
      <c r="A3" s="3" t="s">
        <v>9</v>
      </c>
      <c r="B3" s="5" t="s">
        <v>1</v>
      </c>
      <c r="C3" s="4" t="s">
        <v>712</v>
      </c>
      <c r="D3" s="3" t="s">
        <v>10</v>
      </c>
      <c r="F3" s="15">
        <f>'C01国内业务'!F3+'C02国内研发'!F3</f>
        <v>0</v>
      </c>
      <c r="G3" s="15">
        <f>'C01国内业务'!G3+'C02国内研发'!G3</f>
        <v>0</v>
      </c>
    </row>
    <row r="4" spans="1:8" ht="15" customHeight="1" x14ac:dyDescent="0.25">
      <c r="A4" s="5" t="s">
        <v>12</v>
      </c>
      <c r="B4" s="5" t="s">
        <v>1</v>
      </c>
      <c r="C4" s="7" t="s">
        <v>713</v>
      </c>
      <c r="D4" s="5" t="s">
        <v>627</v>
      </c>
      <c r="F4" s="15">
        <f>'C01国内业务'!F4+'C02国内研发'!F4</f>
        <v>0</v>
      </c>
      <c r="G4" s="15">
        <f>'C01国内业务'!G4+'C02国内研发'!G4</f>
        <v>0</v>
      </c>
    </row>
    <row r="5" spans="1:8" ht="15" customHeight="1" x14ac:dyDescent="0.25">
      <c r="A5" s="5" t="s">
        <v>74</v>
      </c>
      <c r="B5" s="5" t="s">
        <v>1</v>
      </c>
      <c r="C5" s="7" t="s">
        <v>714</v>
      </c>
      <c r="D5" s="5" t="s">
        <v>13</v>
      </c>
      <c r="F5" s="15">
        <f>'C01国内业务'!F5+'C02国内研发'!F5</f>
        <v>0</v>
      </c>
      <c r="G5" s="15">
        <f>'C01国内业务'!G5+'C02国内研发'!G5</f>
        <v>0</v>
      </c>
    </row>
    <row r="6" spans="1:8" ht="15" customHeight="1" x14ac:dyDescent="0.25">
      <c r="A6" s="5" t="s">
        <v>74</v>
      </c>
      <c r="B6" s="5" t="s">
        <v>15</v>
      </c>
      <c r="C6" s="7" t="s">
        <v>715</v>
      </c>
      <c r="D6" s="5" t="s">
        <v>630</v>
      </c>
      <c r="F6" s="15">
        <f>'C01国内业务'!F6+'C02国内研发'!F6</f>
        <v>0</v>
      </c>
      <c r="G6" s="15">
        <f>'C01国内业务'!G6+'C02国内研发'!G6</f>
        <v>0</v>
      </c>
    </row>
    <row r="7" spans="1:8" ht="15" customHeight="1" x14ac:dyDescent="0.25">
      <c r="A7" s="5" t="s">
        <v>12</v>
      </c>
      <c r="B7" s="5" t="s">
        <v>1</v>
      </c>
      <c r="C7" s="7" t="s">
        <v>716</v>
      </c>
      <c r="D7" s="5" t="s">
        <v>632</v>
      </c>
      <c r="F7" s="15">
        <f>'C01国内业务'!F7+'C02国内研发'!F7</f>
        <v>0</v>
      </c>
      <c r="G7" s="15">
        <f>'C01国内业务'!G7+'C02国内研发'!G7</f>
        <v>0</v>
      </c>
    </row>
    <row r="8" spans="1:8" ht="15" customHeight="1" x14ac:dyDescent="0.25">
      <c r="A8" s="5" t="s">
        <v>74</v>
      </c>
      <c r="B8" s="5" t="s">
        <v>15</v>
      </c>
      <c r="C8" s="7" t="s">
        <v>717</v>
      </c>
      <c r="D8" s="5" t="s">
        <v>16</v>
      </c>
      <c r="F8" s="15">
        <f>'C01国内业务'!F8+'C02国内研发'!F8</f>
        <v>0</v>
      </c>
      <c r="G8" s="15">
        <f>'C01国内业务'!G8+'C02国内研发'!G8</f>
        <v>0</v>
      </c>
    </row>
    <row r="9" spans="1:8" ht="15" customHeight="1" x14ac:dyDescent="0.25">
      <c r="A9" s="5" t="s">
        <v>74</v>
      </c>
      <c r="B9" s="5" t="s">
        <v>1</v>
      </c>
      <c r="C9" s="7" t="s">
        <v>718</v>
      </c>
      <c r="D9" s="5" t="s">
        <v>635</v>
      </c>
      <c r="F9" s="15">
        <f>'C01国内业务'!F9+'C02国内研发'!F9</f>
        <v>0</v>
      </c>
      <c r="G9" s="15">
        <f>'C01国内业务'!G9+'C02国内研发'!G9</f>
        <v>0</v>
      </c>
    </row>
    <row r="10" spans="1:8" ht="15" customHeight="1" x14ac:dyDescent="0.25">
      <c r="A10" s="3" t="s">
        <v>9</v>
      </c>
      <c r="B10" s="5" t="s">
        <v>1</v>
      </c>
      <c r="C10" s="4" t="s">
        <v>719</v>
      </c>
      <c r="D10" s="3" t="s">
        <v>17</v>
      </c>
      <c r="F10" s="15">
        <f>'C01国内业务'!F10+'C02国内研发'!F10</f>
        <v>0</v>
      </c>
      <c r="G10" s="15">
        <f>'C01国内业务'!G10+'C02国内研发'!G10</f>
        <v>0</v>
      </c>
    </row>
    <row r="11" spans="1:8" ht="15" customHeight="1" x14ac:dyDescent="0.25">
      <c r="A11" s="5" t="s">
        <v>12</v>
      </c>
      <c r="B11" s="5" t="s">
        <v>1</v>
      </c>
      <c r="C11" s="7" t="s">
        <v>720</v>
      </c>
      <c r="D11" s="5" t="s">
        <v>19</v>
      </c>
      <c r="F11" s="15">
        <f>'C01国内业务'!F11+'C02国内研发'!F11</f>
        <v>0</v>
      </c>
      <c r="G11" s="15">
        <f>'C01国内业务'!G11+'C02国内研发'!G11</f>
        <v>0</v>
      </c>
    </row>
    <row r="12" spans="1:8" ht="15" customHeight="1" x14ac:dyDescent="0.25">
      <c r="A12" s="5" t="s">
        <v>12</v>
      </c>
      <c r="B12" s="5" t="s">
        <v>15</v>
      </c>
      <c r="C12" s="7" t="s">
        <v>721</v>
      </c>
      <c r="D12" s="5" t="s">
        <v>21</v>
      </c>
      <c r="F12" s="15">
        <f>'C01国内业务'!F12+'C02国内研发'!F12</f>
        <v>0</v>
      </c>
      <c r="G12" s="15">
        <f>'C01国内业务'!G12+'C02国内研发'!G12</f>
        <v>0</v>
      </c>
    </row>
    <row r="13" spans="1:8" ht="15" customHeight="1" x14ac:dyDescent="0.25">
      <c r="A13" s="3" t="s">
        <v>9</v>
      </c>
      <c r="B13" s="5" t="s">
        <v>1</v>
      </c>
      <c r="C13" s="4" t="s">
        <v>722</v>
      </c>
      <c r="D13" s="3" t="s">
        <v>23</v>
      </c>
      <c r="F13" s="15">
        <f>'C01国内业务'!F13+'C02国内研发'!F13</f>
        <v>0</v>
      </c>
      <c r="G13" s="15">
        <f>'C01国内业务'!G13+'C02国内研发'!G13</f>
        <v>0</v>
      </c>
    </row>
    <row r="14" spans="1:8" ht="15" customHeight="1" x14ac:dyDescent="0.25">
      <c r="A14" s="3" t="s">
        <v>6</v>
      </c>
      <c r="B14" s="5" t="s">
        <v>15</v>
      </c>
      <c r="C14" s="4" t="s">
        <v>723</v>
      </c>
      <c r="D14" s="3" t="s">
        <v>641</v>
      </c>
      <c r="F14" s="15">
        <f>'C01国内业务'!F14+'C02国内研发'!F14</f>
        <v>0</v>
      </c>
      <c r="G14" s="15">
        <f>'C01国内业务'!G14+'C02国内研发'!G14</f>
        <v>0</v>
      </c>
    </row>
    <row r="15" spans="1:8" ht="15" customHeight="1" x14ac:dyDescent="0.25">
      <c r="A15" s="3" t="s">
        <v>6</v>
      </c>
      <c r="B15" s="5" t="s">
        <v>1</v>
      </c>
      <c r="C15" s="4" t="s">
        <v>724</v>
      </c>
      <c r="D15" s="3" t="s">
        <v>35</v>
      </c>
      <c r="F15" s="15">
        <f>'C01国内业务'!F15+'C02国内研发'!F15</f>
        <v>0</v>
      </c>
      <c r="G15" s="15">
        <f>'C01国内业务'!G15+'C02国内研发'!G15</f>
        <v>0</v>
      </c>
    </row>
    <row r="16" spans="1:8" ht="15" customHeight="1" x14ac:dyDescent="0.25">
      <c r="A16" s="3" t="s">
        <v>6</v>
      </c>
      <c r="B16" s="5" t="s">
        <v>15</v>
      </c>
      <c r="C16" s="4" t="s">
        <v>725</v>
      </c>
      <c r="D16" s="3" t="s">
        <v>37</v>
      </c>
      <c r="F16" s="15">
        <f>'C01国内业务'!F16+'C02国内研发'!F16</f>
        <v>0</v>
      </c>
      <c r="G16" s="15">
        <f>'C01国内业务'!G16+'C02国内研发'!G16</f>
        <v>0</v>
      </c>
    </row>
    <row r="17" spans="1:7" ht="15" customHeight="1" x14ac:dyDescent="0.25">
      <c r="A17" s="3" t="s">
        <v>6</v>
      </c>
      <c r="B17" s="5" t="s">
        <v>15</v>
      </c>
      <c r="C17" s="4" t="s">
        <v>726</v>
      </c>
      <c r="D17" s="3" t="s">
        <v>645</v>
      </c>
      <c r="F17" s="15">
        <f>'C01国内业务'!F17+'C02国内研发'!F17</f>
        <v>0</v>
      </c>
      <c r="G17" s="15">
        <f>'C01国内业务'!G17+'C02国内研发'!G17</f>
        <v>0</v>
      </c>
    </row>
    <row r="18" spans="1:7" ht="15" customHeight="1" x14ac:dyDescent="0.25">
      <c r="A18" s="3" t="s">
        <v>9</v>
      </c>
      <c r="B18" s="5" t="s">
        <v>15</v>
      </c>
      <c r="C18" s="4" t="s">
        <v>727</v>
      </c>
      <c r="D18" s="3" t="s">
        <v>647</v>
      </c>
      <c r="F18" s="15">
        <f>'C01国内业务'!F18+'C02国内研发'!F18</f>
        <v>0</v>
      </c>
      <c r="G18" s="15">
        <f>'C01国内业务'!G18+'C02国内研发'!G18</f>
        <v>0</v>
      </c>
    </row>
    <row r="19" spans="1:7" ht="15" customHeight="1" x14ac:dyDescent="0.25">
      <c r="A19" s="5" t="s">
        <v>12</v>
      </c>
      <c r="B19" s="5" t="s">
        <v>15</v>
      </c>
      <c r="C19" s="7" t="s">
        <v>728</v>
      </c>
      <c r="D19" s="5" t="s">
        <v>43</v>
      </c>
      <c r="F19" s="15">
        <f>'C01国内业务'!F19+'C02国内研发'!F19</f>
        <v>0</v>
      </c>
      <c r="G19" s="15">
        <f>'C01国内业务'!G19+'C02国内研发'!G19</f>
        <v>0</v>
      </c>
    </row>
    <row r="20" spans="1:7" ht="15" customHeight="1" x14ac:dyDescent="0.25">
      <c r="A20" s="5" t="s">
        <v>12</v>
      </c>
      <c r="B20" s="5" t="s">
        <v>15</v>
      </c>
      <c r="C20" s="7" t="s">
        <v>729</v>
      </c>
      <c r="D20" s="5" t="s">
        <v>650</v>
      </c>
      <c r="F20" s="15">
        <f>'C01国内业务'!F20+'C02国内研发'!F20</f>
        <v>0</v>
      </c>
      <c r="G20" s="15">
        <f>'C01国内业务'!G20+'C02国内研发'!G20</f>
        <v>0</v>
      </c>
    </row>
    <row r="21" spans="1:7" ht="15" customHeight="1" x14ac:dyDescent="0.25">
      <c r="A21" s="3" t="s">
        <v>9</v>
      </c>
      <c r="B21" s="5" t="s">
        <v>15</v>
      </c>
      <c r="C21" s="4" t="s">
        <v>730</v>
      </c>
      <c r="D21" s="3" t="s">
        <v>49</v>
      </c>
      <c r="F21" s="15">
        <f>'C01国内业务'!F21+'C02国内研发'!F21</f>
        <v>0</v>
      </c>
      <c r="G21" s="15">
        <f>'C01国内业务'!G21+'C02国内研发'!G21</f>
        <v>0</v>
      </c>
    </row>
    <row r="22" spans="1:7" ht="15" customHeight="1" x14ac:dyDescent="0.25">
      <c r="A22" s="5" t="s">
        <v>12</v>
      </c>
      <c r="B22" s="5" t="s">
        <v>15</v>
      </c>
      <c r="C22" s="7" t="s">
        <v>731</v>
      </c>
      <c r="D22" s="5" t="s">
        <v>51</v>
      </c>
      <c r="F22" s="15">
        <f>'C01国内业务'!F22+'C02国内研发'!F22</f>
        <v>0</v>
      </c>
      <c r="G22" s="15">
        <f>'C01国内业务'!G22+'C02国内研发'!G22</f>
        <v>0</v>
      </c>
    </row>
    <row r="23" spans="1:7" ht="15" customHeight="1" x14ac:dyDescent="0.25">
      <c r="A23" s="5" t="s">
        <v>12</v>
      </c>
      <c r="B23" s="5" t="s">
        <v>15</v>
      </c>
      <c r="C23" s="7" t="s">
        <v>732</v>
      </c>
      <c r="D23" s="5" t="s">
        <v>53</v>
      </c>
      <c r="F23" s="15">
        <f>'C01国内业务'!F23+'C02国内研发'!F23</f>
        <v>0</v>
      </c>
      <c r="G23" s="15">
        <f>'C01国内业务'!G23+'C02国内研发'!G23</f>
        <v>0</v>
      </c>
    </row>
    <row r="24" spans="1:7" ht="15" customHeight="1" x14ac:dyDescent="0.25">
      <c r="A24" s="3" t="s">
        <v>9</v>
      </c>
      <c r="B24" s="5" t="s">
        <v>15</v>
      </c>
      <c r="C24" s="4" t="s">
        <v>733</v>
      </c>
      <c r="D24" s="3" t="s">
        <v>55</v>
      </c>
      <c r="F24" s="15">
        <f>'C01国内业务'!F24+'C02国内研发'!F24</f>
        <v>0</v>
      </c>
      <c r="G24" s="15">
        <f>'C01国内业务'!G24+'C02国内研发'!G24</f>
        <v>0</v>
      </c>
    </row>
    <row r="25" spans="1:7" ht="15" customHeight="1" x14ac:dyDescent="0.25">
      <c r="A25" s="5" t="s">
        <v>12</v>
      </c>
      <c r="B25" s="5" t="s">
        <v>15</v>
      </c>
      <c r="C25" s="7" t="s">
        <v>734</v>
      </c>
      <c r="D25" s="5" t="s">
        <v>656</v>
      </c>
      <c r="F25" s="15">
        <f>'C01国内业务'!F25+'C02国内研发'!F25</f>
        <v>0</v>
      </c>
      <c r="G25" s="15">
        <f>'C01国内业务'!G25+'C02国内研发'!G25</f>
        <v>0</v>
      </c>
    </row>
    <row r="26" spans="1:7" ht="15" customHeight="1" x14ac:dyDescent="0.25">
      <c r="A26" s="5" t="s">
        <v>74</v>
      </c>
      <c r="B26" s="5" t="s">
        <v>15</v>
      </c>
      <c r="C26" s="7" t="s">
        <v>735</v>
      </c>
      <c r="D26" s="5" t="s">
        <v>658</v>
      </c>
      <c r="F26" s="15">
        <f>'C01国内业务'!F26+'C02国内研发'!F26</f>
        <v>0</v>
      </c>
      <c r="G26" s="15">
        <f>'C01国内业务'!G26+'C02国内研发'!G26</f>
        <v>0</v>
      </c>
    </row>
    <row r="27" spans="1:7" ht="15" customHeight="1" x14ac:dyDescent="0.25">
      <c r="A27" s="5" t="s">
        <v>74</v>
      </c>
      <c r="B27" s="5" t="s">
        <v>15</v>
      </c>
      <c r="C27" s="7" t="s">
        <v>736</v>
      </c>
      <c r="D27" s="5" t="s">
        <v>660</v>
      </c>
      <c r="F27" s="15">
        <f>'C01国内业务'!F27+'C02国内研发'!F27</f>
        <v>0</v>
      </c>
      <c r="G27" s="15">
        <f>'C01国内业务'!G27+'C02国内研发'!G27</f>
        <v>0</v>
      </c>
    </row>
    <row r="28" spans="1:7" ht="15" customHeight="1" x14ac:dyDescent="0.25">
      <c r="A28" s="5" t="s">
        <v>12</v>
      </c>
      <c r="B28" s="5" t="s">
        <v>15</v>
      </c>
      <c r="C28" s="7" t="s">
        <v>737</v>
      </c>
      <c r="D28" s="5" t="s">
        <v>662</v>
      </c>
      <c r="F28" s="15">
        <f>'C01国内业务'!F28+'C02国内研发'!F28</f>
        <v>0</v>
      </c>
      <c r="G28" s="15">
        <f>'C01国内业务'!G28+'C02国内研发'!G28</f>
        <v>0</v>
      </c>
    </row>
    <row r="29" spans="1:7" ht="15" customHeight="1" x14ac:dyDescent="0.25">
      <c r="A29" s="5" t="s">
        <v>12</v>
      </c>
      <c r="B29" s="5" t="s">
        <v>15</v>
      </c>
      <c r="C29" s="7" t="s">
        <v>738</v>
      </c>
      <c r="D29" s="5" t="s">
        <v>664</v>
      </c>
      <c r="F29" s="15">
        <f>'C01国内业务'!F29+'C02国内研发'!F29</f>
        <v>0</v>
      </c>
      <c r="G29" s="15">
        <f>'C01国内业务'!G29+'C02国内研发'!G29</f>
        <v>0</v>
      </c>
    </row>
    <row r="30" spans="1:7" ht="15" customHeight="1" x14ac:dyDescent="0.25">
      <c r="A30" s="5" t="s">
        <v>12</v>
      </c>
      <c r="B30" s="5" t="s">
        <v>15</v>
      </c>
      <c r="C30" s="7" t="s">
        <v>739</v>
      </c>
      <c r="D30" s="5" t="s">
        <v>666</v>
      </c>
      <c r="F30" s="15">
        <f>'C01国内业务'!F30+'C02国内研发'!F30</f>
        <v>0</v>
      </c>
      <c r="G30" s="15">
        <f>'C01国内业务'!G30+'C02国内研发'!G30</f>
        <v>0</v>
      </c>
    </row>
    <row r="31" spans="1:7" ht="15" customHeight="1" x14ac:dyDescent="0.25">
      <c r="A31" s="3" t="s">
        <v>9</v>
      </c>
      <c r="B31" s="5" t="s">
        <v>15</v>
      </c>
      <c r="C31" s="4" t="s">
        <v>740</v>
      </c>
      <c r="D31" s="3" t="s">
        <v>668</v>
      </c>
      <c r="F31" s="15">
        <f>'C01国内业务'!F31+'C02国内研发'!F31</f>
        <v>0</v>
      </c>
      <c r="G31" s="15">
        <f>'C01国内业务'!G31+'C02国内研发'!G31</f>
        <v>0</v>
      </c>
    </row>
    <row r="32" spans="1:7" ht="15" customHeight="1" x14ac:dyDescent="0.25">
      <c r="A32" s="3" t="s">
        <v>9</v>
      </c>
      <c r="B32" s="5" t="s">
        <v>15</v>
      </c>
      <c r="C32" s="4" t="s">
        <v>741</v>
      </c>
      <c r="D32" s="3" t="s">
        <v>57</v>
      </c>
      <c r="F32" s="15">
        <f>'C01国内业务'!F32+'C02国内研发'!F32</f>
        <v>0</v>
      </c>
      <c r="G32" s="15">
        <f>'C01国内业务'!G32+'C02国内研发'!G32</f>
        <v>0</v>
      </c>
    </row>
    <row r="33" spans="1:7" ht="15" customHeight="1" x14ac:dyDescent="0.25">
      <c r="A33" s="3" t="s">
        <v>6</v>
      </c>
      <c r="B33" s="5" t="s">
        <v>1</v>
      </c>
      <c r="C33" s="4" t="s">
        <v>742</v>
      </c>
      <c r="D33" s="3" t="s">
        <v>59</v>
      </c>
      <c r="F33" s="15">
        <f>'C01国内业务'!F33+'C02国内研发'!F33</f>
        <v>0</v>
      </c>
      <c r="G33" s="15">
        <f>'C01国内业务'!G33+'C02国内研发'!G33</f>
        <v>0</v>
      </c>
    </row>
    <row r="34" spans="1:7" ht="15" customHeight="1" x14ac:dyDescent="0.25">
      <c r="A34" s="3" t="s">
        <v>6</v>
      </c>
      <c r="B34" s="5"/>
      <c r="C34" s="4" t="s">
        <v>743</v>
      </c>
      <c r="D34" s="3" t="s">
        <v>672</v>
      </c>
      <c r="F34" s="15">
        <f>'C01国内业务'!F34+'C02国内研发'!F34</f>
        <v>0</v>
      </c>
      <c r="G34" s="15">
        <f>'C01国内业务'!G34+'C02国内研发'!G34</f>
        <v>0</v>
      </c>
    </row>
    <row r="35" spans="1:7" ht="15" customHeight="1" x14ac:dyDescent="0.25">
      <c r="A35" s="3" t="s">
        <v>6</v>
      </c>
      <c r="B35" s="5" t="s">
        <v>15</v>
      </c>
      <c r="C35" s="4" t="s">
        <v>744</v>
      </c>
      <c r="D35" s="3" t="s">
        <v>674</v>
      </c>
      <c r="F35" s="15">
        <f>'C01国内业务'!F35+'C02国内研发'!F35</f>
        <v>0</v>
      </c>
      <c r="G35" s="15">
        <f>'C01国内业务'!G35+'C02国内研发'!G35</f>
        <v>0</v>
      </c>
    </row>
    <row r="36" spans="1:7" ht="15" customHeight="1" x14ac:dyDescent="0.25">
      <c r="A36" s="3" t="s">
        <v>6</v>
      </c>
      <c r="B36" s="5"/>
      <c r="C36" s="4" t="s">
        <v>745</v>
      </c>
      <c r="D36" s="3" t="s">
        <v>61</v>
      </c>
      <c r="F36" s="15">
        <f>'C01国内业务'!F36+'C02国内研发'!F36</f>
        <v>0</v>
      </c>
      <c r="G36" s="15">
        <f>'C01国内业务'!G36+'C02国内研发'!G36</f>
        <v>0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BFFA7-1B37-4EA9-84DE-555CBD046B6B}">
  <dimension ref="A1:H55"/>
  <sheetViews>
    <sheetView tabSelected="1" topLeftCell="A9" workbookViewId="0">
      <selection activeCell="H17" sqref="H17"/>
    </sheetView>
  </sheetViews>
  <sheetFormatPr defaultRowHeight="13.8" x14ac:dyDescent="0.25"/>
  <cols>
    <col min="3" max="3" width="9.5546875" bestFit="1" customWidth="1"/>
    <col min="4" max="4" width="15.44140625" bestFit="1" customWidth="1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x14ac:dyDescent="0.25">
      <c r="A2" s="3" t="s">
        <v>6</v>
      </c>
      <c r="B2" s="5" t="s">
        <v>1</v>
      </c>
      <c r="C2" s="4" t="s">
        <v>712</v>
      </c>
      <c r="D2" s="3" t="s">
        <v>7</v>
      </c>
    </row>
    <row r="3" spans="1:8" x14ac:dyDescent="0.25">
      <c r="A3" s="2" t="s">
        <v>9</v>
      </c>
      <c r="B3" s="5" t="s">
        <v>1</v>
      </c>
      <c r="C3" s="4" t="s">
        <v>713</v>
      </c>
      <c r="D3" s="2" t="s">
        <v>10</v>
      </c>
    </row>
    <row r="4" spans="1:8" x14ac:dyDescent="0.25">
      <c r="A4" s="2" t="s">
        <v>12</v>
      </c>
      <c r="B4" s="5" t="s">
        <v>1</v>
      </c>
      <c r="C4" s="6" t="s">
        <v>714</v>
      </c>
      <c r="D4" s="2" t="s">
        <v>627</v>
      </c>
    </row>
    <row r="5" spans="1:8" x14ac:dyDescent="0.25">
      <c r="A5" s="2" t="s">
        <v>74</v>
      </c>
      <c r="B5" s="5" t="s">
        <v>1</v>
      </c>
      <c r="C5" s="6" t="s">
        <v>938</v>
      </c>
      <c r="D5" s="2" t="s">
        <v>13</v>
      </c>
    </row>
    <row r="6" spans="1:8" x14ac:dyDescent="0.25">
      <c r="A6" s="2" t="s">
        <v>74</v>
      </c>
      <c r="B6" s="5" t="s">
        <v>15</v>
      </c>
      <c r="C6" s="6" t="s">
        <v>939</v>
      </c>
      <c r="D6" s="2" t="s">
        <v>630</v>
      </c>
    </row>
    <row r="7" spans="1:8" x14ac:dyDescent="0.25">
      <c r="A7" s="2" t="s">
        <v>12</v>
      </c>
      <c r="B7" s="5" t="s">
        <v>1</v>
      </c>
      <c r="C7" s="6" t="s">
        <v>715</v>
      </c>
      <c r="D7" s="2" t="s">
        <v>632</v>
      </c>
    </row>
    <row r="8" spans="1:8" x14ac:dyDescent="0.25">
      <c r="A8" s="2" t="s">
        <v>74</v>
      </c>
      <c r="B8" s="5" t="s">
        <v>15</v>
      </c>
      <c r="C8" s="6" t="s">
        <v>940</v>
      </c>
      <c r="D8" s="2" t="s">
        <v>16</v>
      </c>
    </row>
    <row r="9" spans="1:8" x14ac:dyDescent="0.25">
      <c r="A9" s="2" t="s">
        <v>74</v>
      </c>
      <c r="B9" s="5" t="s">
        <v>1</v>
      </c>
      <c r="C9" s="6" t="s">
        <v>941</v>
      </c>
      <c r="D9" s="2" t="s">
        <v>635</v>
      </c>
    </row>
    <row r="10" spans="1:8" x14ac:dyDescent="0.25">
      <c r="A10" s="2" t="s">
        <v>9</v>
      </c>
      <c r="B10" s="5" t="s">
        <v>1</v>
      </c>
      <c r="C10" s="4" t="s">
        <v>716</v>
      </c>
      <c r="D10" s="2" t="s">
        <v>17</v>
      </c>
    </row>
    <row r="11" spans="1:8" x14ac:dyDescent="0.25">
      <c r="A11" s="2" t="s">
        <v>12</v>
      </c>
      <c r="B11" s="5" t="s">
        <v>1</v>
      </c>
      <c r="C11" s="6" t="s">
        <v>717</v>
      </c>
      <c r="D11" s="2" t="s">
        <v>19</v>
      </c>
    </row>
    <row r="12" spans="1:8" x14ac:dyDescent="0.25">
      <c r="A12" s="2" t="s">
        <v>12</v>
      </c>
      <c r="B12" s="5" t="s">
        <v>15</v>
      </c>
      <c r="C12" s="6" t="s">
        <v>718</v>
      </c>
      <c r="D12" s="2" t="s">
        <v>21</v>
      </c>
    </row>
    <row r="13" spans="1:8" x14ac:dyDescent="0.25">
      <c r="A13" s="2" t="s">
        <v>9</v>
      </c>
      <c r="B13" s="5" t="s">
        <v>1</v>
      </c>
      <c r="C13" s="4" t="s">
        <v>942</v>
      </c>
      <c r="D13" s="2" t="s">
        <v>23</v>
      </c>
    </row>
    <row r="14" spans="1:8" x14ac:dyDescent="0.25">
      <c r="A14" s="3" t="s">
        <v>6</v>
      </c>
      <c r="B14" s="5" t="s">
        <v>15</v>
      </c>
      <c r="C14" s="4" t="s">
        <v>719</v>
      </c>
      <c r="D14" s="3" t="s">
        <v>641</v>
      </c>
    </row>
    <row r="15" spans="1:8" x14ac:dyDescent="0.25">
      <c r="A15" s="3" t="s">
        <v>6</v>
      </c>
      <c r="B15" s="5" t="s">
        <v>1</v>
      </c>
      <c r="C15" s="4" t="s">
        <v>722</v>
      </c>
      <c r="D15" s="3" t="s">
        <v>35</v>
      </c>
    </row>
    <row r="16" spans="1:8" x14ac:dyDescent="0.25">
      <c r="A16" s="3" t="s">
        <v>6</v>
      </c>
      <c r="B16" s="5" t="s">
        <v>15</v>
      </c>
      <c r="C16" s="4" t="s">
        <v>943</v>
      </c>
      <c r="D16" s="3" t="s">
        <v>37</v>
      </c>
    </row>
    <row r="17" spans="1:4" x14ac:dyDescent="0.25">
      <c r="A17" s="3" t="s">
        <v>6</v>
      </c>
      <c r="B17" s="5" t="s">
        <v>15</v>
      </c>
      <c r="C17" s="4" t="s">
        <v>944</v>
      </c>
      <c r="D17" s="3" t="s">
        <v>645</v>
      </c>
    </row>
    <row r="18" spans="1:4" x14ac:dyDescent="0.25">
      <c r="A18" s="2" t="s">
        <v>9</v>
      </c>
      <c r="B18" s="5" t="s">
        <v>15</v>
      </c>
      <c r="C18" s="4" t="s">
        <v>945</v>
      </c>
      <c r="D18" s="2" t="s">
        <v>647</v>
      </c>
    </row>
    <row r="19" spans="1:4" x14ac:dyDescent="0.25">
      <c r="A19" s="2" t="s">
        <v>12</v>
      </c>
      <c r="B19" s="5" t="s">
        <v>15</v>
      </c>
      <c r="C19" s="6" t="s">
        <v>946</v>
      </c>
      <c r="D19" s="2" t="s">
        <v>43</v>
      </c>
    </row>
    <row r="20" spans="1:4" x14ac:dyDescent="0.25">
      <c r="A20" s="2" t="s">
        <v>12</v>
      </c>
      <c r="B20" s="5" t="s">
        <v>15</v>
      </c>
      <c r="C20" s="6" t="s">
        <v>947</v>
      </c>
      <c r="D20" s="2" t="s">
        <v>650</v>
      </c>
    </row>
    <row r="21" spans="1:4" x14ac:dyDescent="0.25">
      <c r="A21" s="2" t="s">
        <v>9</v>
      </c>
      <c r="B21" s="5" t="s">
        <v>15</v>
      </c>
      <c r="C21" s="4" t="s">
        <v>948</v>
      </c>
      <c r="D21" s="2" t="s">
        <v>49</v>
      </c>
    </row>
    <row r="22" spans="1:4" x14ac:dyDescent="0.25">
      <c r="A22" s="2" t="s">
        <v>12</v>
      </c>
      <c r="B22" s="5" t="s">
        <v>15</v>
      </c>
      <c r="C22" s="6" t="s">
        <v>949</v>
      </c>
      <c r="D22" s="2" t="s">
        <v>51</v>
      </c>
    </row>
    <row r="23" spans="1:4" x14ac:dyDescent="0.25">
      <c r="A23" s="2" t="s">
        <v>12</v>
      </c>
      <c r="B23" s="5" t="s">
        <v>15</v>
      </c>
      <c r="C23" s="6" t="s">
        <v>950</v>
      </c>
      <c r="D23" s="2" t="s">
        <v>53</v>
      </c>
    </row>
    <row r="24" spans="1:4" x14ac:dyDescent="0.25">
      <c r="A24" s="2" t="s">
        <v>9</v>
      </c>
      <c r="B24" s="5" t="s">
        <v>15</v>
      </c>
      <c r="C24" s="4" t="s">
        <v>951</v>
      </c>
      <c r="D24" s="2" t="s">
        <v>55</v>
      </c>
    </row>
    <row r="25" spans="1:4" x14ac:dyDescent="0.25">
      <c r="A25" s="2" t="s">
        <v>12</v>
      </c>
      <c r="B25" s="5" t="s">
        <v>15</v>
      </c>
      <c r="C25" s="6" t="s">
        <v>952</v>
      </c>
      <c r="D25" s="2" t="s">
        <v>656</v>
      </c>
    </row>
    <row r="26" spans="1:4" x14ac:dyDescent="0.25">
      <c r="A26" s="2" t="s">
        <v>74</v>
      </c>
      <c r="B26" s="5" t="s">
        <v>15</v>
      </c>
      <c r="C26" s="6" t="s">
        <v>953</v>
      </c>
      <c r="D26" s="2" t="s">
        <v>658</v>
      </c>
    </row>
    <row r="27" spans="1:4" x14ac:dyDescent="0.25">
      <c r="A27" s="2" t="s">
        <v>74</v>
      </c>
      <c r="B27" s="5" t="s">
        <v>15</v>
      </c>
      <c r="C27" s="6" t="s">
        <v>954</v>
      </c>
      <c r="D27" s="2" t="s">
        <v>660</v>
      </c>
    </row>
    <row r="28" spans="1:4" x14ac:dyDescent="0.25">
      <c r="A28" s="2" t="s">
        <v>12</v>
      </c>
      <c r="B28" s="5" t="s">
        <v>15</v>
      </c>
      <c r="C28" s="6" t="s">
        <v>955</v>
      </c>
      <c r="D28" s="2" t="s">
        <v>662</v>
      </c>
    </row>
    <row r="29" spans="1:4" x14ac:dyDescent="0.25">
      <c r="A29" s="2" t="s">
        <v>12</v>
      </c>
      <c r="B29" s="5" t="s">
        <v>15</v>
      </c>
      <c r="C29" s="6" t="s">
        <v>956</v>
      </c>
      <c r="D29" s="2" t="s">
        <v>664</v>
      </c>
    </row>
    <row r="30" spans="1:4" x14ac:dyDescent="0.25">
      <c r="A30" s="2" t="s">
        <v>12</v>
      </c>
      <c r="B30" s="5" t="s">
        <v>15</v>
      </c>
      <c r="C30" s="6" t="s">
        <v>957</v>
      </c>
      <c r="D30" s="2" t="s">
        <v>666</v>
      </c>
    </row>
    <row r="31" spans="1:4" x14ac:dyDescent="0.25">
      <c r="A31" s="2" t="s">
        <v>9</v>
      </c>
      <c r="B31" s="5" t="s">
        <v>15</v>
      </c>
      <c r="C31" s="4" t="s">
        <v>958</v>
      </c>
      <c r="D31" s="2" t="s">
        <v>668</v>
      </c>
    </row>
    <row r="32" spans="1:4" x14ac:dyDescent="0.25">
      <c r="A32" s="2" t="s">
        <v>9</v>
      </c>
      <c r="B32" s="5" t="s">
        <v>15</v>
      </c>
      <c r="C32" s="4" t="s">
        <v>959</v>
      </c>
      <c r="D32" s="2" t="s">
        <v>57</v>
      </c>
    </row>
    <row r="33" spans="1:4" x14ac:dyDescent="0.25">
      <c r="A33" s="3" t="s">
        <v>6</v>
      </c>
      <c r="B33" s="5" t="s">
        <v>1</v>
      </c>
      <c r="C33" s="4" t="s">
        <v>960</v>
      </c>
      <c r="D33" s="3" t="s">
        <v>59</v>
      </c>
    </row>
    <row r="34" spans="1:4" x14ac:dyDescent="0.25">
      <c r="A34" s="3" t="s">
        <v>6</v>
      </c>
      <c r="B34" s="5"/>
      <c r="C34" s="4" t="s">
        <v>961</v>
      </c>
      <c r="D34" s="3" t="s">
        <v>672</v>
      </c>
    </row>
    <row r="35" spans="1:4" x14ac:dyDescent="0.25">
      <c r="A35" s="3" t="s">
        <v>6</v>
      </c>
      <c r="B35" s="5" t="s">
        <v>15</v>
      </c>
      <c r="C35" s="4" t="s">
        <v>962</v>
      </c>
      <c r="D35" s="3" t="s">
        <v>674</v>
      </c>
    </row>
    <row r="36" spans="1:4" x14ac:dyDescent="0.25">
      <c r="A36" s="3" t="s">
        <v>6</v>
      </c>
      <c r="B36" s="5"/>
      <c r="C36" s="4" t="s">
        <v>963</v>
      </c>
      <c r="D36" s="3" t="s">
        <v>61</v>
      </c>
    </row>
    <row r="37" spans="1:4" x14ac:dyDescent="0.25">
      <c r="A37" s="12"/>
      <c r="B37" s="12"/>
      <c r="C37" s="12"/>
      <c r="D37" s="12"/>
    </row>
    <row r="38" spans="1:4" x14ac:dyDescent="0.25">
      <c r="A38" s="13" t="s">
        <v>6</v>
      </c>
      <c r="B38" s="13" t="s">
        <v>15</v>
      </c>
      <c r="C38" s="13" t="s">
        <v>964</v>
      </c>
      <c r="D38" s="13" t="s">
        <v>863</v>
      </c>
    </row>
    <row r="39" spans="1:4" x14ac:dyDescent="0.25">
      <c r="A39" s="13" t="s">
        <v>9</v>
      </c>
      <c r="B39" s="13" t="s">
        <v>15</v>
      </c>
      <c r="C39" s="13" t="s">
        <v>965</v>
      </c>
      <c r="D39" s="13" t="s">
        <v>966</v>
      </c>
    </row>
    <row r="40" spans="1:4" x14ac:dyDescent="0.25">
      <c r="A40" s="12" t="s">
        <v>12</v>
      </c>
      <c r="B40" s="12" t="s">
        <v>111</v>
      </c>
      <c r="C40" s="12" t="s">
        <v>967</v>
      </c>
      <c r="D40" s="12" t="s">
        <v>857</v>
      </c>
    </row>
    <row r="41" spans="1:4" x14ac:dyDescent="0.25">
      <c r="A41" s="12" t="s">
        <v>12</v>
      </c>
      <c r="B41" s="12" t="s">
        <v>539</v>
      </c>
      <c r="C41" s="12" t="s">
        <v>968</v>
      </c>
      <c r="D41" s="12" t="s">
        <v>858</v>
      </c>
    </row>
    <row r="42" spans="1:4" x14ac:dyDescent="0.25">
      <c r="A42" s="12" t="s">
        <v>12</v>
      </c>
      <c r="B42" s="12" t="s">
        <v>15</v>
      </c>
      <c r="C42" s="12" t="s">
        <v>969</v>
      </c>
      <c r="D42" s="12" t="s">
        <v>864</v>
      </c>
    </row>
    <row r="43" spans="1:4" x14ac:dyDescent="0.25">
      <c r="A43" s="12" t="s">
        <v>12</v>
      </c>
      <c r="B43" s="12"/>
      <c r="C43" s="12" t="s">
        <v>970</v>
      </c>
      <c r="D43" s="12" t="s">
        <v>865</v>
      </c>
    </row>
    <row r="44" spans="1:4" x14ac:dyDescent="0.25">
      <c r="A44" s="12" t="s">
        <v>12</v>
      </c>
      <c r="B44" s="12" t="s">
        <v>1</v>
      </c>
      <c r="C44" s="12" t="s">
        <v>971</v>
      </c>
      <c r="D44" s="12" t="s">
        <v>866</v>
      </c>
    </row>
    <row r="45" spans="1:4" x14ac:dyDescent="0.25">
      <c r="A45" s="12" t="s">
        <v>12</v>
      </c>
      <c r="B45" s="12"/>
      <c r="C45" s="12" t="s">
        <v>972</v>
      </c>
      <c r="D45" s="12" t="s">
        <v>861</v>
      </c>
    </row>
    <row r="46" spans="1:4" x14ac:dyDescent="0.25">
      <c r="A46" s="12"/>
      <c r="B46" s="12"/>
      <c r="C46" s="12"/>
      <c r="D46" s="12"/>
    </row>
    <row r="47" spans="1:4" x14ac:dyDescent="0.25">
      <c r="A47" s="13" t="s">
        <v>6</v>
      </c>
      <c r="B47" s="13" t="s">
        <v>1</v>
      </c>
      <c r="C47" s="4" t="s">
        <v>973</v>
      </c>
      <c r="D47" s="13" t="s">
        <v>869</v>
      </c>
    </row>
    <row r="48" spans="1:4" x14ac:dyDescent="0.25">
      <c r="A48" s="14" t="s">
        <v>9</v>
      </c>
      <c r="B48" s="14" t="s">
        <v>1</v>
      </c>
      <c r="C48" s="7" t="s">
        <v>974</v>
      </c>
      <c r="D48" s="14" t="s">
        <v>908</v>
      </c>
    </row>
    <row r="49" spans="1:4" x14ac:dyDescent="0.25">
      <c r="A49" s="2"/>
      <c r="B49" s="2"/>
      <c r="C49" s="6"/>
      <c r="D49" s="2"/>
    </row>
    <row r="50" spans="1:4" x14ac:dyDescent="0.25">
      <c r="A50" s="13" t="s">
        <v>6</v>
      </c>
      <c r="B50" s="13" t="s">
        <v>15</v>
      </c>
      <c r="C50" s="4" t="s">
        <v>975</v>
      </c>
      <c r="D50" s="13" t="s">
        <v>877</v>
      </c>
    </row>
    <row r="51" spans="1:4" x14ac:dyDescent="0.25">
      <c r="A51" s="14" t="s">
        <v>9</v>
      </c>
      <c r="B51" s="14" t="s">
        <v>15</v>
      </c>
      <c r="C51" s="7" t="s">
        <v>976</v>
      </c>
      <c r="D51" s="14" t="s">
        <v>924</v>
      </c>
    </row>
    <row r="52" spans="1:4" x14ac:dyDescent="0.25">
      <c r="A52" s="12"/>
      <c r="B52" s="12"/>
      <c r="C52" s="12"/>
      <c r="D52" s="12"/>
    </row>
    <row r="53" spans="1:4" x14ac:dyDescent="0.25">
      <c r="A53" s="13" t="s">
        <v>6</v>
      </c>
      <c r="B53" s="13" t="s">
        <v>1</v>
      </c>
      <c r="C53" s="4" t="s">
        <v>977</v>
      </c>
      <c r="D53" s="13" t="s">
        <v>885</v>
      </c>
    </row>
    <row r="54" spans="1:4" x14ac:dyDescent="0.25">
      <c r="A54" s="12"/>
      <c r="B54" s="12"/>
      <c r="C54" s="12"/>
      <c r="D54" s="12"/>
    </row>
    <row r="55" spans="1:4" x14ac:dyDescent="0.25">
      <c r="A55" s="13" t="s">
        <v>6</v>
      </c>
      <c r="B55" s="13" t="s">
        <v>1</v>
      </c>
      <c r="C55" s="13" t="s">
        <v>978</v>
      </c>
      <c r="D55" s="13" t="s">
        <v>886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A1DA6-A6C7-4569-B578-CFA6CED00FFB}">
  <dimension ref="A1:H46"/>
  <sheetViews>
    <sheetView topLeftCell="A24" workbookViewId="0">
      <selection activeCell="C42" activeCellId="1" sqref="C39:D39 C42:D42"/>
    </sheetView>
  </sheetViews>
  <sheetFormatPr defaultRowHeight="13.8" x14ac:dyDescent="0.25"/>
  <cols>
    <col min="3" max="3" width="9.5546875" bestFit="1" customWidth="1"/>
    <col min="4" max="4" width="15.44140625" bestFit="1" customWidth="1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x14ac:dyDescent="0.25">
      <c r="A2" s="3" t="s">
        <v>6</v>
      </c>
      <c r="B2" s="5" t="s">
        <v>1</v>
      </c>
      <c r="C2" s="4" t="s">
        <v>979</v>
      </c>
      <c r="D2" s="3" t="s">
        <v>7</v>
      </c>
    </row>
    <row r="3" spans="1:8" x14ac:dyDescent="0.25">
      <c r="A3" s="2" t="s">
        <v>9</v>
      </c>
      <c r="B3" s="5" t="s">
        <v>1</v>
      </c>
      <c r="C3" s="4" t="s">
        <v>980</v>
      </c>
      <c r="D3" s="2" t="s">
        <v>10</v>
      </c>
    </row>
    <row r="4" spans="1:8" x14ac:dyDescent="0.25">
      <c r="A4" s="2" t="s">
        <v>12</v>
      </c>
      <c r="B4" s="5" t="s">
        <v>1</v>
      </c>
      <c r="C4" s="6" t="s">
        <v>981</v>
      </c>
      <c r="D4" s="2" t="s">
        <v>627</v>
      </c>
    </row>
    <row r="5" spans="1:8" x14ac:dyDescent="0.25">
      <c r="A5" s="2" t="s">
        <v>74</v>
      </c>
      <c r="B5" s="5" t="s">
        <v>1</v>
      </c>
      <c r="C5" s="6" t="s">
        <v>982</v>
      </c>
      <c r="D5" s="2" t="s">
        <v>13</v>
      </c>
    </row>
    <row r="6" spans="1:8" x14ac:dyDescent="0.25">
      <c r="A6" s="2" t="s">
        <v>74</v>
      </c>
      <c r="B6" s="5" t="s">
        <v>15</v>
      </c>
      <c r="C6" s="6" t="s">
        <v>983</v>
      </c>
      <c r="D6" s="2" t="s">
        <v>630</v>
      </c>
    </row>
    <row r="7" spans="1:8" x14ac:dyDescent="0.25">
      <c r="A7" s="2" t="s">
        <v>12</v>
      </c>
      <c r="B7" s="5" t="s">
        <v>1</v>
      </c>
      <c r="C7" s="6" t="s">
        <v>984</v>
      </c>
      <c r="D7" s="2" t="s">
        <v>632</v>
      </c>
    </row>
    <row r="8" spans="1:8" x14ac:dyDescent="0.25">
      <c r="A8" s="2" t="s">
        <v>74</v>
      </c>
      <c r="B8" s="5" t="s">
        <v>15</v>
      </c>
      <c r="C8" s="6" t="s">
        <v>985</v>
      </c>
      <c r="D8" s="2" t="s">
        <v>16</v>
      </c>
    </row>
    <row r="9" spans="1:8" x14ac:dyDescent="0.25">
      <c r="A9" s="2" t="s">
        <v>74</v>
      </c>
      <c r="B9" s="5" t="s">
        <v>1</v>
      </c>
      <c r="C9" s="6" t="s">
        <v>986</v>
      </c>
      <c r="D9" s="2" t="s">
        <v>635</v>
      </c>
    </row>
    <row r="10" spans="1:8" x14ac:dyDescent="0.25">
      <c r="A10" s="2" t="s">
        <v>9</v>
      </c>
      <c r="B10" s="5" t="s">
        <v>1</v>
      </c>
      <c r="C10" s="4" t="s">
        <v>987</v>
      </c>
      <c r="D10" s="2" t="s">
        <v>17</v>
      </c>
    </row>
    <row r="11" spans="1:8" x14ac:dyDescent="0.25">
      <c r="A11" s="2" t="s">
        <v>12</v>
      </c>
      <c r="B11" s="5" t="s">
        <v>1</v>
      </c>
      <c r="C11" s="6" t="s">
        <v>988</v>
      </c>
      <c r="D11" s="2" t="s">
        <v>19</v>
      </c>
    </row>
    <row r="12" spans="1:8" x14ac:dyDescent="0.25">
      <c r="A12" s="2" t="s">
        <v>12</v>
      </c>
      <c r="B12" s="5" t="s">
        <v>15</v>
      </c>
      <c r="C12" s="6" t="s">
        <v>989</v>
      </c>
      <c r="D12" s="2" t="s">
        <v>21</v>
      </c>
    </row>
    <row r="13" spans="1:8" x14ac:dyDescent="0.25">
      <c r="A13" s="2" t="s">
        <v>9</v>
      </c>
      <c r="B13" s="5" t="s">
        <v>1</v>
      </c>
      <c r="C13" s="4" t="s">
        <v>990</v>
      </c>
      <c r="D13" s="2" t="s">
        <v>23</v>
      </c>
    </row>
    <row r="14" spans="1:8" x14ac:dyDescent="0.25">
      <c r="A14" s="3" t="s">
        <v>6</v>
      </c>
      <c r="B14" s="5" t="s">
        <v>15</v>
      </c>
      <c r="C14" s="4" t="s">
        <v>991</v>
      </c>
      <c r="D14" s="3" t="s">
        <v>641</v>
      </c>
    </row>
    <row r="15" spans="1:8" x14ac:dyDescent="0.25">
      <c r="A15" s="3" t="s">
        <v>6</v>
      </c>
      <c r="B15" s="5" t="s">
        <v>1</v>
      </c>
      <c r="C15" s="4" t="s">
        <v>992</v>
      </c>
      <c r="D15" s="3" t="s">
        <v>35</v>
      </c>
    </row>
    <row r="16" spans="1:8" x14ac:dyDescent="0.25">
      <c r="A16" s="3" t="s">
        <v>6</v>
      </c>
      <c r="B16" s="5" t="s">
        <v>15</v>
      </c>
      <c r="C16" s="4" t="s">
        <v>993</v>
      </c>
      <c r="D16" s="3" t="s">
        <v>37</v>
      </c>
    </row>
    <row r="17" spans="1:4" x14ac:dyDescent="0.25">
      <c r="A17" s="3" t="s">
        <v>6</v>
      </c>
      <c r="B17" s="5" t="s">
        <v>15</v>
      </c>
      <c r="C17" s="4" t="s">
        <v>994</v>
      </c>
      <c r="D17" s="3" t="s">
        <v>645</v>
      </c>
    </row>
    <row r="18" spans="1:4" x14ac:dyDescent="0.25">
      <c r="A18" s="2" t="s">
        <v>9</v>
      </c>
      <c r="B18" s="5" t="s">
        <v>15</v>
      </c>
      <c r="C18" s="4" t="s">
        <v>995</v>
      </c>
      <c r="D18" s="2" t="s">
        <v>647</v>
      </c>
    </row>
    <row r="19" spans="1:4" x14ac:dyDescent="0.25">
      <c r="A19" s="2" t="s">
        <v>12</v>
      </c>
      <c r="B19" s="5" t="s">
        <v>15</v>
      </c>
      <c r="C19" s="6" t="s">
        <v>996</v>
      </c>
      <c r="D19" s="2" t="s">
        <v>43</v>
      </c>
    </row>
    <row r="20" spans="1:4" x14ac:dyDescent="0.25">
      <c r="A20" s="2" t="s">
        <v>12</v>
      </c>
      <c r="B20" s="5" t="s">
        <v>15</v>
      </c>
      <c r="C20" s="6" t="s">
        <v>997</v>
      </c>
      <c r="D20" s="2" t="s">
        <v>650</v>
      </c>
    </row>
    <row r="21" spans="1:4" x14ac:dyDescent="0.25">
      <c r="A21" s="2" t="s">
        <v>9</v>
      </c>
      <c r="B21" s="5" t="s">
        <v>15</v>
      </c>
      <c r="C21" s="4" t="s">
        <v>998</v>
      </c>
      <c r="D21" s="2" t="s">
        <v>49</v>
      </c>
    </row>
    <row r="22" spans="1:4" x14ac:dyDescent="0.25">
      <c r="A22" s="2" t="s">
        <v>12</v>
      </c>
      <c r="B22" s="5" t="s">
        <v>15</v>
      </c>
      <c r="C22" s="6" t="s">
        <v>999</v>
      </c>
      <c r="D22" s="2" t="s">
        <v>51</v>
      </c>
    </row>
    <row r="23" spans="1:4" x14ac:dyDescent="0.25">
      <c r="A23" s="2" t="s">
        <v>12</v>
      </c>
      <c r="B23" s="5" t="s">
        <v>15</v>
      </c>
      <c r="C23" s="6" t="s">
        <v>1000</v>
      </c>
      <c r="D23" s="2" t="s">
        <v>53</v>
      </c>
    </row>
    <row r="24" spans="1:4" x14ac:dyDescent="0.25">
      <c r="A24" s="2" t="s">
        <v>9</v>
      </c>
      <c r="B24" s="5" t="s">
        <v>15</v>
      </c>
      <c r="C24" s="4" t="s">
        <v>1001</v>
      </c>
      <c r="D24" s="2" t="s">
        <v>55</v>
      </c>
    </row>
    <row r="25" spans="1:4" x14ac:dyDescent="0.25">
      <c r="A25" s="2" t="s">
        <v>12</v>
      </c>
      <c r="B25" s="5" t="s">
        <v>15</v>
      </c>
      <c r="C25" s="6" t="s">
        <v>1002</v>
      </c>
      <c r="D25" s="2" t="s">
        <v>656</v>
      </c>
    </row>
    <row r="26" spans="1:4" x14ac:dyDescent="0.25">
      <c r="A26" s="2" t="s">
        <v>74</v>
      </c>
      <c r="B26" s="5" t="s">
        <v>15</v>
      </c>
      <c r="C26" s="6" t="s">
        <v>1003</v>
      </c>
      <c r="D26" s="2" t="s">
        <v>658</v>
      </c>
    </row>
    <row r="27" spans="1:4" x14ac:dyDescent="0.25">
      <c r="A27" s="2" t="s">
        <v>74</v>
      </c>
      <c r="B27" s="5" t="s">
        <v>15</v>
      </c>
      <c r="C27" s="6" t="s">
        <v>1004</v>
      </c>
      <c r="D27" s="2" t="s">
        <v>660</v>
      </c>
    </row>
    <row r="28" spans="1:4" x14ac:dyDescent="0.25">
      <c r="A28" s="2" t="s">
        <v>12</v>
      </c>
      <c r="B28" s="5" t="s">
        <v>15</v>
      </c>
      <c r="C28" s="6" t="s">
        <v>1005</v>
      </c>
      <c r="D28" s="2" t="s">
        <v>662</v>
      </c>
    </row>
    <row r="29" spans="1:4" x14ac:dyDescent="0.25">
      <c r="A29" s="2" t="s">
        <v>12</v>
      </c>
      <c r="B29" s="5" t="s">
        <v>15</v>
      </c>
      <c r="C29" s="6" t="s">
        <v>1006</v>
      </c>
      <c r="D29" s="2" t="s">
        <v>664</v>
      </c>
    </row>
    <row r="30" spans="1:4" x14ac:dyDescent="0.25">
      <c r="A30" s="2" t="s">
        <v>12</v>
      </c>
      <c r="B30" s="5" t="s">
        <v>15</v>
      </c>
      <c r="C30" s="6" t="s">
        <v>1007</v>
      </c>
      <c r="D30" s="2" t="s">
        <v>666</v>
      </c>
    </row>
    <row r="31" spans="1:4" x14ac:dyDescent="0.25">
      <c r="A31" s="2" t="s">
        <v>9</v>
      </c>
      <c r="B31" s="5" t="s">
        <v>15</v>
      </c>
      <c r="C31" s="4" t="s">
        <v>1008</v>
      </c>
      <c r="D31" s="2" t="s">
        <v>668</v>
      </c>
    </row>
    <row r="32" spans="1:4" x14ac:dyDescent="0.25">
      <c r="A32" s="2" t="s">
        <v>9</v>
      </c>
      <c r="B32" s="5" t="s">
        <v>15</v>
      </c>
      <c r="C32" s="4" t="s">
        <v>1009</v>
      </c>
      <c r="D32" s="2" t="s">
        <v>57</v>
      </c>
    </row>
    <row r="33" spans="1:4" x14ac:dyDescent="0.25">
      <c r="A33" s="3" t="s">
        <v>6</v>
      </c>
      <c r="B33" s="5" t="s">
        <v>1</v>
      </c>
      <c r="C33" s="4" t="s">
        <v>1010</v>
      </c>
      <c r="D33" s="3" t="s">
        <v>59</v>
      </c>
    </row>
    <row r="34" spans="1:4" x14ac:dyDescent="0.25">
      <c r="A34" s="3" t="s">
        <v>6</v>
      </c>
      <c r="B34" s="5"/>
      <c r="C34" s="4" t="s">
        <v>1011</v>
      </c>
      <c r="D34" s="3" t="s">
        <v>672</v>
      </c>
    </row>
    <row r="35" spans="1:4" x14ac:dyDescent="0.25">
      <c r="A35" s="3" t="s">
        <v>6</v>
      </c>
      <c r="B35" s="5" t="s">
        <v>15</v>
      </c>
      <c r="C35" s="4" t="s">
        <v>1012</v>
      </c>
      <c r="D35" s="3" t="s">
        <v>674</v>
      </c>
    </row>
    <row r="36" spans="1:4" x14ac:dyDescent="0.25">
      <c r="A36" s="3" t="s">
        <v>6</v>
      </c>
      <c r="B36" s="5"/>
      <c r="C36" s="4" t="s">
        <v>1013</v>
      </c>
      <c r="D36" s="3" t="s">
        <v>61</v>
      </c>
    </row>
    <row r="37" spans="1:4" x14ac:dyDescent="0.25">
      <c r="A37" s="12"/>
      <c r="B37" s="12"/>
      <c r="C37" s="12"/>
      <c r="D37" s="12"/>
    </row>
    <row r="38" spans="1:4" x14ac:dyDescent="0.25">
      <c r="A38" s="13" t="s">
        <v>6</v>
      </c>
      <c r="B38" s="13" t="s">
        <v>1</v>
      </c>
      <c r="C38" s="4" t="s">
        <v>1014</v>
      </c>
      <c r="D38" s="13" t="s">
        <v>869</v>
      </c>
    </row>
    <row r="39" spans="1:4" x14ac:dyDescent="0.25">
      <c r="A39" s="14" t="s">
        <v>9</v>
      </c>
      <c r="B39" s="14" t="s">
        <v>1</v>
      </c>
      <c r="C39" s="7" t="s">
        <v>1015</v>
      </c>
      <c r="D39" s="14" t="s">
        <v>908</v>
      </c>
    </row>
    <row r="40" spans="1:4" x14ac:dyDescent="0.25">
      <c r="A40" s="2"/>
      <c r="B40" s="2"/>
      <c r="C40" s="6"/>
      <c r="D40" s="2"/>
    </row>
    <row r="41" spans="1:4" x14ac:dyDescent="0.25">
      <c r="A41" s="13" t="s">
        <v>6</v>
      </c>
      <c r="B41" s="13" t="s">
        <v>15</v>
      </c>
      <c r="C41" s="4" t="s">
        <v>1016</v>
      </c>
      <c r="D41" s="13" t="s">
        <v>877</v>
      </c>
    </row>
    <row r="42" spans="1:4" x14ac:dyDescent="0.25">
      <c r="A42" s="14" t="s">
        <v>9</v>
      </c>
      <c r="B42" s="14" t="s">
        <v>15</v>
      </c>
      <c r="C42" s="7" t="s">
        <v>1017</v>
      </c>
      <c r="D42" s="14" t="s">
        <v>924</v>
      </c>
    </row>
    <row r="43" spans="1:4" x14ac:dyDescent="0.25">
      <c r="A43" s="12"/>
      <c r="B43" s="12"/>
      <c r="C43" s="12"/>
      <c r="D43" s="12"/>
    </row>
    <row r="44" spans="1:4" x14ac:dyDescent="0.25">
      <c r="A44" s="13" t="s">
        <v>6</v>
      </c>
      <c r="B44" s="13" t="s">
        <v>1</v>
      </c>
      <c r="C44" s="4" t="s">
        <v>1018</v>
      </c>
      <c r="D44" s="13" t="s">
        <v>885</v>
      </c>
    </row>
    <row r="45" spans="1:4" x14ac:dyDescent="0.25">
      <c r="A45" s="12"/>
      <c r="B45" s="12"/>
      <c r="C45" s="12"/>
      <c r="D45" s="12"/>
    </row>
    <row r="46" spans="1:4" x14ac:dyDescent="0.25">
      <c r="A46" s="13" t="s">
        <v>6</v>
      </c>
      <c r="B46" s="13" t="s">
        <v>1</v>
      </c>
      <c r="C46" s="13" t="s">
        <v>1019</v>
      </c>
      <c r="D46" s="13" t="s">
        <v>886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4E74F-3E1C-42D8-8563-ED4600C73264}">
  <dimension ref="A1:H36"/>
  <sheetViews>
    <sheetView workbookViewId="0">
      <selection activeCell="H9" sqref="H9"/>
    </sheetView>
  </sheetViews>
  <sheetFormatPr defaultRowHeight="13.8" x14ac:dyDescent="0.25"/>
  <cols>
    <col min="4" max="4" width="15.6640625" bestFit="1" customWidth="1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x14ac:dyDescent="0.25">
      <c r="A2" s="3" t="s">
        <v>6</v>
      </c>
      <c r="B2" s="5" t="s">
        <v>1</v>
      </c>
      <c r="C2" s="4" t="s">
        <v>746</v>
      </c>
      <c r="D2" s="3" t="s">
        <v>7</v>
      </c>
    </row>
    <row r="3" spans="1:8" x14ac:dyDescent="0.25">
      <c r="A3" s="3" t="s">
        <v>9</v>
      </c>
      <c r="B3" s="5" t="s">
        <v>1</v>
      </c>
      <c r="C3" s="4" t="s">
        <v>747</v>
      </c>
      <c r="D3" s="3" t="s">
        <v>10</v>
      </c>
    </row>
    <row r="4" spans="1:8" x14ac:dyDescent="0.25">
      <c r="A4" s="2" t="s">
        <v>12</v>
      </c>
      <c r="B4" s="5" t="s">
        <v>1</v>
      </c>
      <c r="C4" s="6" t="s">
        <v>748</v>
      </c>
      <c r="D4" s="2" t="s">
        <v>627</v>
      </c>
    </row>
    <row r="5" spans="1:8" x14ac:dyDescent="0.25">
      <c r="A5" s="2" t="s">
        <v>74</v>
      </c>
      <c r="B5" s="5" t="s">
        <v>1</v>
      </c>
      <c r="C5" s="6" t="s">
        <v>749</v>
      </c>
      <c r="D5" s="2" t="s">
        <v>13</v>
      </c>
    </row>
    <row r="6" spans="1:8" x14ac:dyDescent="0.25">
      <c r="A6" s="2" t="s">
        <v>74</v>
      </c>
      <c r="B6" s="5" t="s">
        <v>15</v>
      </c>
      <c r="C6" s="6" t="s">
        <v>750</v>
      </c>
      <c r="D6" s="2" t="s">
        <v>630</v>
      </c>
    </row>
    <row r="7" spans="1:8" x14ac:dyDescent="0.25">
      <c r="A7" s="2" t="s">
        <v>12</v>
      </c>
      <c r="B7" s="5" t="s">
        <v>1</v>
      </c>
      <c r="C7" s="6" t="s">
        <v>751</v>
      </c>
      <c r="D7" s="2" t="s">
        <v>632</v>
      </c>
    </row>
    <row r="8" spans="1:8" x14ac:dyDescent="0.25">
      <c r="A8" s="2" t="s">
        <v>74</v>
      </c>
      <c r="B8" s="5" t="s">
        <v>15</v>
      </c>
      <c r="C8" s="6" t="s">
        <v>752</v>
      </c>
      <c r="D8" s="2" t="s">
        <v>16</v>
      </c>
    </row>
    <row r="9" spans="1:8" x14ac:dyDescent="0.25">
      <c r="A9" s="2" t="s">
        <v>74</v>
      </c>
      <c r="B9" s="5" t="s">
        <v>1</v>
      </c>
      <c r="C9" s="6" t="s">
        <v>753</v>
      </c>
      <c r="D9" s="2" t="s">
        <v>635</v>
      </c>
    </row>
    <row r="10" spans="1:8" x14ac:dyDescent="0.25">
      <c r="A10" s="3" t="s">
        <v>9</v>
      </c>
      <c r="B10" s="5" t="s">
        <v>1</v>
      </c>
      <c r="C10" s="4" t="s">
        <v>754</v>
      </c>
      <c r="D10" s="3" t="s">
        <v>17</v>
      </c>
    </row>
    <row r="11" spans="1:8" x14ac:dyDescent="0.25">
      <c r="A11" s="2" t="s">
        <v>12</v>
      </c>
      <c r="B11" s="5" t="s">
        <v>1</v>
      </c>
      <c r="C11" s="6" t="s">
        <v>755</v>
      </c>
      <c r="D11" s="2" t="s">
        <v>19</v>
      </c>
    </row>
    <row r="12" spans="1:8" x14ac:dyDescent="0.25">
      <c r="A12" s="2" t="s">
        <v>12</v>
      </c>
      <c r="B12" s="5" t="s">
        <v>15</v>
      </c>
      <c r="C12" s="6" t="s">
        <v>756</v>
      </c>
      <c r="D12" s="2" t="s">
        <v>21</v>
      </c>
    </row>
    <row r="13" spans="1:8" x14ac:dyDescent="0.25">
      <c r="A13" s="3" t="s">
        <v>9</v>
      </c>
      <c r="B13" s="5" t="s">
        <v>1</v>
      </c>
      <c r="C13" s="4" t="s">
        <v>757</v>
      </c>
      <c r="D13" s="3" t="s">
        <v>23</v>
      </c>
    </row>
    <row r="14" spans="1:8" x14ac:dyDescent="0.25">
      <c r="A14" s="3" t="s">
        <v>6</v>
      </c>
      <c r="B14" s="5" t="s">
        <v>15</v>
      </c>
      <c r="C14" s="4" t="s">
        <v>758</v>
      </c>
      <c r="D14" s="3" t="s">
        <v>641</v>
      </c>
    </row>
    <row r="15" spans="1:8" x14ac:dyDescent="0.25">
      <c r="A15" s="3" t="s">
        <v>6</v>
      </c>
      <c r="B15" s="5" t="s">
        <v>1</v>
      </c>
      <c r="C15" s="4" t="s">
        <v>759</v>
      </c>
      <c r="D15" s="3" t="s">
        <v>35</v>
      </c>
    </row>
    <row r="16" spans="1:8" x14ac:dyDescent="0.25">
      <c r="A16" s="3" t="s">
        <v>6</v>
      </c>
      <c r="B16" s="5" t="s">
        <v>15</v>
      </c>
      <c r="C16" s="4" t="s">
        <v>760</v>
      </c>
      <c r="D16" s="3" t="s">
        <v>37</v>
      </c>
    </row>
    <row r="17" spans="1:4" x14ac:dyDescent="0.25">
      <c r="A17" s="3" t="s">
        <v>6</v>
      </c>
      <c r="B17" s="5" t="s">
        <v>15</v>
      </c>
      <c r="C17" s="4" t="s">
        <v>761</v>
      </c>
      <c r="D17" s="3" t="s">
        <v>645</v>
      </c>
    </row>
    <row r="18" spans="1:4" x14ac:dyDescent="0.25">
      <c r="A18" s="3" t="s">
        <v>9</v>
      </c>
      <c r="B18" s="5" t="s">
        <v>15</v>
      </c>
      <c r="C18" s="4" t="s">
        <v>762</v>
      </c>
      <c r="D18" s="3" t="s">
        <v>647</v>
      </c>
    </row>
    <row r="19" spans="1:4" x14ac:dyDescent="0.25">
      <c r="A19" s="2" t="s">
        <v>12</v>
      </c>
      <c r="B19" s="5" t="s">
        <v>15</v>
      </c>
      <c r="C19" s="6" t="s">
        <v>763</v>
      </c>
      <c r="D19" s="2" t="s">
        <v>43</v>
      </c>
    </row>
    <row r="20" spans="1:4" x14ac:dyDescent="0.25">
      <c r="A20" s="2" t="s">
        <v>12</v>
      </c>
      <c r="B20" s="5" t="s">
        <v>15</v>
      </c>
      <c r="C20" s="6" t="s">
        <v>764</v>
      </c>
      <c r="D20" s="2" t="s">
        <v>650</v>
      </c>
    </row>
    <row r="21" spans="1:4" x14ac:dyDescent="0.25">
      <c r="A21" s="3" t="s">
        <v>9</v>
      </c>
      <c r="B21" s="5" t="s">
        <v>15</v>
      </c>
      <c r="C21" s="4" t="s">
        <v>765</v>
      </c>
      <c r="D21" s="3" t="s">
        <v>49</v>
      </c>
    </row>
    <row r="22" spans="1:4" x14ac:dyDescent="0.25">
      <c r="A22" s="2" t="s">
        <v>12</v>
      </c>
      <c r="B22" s="5" t="s">
        <v>15</v>
      </c>
      <c r="C22" s="6" t="s">
        <v>766</v>
      </c>
      <c r="D22" s="2" t="s">
        <v>51</v>
      </c>
    </row>
    <row r="23" spans="1:4" x14ac:dyDescent="0.25">
      <c r="A23" s="2" t="s">
        <v>12</v>
      </c>
      <c r="B23" s="5" t="s">
        <v>15</v>
      </c>
      <c r="C23" s="6" t="s">
        <v>767</v>
      </c>
      <c r="D23" s="2" t="s">
        <v>53</v>
      </c>
    </row>
    <row r="24" spans="1:4" x14ac:dyDescent="0.25">
      <c r="A24" s="3" t="s">
        <v>9</v>
      </c>
      <c r="B24" s="5" t="s">
        <v>15</v>
      </c>
      <c r="C24" s="4" t="s">
        <v>768</v>
      </c>
      <c r="D24" s="3" t="s">
        <v>55</v>
      </c>
    </row>
    <row r="25" spans="1:4" x14ac:dyDescent="0.25">
      <c r="A25" s="2" t="s">
        <v>12</v>
      </c>
      <c r="B25" s="5" t="s">
        <v>15</v>
      </c>
      <c r="C25" s="6" t="s">
        <v>769</v>
      </c>
      <c r="D25" s="2" t="s">
        <v>656</v>
      </c>
    </row>
    <row r="26" spans="1:4" x14ac:dyDescent="0.25">
      <c r="A26" s="2" t="s">
        <v>74</v>
      </c>
      <c r="B26" s="5" t="s">
        <v>15</v>
      </c>
      <c r="C26" s="6" t="s">
        <v>770</v>
      </c>
      <c r="D26" s="2" t="s">
        <v>658</v>
      </c>
    </row>
    <row r="27" spans="1:4" x14ac:dyDescent="0.25">
      <c r="A27" s="2" t="s">
        <v>74</v>
      </c>
      <c r="B27" s="5" t="s">
        <v>15</v>
      </c>
      <c r="C27" s="6" t="s">
        <v>771</v>
      </c>
      <c r="D27" s="2" t="s">
        <v>660</v>
      </c>
    </row>
    <row r="28" spans="1:4" x14ac:dyDescent="0.25">
      <c r="A28" s="2" t="s">
        <v>12</v>
      </c>
      <c r="B28" s="5" t="s">
        <v>15</v>
      </c>
      <c r="C28" s="6" t="s">
        <v>772</v>
      </c>
      <c r="D28" s="2" t="s">
        <v>662</v>
      </c>
    </row>
    <row r="29" spans="1:4" x14ac:dyDescent="0.25">
      <c r="A29" s="2" t="s">
        <v>12</v>
      </c>
      <c r="B29" s="5" t="s">
        <v>15</v>
      </c>
      <c r="C29" s="6" t="s">
        <v>773</v>
      </c>
      <c r="D29" s="2" t="s">
        <v>664</v>
      </c>
    </row>
    <row r="30" spans="1:4" x14ac:dyDescent="0.25">
      <c r="A30" s="2" t="s">
        <v>12</v>
      </c>
      <c r="B30" s="5" t="s">
        <v>15</v>
      </c>
      <c r="C30" s="6" t="s">
        <v>774</v>
      </c>
      <c r="D30" s="2" t="s">
        <v>666</v>
      </c>
    </row>
    <row r="31" spans="1:4" x14ac:dyDescent="0.25">
      <c r="A31" s="3" t="s">
        <v>9</v>
      </c>
      <c r="B31" s="5" t="s">
        <v>15</v>
      </c>
      <c r="C31" s="4" t="s">
        <v>775</v>
      </c>
      <c r="D31" s="3" t="s">
        <v>668</v>
      </c>
    </row>
    <row r="32" spans="1:4" x14ac:dyDescent="0.25">
      <c r="A32" s="3" t="s">
        <v>9</v>
      </c>
      <c r="B32" s="5" t="s">
        <v>15</v>
      </c>
      <c r="C32" s="4" t="s">
        <v>776</v>
      </c>
      <c r="D32" s="3" t="s">
        <v>57</v>
      </c>
    </row>
    <row r="33" spans="1:4" x14ac:dyDescent="0.25">
      <c r="A33" s="3" t="s">
        <v>6</v>
      </c>
      <c r="B33" s="5" t="s">
        <v>1</v>
      </c>
      <c r="C33" s="4" t="s">
        <v>777</v>
      </c>
      <c r="D33" s="3" t="s">
        <v>59</v>
      </c>
    </row>
    <row r="34" spans="1:4" x14ac:dyDescent="0.25">
      <c r="A34" s="3" t="s">
        <v>6</v>
      </c>
      <c r="B34" s="5"/>
      <c r="C34" s="4" t="s">
        <v>778</v>
      </c>
      <c r="D34" s="3" t="s">
        <v>672</v>
      </c>
    </row>
    <row r="35" spans="1:4" x14ac:dyDescent="0.25">
      <c r="A35" s="3" t="s">
        <v>6</v>
      </c>
      <c r="B35" s="5" t="s">
        <v>15</v>
      </c>
      <c r="C35" s="4" t="s">
        <v>779</v>
      </c>
      <c r="D35" s="3" t="s">
        <v>674</v>
      </c>
    </row>
    <row r="36" spans="1:4" x14ac:dyDescent="0.25">
      <c r="A36" s="3" t="s">
        <v>6</v>
      </c>
      <c r="B36" s="5"/>
      <c r="C36" s="4" t="s">
        <v>780</v>
      </c>
      <c r="D36" s="3" t="s">
        <v>61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04E4F-E248-4C26-86F0-61C13D4DF282}">
  <dimension ref="A1:H46"/>
  <sheetViews>
    <sheetView topLeftCell="A24" workbookViewId="0">
      <selection activeCell="C42" activeCellId="1" sqref="C39:D39 C42:D42"/>
    </sheetView>
  </sheetViews>
  <sheetFormatPr defaultRowHeight="13.8" x14ac:dyDescent="0.25"/>
  <cols>
    <col min="3" max="3" width="9.6640625" bestFit="1" customWidth="1"/>
    <col min="4" max="4" width="15.44140625" bestFit="1" customWidth="1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x14ac:dyDescent="0.25">
      <c r="A2" s="3" t="s">
        <v>6</v>
      </c>
      <c r="B2" s="5" t="s">
        <v>1</v>
      </c>
      <c r="C2" s="4" t="s">
        <v>747</v>
      </c>
      <c r="D2" s="3" t="s">
        <v>7</v>
      </c>
    </row>
    <row r="3" spans="1:8" x14ac:dyDescent="0.25">
      <c r="A3" s="2" t="s">
        <v>9</v>
      </c>
      <c r="B3" s="5" t="s">
        <v>1</v>
      </c>
      <c r="C3" s="4" t="s">
        <v>748</v>
      </c>
      <c r="D3" s="2" t="s">
        <v>10</v>
      </c>
    </row>
    <row r="4" spans="1:8" x14ac:dyDescent="0.25">
      <c r="A4" s="2" t="s">
        <v>12</v>
      </c>
      <c r="B4" s="5" t="s">
        <v>1</v>
      </c>
      <c r="C4" s="6" t="s">
        <v>749</v>
      </c>
      <c r="D4" s="2" t="s">
        <v>627</v>
      </c>
    </row>
    <row r="5" spans="1:8" x14ac:dyDescent="0.25">
      <c r="A5" s="2" t="s">
        <v>74</v>
      </c>
      <c r="B5" s="5" t="s">
        <v>1</v>
      </c>
      <c r="C5" s="6" t="s">
        <v>1020</v>
      </c>
      <c r="D5" s="2" t="s">
        <v>13</v>
      </c>
    </row>
    <row r="6" spans="1:8" x14ac:dyDescent="0.25">
      <c r="A6" s="2" t="s">
        <v>74</v>
      </c>
      <c r="B6" s="5" t="s">
        <v>15</v>
      </c>
      <c r="C6" s="6" t="s">
        <v>1021</v>
      </c>
      <c r="D6" s="2" t="s">
        <v>630</v>
      </c>
    </row>
    <row r="7" spans="1:8" x14ac:dyDescent="0.25">
      <c r="A7" s="2" t="s">
        <v>12</v>
      </c>
      <c r="B7" s="5" t="s">
        <v>1</v>
      </c>
      <c r="C7" s="6" t="s">
        <v>750</v>
      </c>
      <c r="D7" s="2" t="s">
        <v>632</v>
      </c>
    </row>
    <row r="8" spans="1:8" x14ac:dyDescent="0.25">
      <c r="A8" s="2" t="s">
        <v>74</v>
      </c>
      <c r="B8" s="5" t="s">
        <v>15</v>
      </c>
      <c r="C8" s="6" t="s">
        <v>1022</v>
      </c>
      <c r="D8" s="2" t="s">
        <v>16</v>
      </c>
    </row>
    <row r="9" spans="1:8" x14ac:dyDescent="0.25">
      <c r="A9" s="2" t="s">
        <v>74</v>
      </c>
      <c r="B9" s="5" t="s">
        <v>1</v>
      </c>
      <c r="C9" s="6" t="s">
        <v>1023</v>
      </c>
      <c r="D9" s="2" t="s">
        <v>635</v>
      </c>
    </row>
    <row r="10" spans="1:8" x14ac:dyDescent="0.25">
      <c r="A10" s="2" t="s">
        <v>9</v>
      </c>
      <c r="B10" s="5" t="s">
        <v>1</v>
      </c>
      <c r="C10" s="4" t="s">
        <v>751</v>
      </c>
      <c r="D10" s="2" t="s">
        <v>17</v>
      </c>
    </row>
    <row r="11" spans="1:8" x14ac:dyDescent="0.25">
      <c r="A11" s="2" t="s">
        <v>12</v>
      </c>
      <c r="B11" s="5" t="s">
        <v>1</v>
      </c>
      <c r="C11" s="6" t="s">
        <v>752</v>
      </c>
      <c r="D11" s="2" t="s">
        <v>19</v>
      </c>
    </row>
    <row r="12" spans="1:8" x14ac:dyDescent="0.25">
      <c r="A12" s="2" t="s">
        <v>12</v>
      </c>
      <c r="B12" s="5" t="s">
        <v>15</v>
      </c>
      <c r="C12" s="6" t="s">
        <v>753</v>
      </c>
      <c r="D12" s="2" t="s">
        <v>21</v>
      </c>
    </row>
    <row r="13" spans="1:8" x14ac:dyDescent="0.25">
      <c r="A13" s="2" t="s">
        <v>9</v>
      </c>
      <c r="B13" s="5" t="s">
        <v>1</v>
      </c>
      <c r="C13" s="4" t="s">
        <v>1024</v>
      </c>
      <c r="D13" s="2" t="s">
        <v>23</v>
      </c>
    </row>
    <row r="14" spans="1:8" x14ac:dyDescent="0.25">
      <c r="A14" s="3" t="s">
        <v>6</v>
      </c>
      <c r="B14" s="5" t="s">
        <v>15</v>
      </c>
      <c r="C14" s="4" t="s">
        <v>754</v>
      </c>
      <c r="D14" s="3" t="s">
        <v>641</v>
      </c>
    </row>
    <row r="15" spans="1:8" x14ac:dyDescent="0.25">
      <c r="A15" s="3" t="s">
        <v>6</v>
      </c>
      <c r="B15" s="5" t="s">
        <v>1</v>
      </c>
      <c r="C15" s="4" t="s">
        <v>757</v>
      </c>
      <c r="D15" s="3" t="s">
        <v>35</v>
      </c>
    </row>
    <row r="16" spans="1:8" x14ac:dyDescent="0.25">
      <c r="A16" s="3" t="s">
        <v>6</v>
      </c>
      <c r="B16" s="5" t="s">
        <v>15</v>
      </c>
      <c r="C16" s="4" t="s">
        <v>1025</v>
      </c>
      <c r="D16" s="3" t="s">
        <v>37</v>
      </c>
    </row>
    <row r="17" spans="1:4" x14ac:dyDescent="0.25">
      <c r="A17" s="3" t="s">
        <v>6</v>
      </c>
      <c r="B17" s="5" t="s">
        <v>15</v>
      </c>
      <c r="C17" s="4" t="s">
        <v>1026</v>
      </c>
      <c r="D17" s="3" t="s">
        <v>645</v>
      </c>
    </row>
    <row r="18" spans="1:4" x14ac:dyDescent="0.25">
      <c r="A18" s="2" t="s">
        <v>9</v>
      </c>
      <c r="B18" s="5" t="s">
        <v>15</v>
      </c>
      <c r="C18" s="4" t="s">
        <v>1027</v>
      </c>
      <c r="D18" s="2" t="s">
        <v>647</v>
      </c>
    </row>
    <row r="19" spans="1:4" x14ac:dyDescent="0.25">
      <c r="A19" s="2" t="s">
        <v>12</v>
      </c>
      <c r="B19" s="5" t="s">
        <v>15</v>
      </c>
      <c r="C19" s="6" t="s">
        <v>1028</v>
      </c>
      <c r="D19" s="2" t="s">
        <v>43</v>
      </c>
    </row>
    <row r="20" spans="1:4" x14ac:dyDescent="0.25">
      <c r="A20" s="2" t="s">
        <v>12</v>
      </c>
      <c r="B20" s="5" t="s">
        <v>15</v>
      </c>
      <c r="C20" s="6" t="s">
        <v>1029</v>
      </c>
      <c r="D20" s="2" t="s">
        <v>650</v>
      </c>
    </row>
    <row r="21" spans="1:4" x14ac:dyDescent="0.25">
      <c r="A21" s="2" t="s">
        <v>9</v>
      </c>
      <c r="B21" s="5" t="s">
        <v>15</v>
      </c>
      <c r="C21" s="4" t="s">
        <v>1030</v>
      </c>
      <c r="D21" s="2" t="s">
        <v>49</v>
      </c>
    </row>
    <row r="22" spans="1:4" x14ac:dyDescent="0.25">
      <c r="A22" s="2" t="s">
        <v>12</v>
      </c>
      <c r="B22" s="5" t="s">
        <v>15</v>
      </c>
      <c r="C22" s="6" t="s">
        <v>1031</v>
      </c>
      <c r="D22" s="2" t="s">
        <v>51</v>
      </c>
    </row>
    <row r="23" spans="1:4" x14ac:dyDescent="0.25">
      <c r="A23" s="2" t="s">
        <v>12</v>
      </c>
      <c r="B23" s="5" t="s">
        <v>15</v>
      </c>
      <c r="C23" s="6" t="s">
        <v>1032</v>
      </c>
      <c r="D23" s="2" t="s">
        <v>53</v>
      </c>
    </row>
    <row r="24" spans="1:4" x14ac:dyDescent="0.25">
      <c r="A24" s="2" t="s">
        <v>9</v>
      </c>
      <c r="B24" s="5" t="s">
        <v>15</v>
      </c>
      <c r="C24" s="4" t="s">
        <v>1033</v>
      </c>
      <c r="D24" s="2" t="s">
        <v>55</v>
      </c>
    </row>
    <row r="25" spans="1:4" x14ac:dyDescent="0.25">
      <c r="A25" s="2" t="s">
        <v>12</v>
      </c>
      <c r="B25" s="5" t="s">
        <v>15</v>
      </c>
      <c r="C25" s="6" t="s">
        <v>1034</v>
      </c>
      <c r="D25" s="2" t="s">
        <v>656</v>
      </c>
    </row>
    <row r="26" spans="1:4" x14ac:dyDescent="0.25">
      <c r="A26" s="2" t="s">
        <v>74</v>
      </c>
      <c r="B26" s="5" t="s">
        <v>15</v>
      </c>
      <c r="C26" s="6" t="s">
        <v>1035</v>
      </c>
      <c r="D26" s="2" t="s">
        <v>658</v>
      </c>
    </row>
    <row r="27" spans="1:4" x14ac:dyDescent="0.25">
      <c r="A27" s="2" t="s">
        <v>74</v>
      </c>
      <c r="B27" s="5" t="s">
        <v>15</v>
      </c>
      <c r="C27" s="6" t="s">
        <v>1036</v>
      </c>
      <c r="D27" s="2" t="s">
        <v>660</v>
      </c>
    </row>
    <row r="28" spans="1:4" x14ac:dyDescent="0.25">
      <c r="A28" s="2" t="s">
        <v>12</v>
      </c>
      <c r="B28" s="5" t="s">
        <v>15</v>
      </c>
      <c r="C28" s="6" t="s">
        <v>1037</v>
      </c>
      <c r="D28" s="2" t="s">
        <v>662</v>
      </c>
    </row>
    <row r="29" spans="1:4" x14ac:dyDescent="0.25">
      <c r="A29" s="2" t="s">
        <v>12</v>
      </c>
      <c r="B29" s="5" t="s">
        <v>15</v>
      </c>
      <c r="C29" s="6" t="s">
        <v>1038</v>
      </c>
      <c r="D29" s="2" t="s">
        <v>664</v>
      </c>
    </row>
    <row r="30" spans="1:4" x14ac:dyDescent="0.25">
      <c r="A30" s="2" t="s">
        <v>12</v>
      </c>
      <c r="B30" s="5" t="s">
        <v>15</v>
      </c>
      <c r="C30" s="6" t="s">
        <v>1039</v>
      </c>
      <c r="D30" s="2" t="s">
        <v>666</v>
      </c>
    </row>
    <row r="31" spans="1:4" x14ac:dyDescent="0.25">
      <c r="A31" s="2" t="s">
        <v>9</v>
      </c>
      <c r="B31" s="5" t="s">
        <v>15</v>
      </c>
      <c r="C31" s="4" t="s">
        <v>1040</v>
      </c>
      <c r="D31" s="2" t="s">
        <v>668</v>
      </c>
    </row>
    <row r="32" spans="1:4" x14ac:dyDescent="0.25">
      <c r="A32" s="2" t="s">
        <v>9</v>
      </c>
      <c r="B32" s="5" t="s">
        <v>15</v>
      </c>
      <c r="C32" s="4" t="s">
        <v>1041</v>
      </c>
      <c r="D32" s="2" t="s">
        <v>57</v>
      </c>
    </row>
    <row r="33" spans="1:4" x14ac:dyDescent="0.25">
      <c r="A33" s="3" t="s">
        <v>6</v>
      </c>
      <c r="B33" s="5" t="s">
        <v>1</v>
      </c>
      <c r="C33" s="4" t="s">
        <v>1042</v>
      </c>
      <c r="D33" s="3" t="s">
        <v>59</v>
      </c>
    </row>
    <row r="34" spans="1:4" x14ac:dyDescent="0.25">
      <c r="A34" s="3" t="s">
        <v>6</v>
      </c>
      <c r="B34" s="5"/>
      <c r="C34" s="4" t="s">
        <v>1043</v>
      </c>
      <c r="D34" s="3" t="s">
        <v>672</v>
      </c>
    </row>
    <row r="35" spans="1:4" x14ac:dyDescent="0.25">
      <c r="A35" s="3" t="s">
        <v>6</v>
      </c>
      <c r="B35" s="5" t="s">
        <v>15</v>
      </c>
      <c r="C35" s="4" t="s">
        <v>1044</v>
      </c>
      <c r="D35" s="3" t="s">
        <v>674</v>
      </c>
    </row>
    <row r="36" spans="1:4" x14ac:dyDescent="0.25">
      <c r="A36" s="3" t="s">
        <v>6</v>
      </c>
      <c r="B36" s="5"/>
      <c r="C36" s="4" t="s">
        <v>1045</v>
      </c>
      <c r="D36" s="3" t="s">
        <v>61</v>
      </c>
    </row>
    <row r="37" spans="1:4" x14ac:dyDescent="0.25">
      <c r="A37" s="12"/>
      <c r="B37" s="12"/>
      <c r="C37" s="12"/>
      <c r="D37" s="12"/>
    </row>
    <row r="38" spans="1:4" x14ac:dyDescent="0.25">
      <c r="A38" s="13" t="s">
        <v>6</v>
      </c>
      <c r="B38" s="13" t="s">
        <v>1</v>
      </c>
      <c r="C38" s="4" t="s">
        <v>1046</v>
      </c>
      <c r="D38" s="13" t="s">
        <v>869</v>
      </c>
    </row>
    <row r="39" spans="1:4" x14ac:dyDescent="0.25">
      <c r="A39" s="14" t="s">
        <v>9</v>
      </c>
      <c r="B39" s="14" t="s">
        <v>1</v>
      </c>
      <c r="C39" s="7" t="s">
        <v>1047</v>
      </c>
      <c r="D39" s="14" t="s">
        <v>908</v>
      </c>
    </row>
    <row r="40" spans="1:4" x14ac:dyDescent="0.25">
      <c r="A40" s="2"/>
      <c r="B40" s="2"/>
      <c r="C40" s="6"/>
      <c r="D40" s="2"/>
    </row>
    <row r="41" spans="1:4" x14ac:dyDescent="0.25">
      <c r="A41" s="13" t="s">
        <v>6</v>
      </c>
      <c r="B41" s="13" t="s">
        <v>15</v>
      </c>
      <c r="C41" s="4" t="s">
        <v>1048</v>
      </c>
      <c r="D41" s="13" t="s">
        <v>877</v>
      </c>
    </row>
    <row r="42" spans="1:4" x14ac:dyDescent="0.25">
      <c r="A42" s="14" t="s">
        <v>9</v>
      </c>
      <c r="B42" s="14" t="s">
        <v>15</v>
      </c>
      <c r="C42" s="7" t="s">
        <v>1049</v>
      </c>
      <c r="D42" s="14" t="s">
        <v>924</v>
      </c>
    </row>
    <row r="43" spans="1:4" x14ac:dyDescent="0.25">
      <c r="A43" s="12"/>
      <c r="B43" s="12"/>
      <c r="C43" s="12"/>
      <c r="D43" s="12"/>
    </row>
    <row r="44" spans="1:4" x14ac:dyDescent="0.25">
      <c r="A44" s="13" t="s">
        <v>6</v>
      </c>
      <c r="B44" s="13" t="s">
        <v>1</v>
      </c>
      <c r="C44" s="4" t="s">
        <v>1050</v>
      </c>
      <c r="D44" s="13" t="s">
        <v>885</v>
      </c>
    </row>
    <row r="45" spans="1:4" x14ac:dyDescent="0.25">
      <c r="A45" s="12"/>
      <c r="B45" s="12"/>
      <c r="C45" s="12"/>
      <c r="D45" s="12"/>
    </row>
    <row r="46" spans="1:4" x14ac:dyDescent="0.25">
      <c r="A46" s="13" t="s">
        <v>6</v>
      </c>
      <c r="B46" s="13" t="s">
        <v>1</v>
      </c>
      <c r="C46" s="13" t="s">
        <v>1051</v>
      </c>
      <c r="D46" s="13" t="s">
        <v>886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E72BC-9CA3-4800-8C37-A2A98EA93E87}">
  <dimension ref="A1:H36"/>
  <sheetViews>
    <sheetView workbookViewId="0">
      <selection activeCell="H13" sqref="H13"/>
    </sheetView>
  </sheetViews>
  <sheetFormatPr defaultRowHeight="13.8" x14ac:dyDescent="0.25"/>
  <cols>
    <col min="4" max="4" width="15.6640625" bestFit="1" customWidth="1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x14ac:dyDescent="0.25">
      <c r="A2" s="3" t="s">
        <v>6</v>
      </c>
      <c r="B2" s="5" t="s">
        <v>1</v>
      </c>
      <c r="C2" s="4" t="s">
        <v>781</v>
      </c>
      <c r="D2" s="3" t="s">
        <v>7</v>
      </c>
    </row>
    <row r="3" spans="1:8" x14ac:dyDescent="0.25">
      <c r="A3" s="3" t="s">
        <v>9</v>
      </c>
      <c r="B3" s="5" t="s">
        <v>1</v>
      </c>
      <c r="C3" s="4" t="s">
        <v>782</v>
      </c>
      <c r="D3" s="3" t="s">
        <v>10</v>
      </c>
    </row>
    <row r="4" spans="1:8" x14ac:dyDescent="0.25">
      <c r="A4" s="2" t="s">
        <v>12</v>
      </c>
      <c r="B4" s="5" t="s">
        <v>1</v>
      </c>
      <c r="C4" s="6" t="s">
        <v>783</v>
      </c>
      <c r="D4" s="2" t="s">
        <v>627</v>
      </c>
    </row>
    <row r="5" spans="1:8" x14ac:dyDescent="0.25">
      <c r="A5" s="2" t="s">
        <v>74</v>
      </c>
      <c r="B5" s="5" t="s">
        <v>1</v>
      </c>
      <c r="C5" s="6" t="s">
        <v>784</v>
      </c>
      <c r="D5" s="2" t="s">
        <v>13</v>
      </c>
    </row>
    <row r="6" spans="1:8" x14ac:dyDescent="0.25">
      <c r="A6" s="2" t="s">
        <v>74</v>
      </c>
      <c r="B6" s="5" t="s">
        <v>15</v>
      </c>
      <c r="C6" s="6" t="s">
        <v>785</v>
      </c>
      <c r="D6" s="2" t="s">
        <v>630</v>
      </c>
    </row>
    <row r="7" spans="1:8" x14ac:dyDescent="0.25">
      <c r="A7" s="2" t="s">
        <v>12</v>
      </c>
      <c r="B7" s="5" t="s">
        <v>1</v>
      </c>
      <c r="C7" s="6" t="s">
        <v>786</v>
      </c>
      <c r="D7" s="2" t="s">
        <v>632</v>
      </c>
    </row>
    <row r="8" spans="1:8" x14ac:dyDescent="0.25">
      <c r="A8" s="2" t="s">
        <v>74</v>
      </c>
      <c r="B8" s="5" t="s">
        <v>15</v>
      </c>
      <c r="C8" s="6" t="s">
        <v>787</v>
      </c>
      <c r="D8" s="2" t="s">
        <v>16</v>
      </c>
    </row>
    <row r="9" spans="1:8" x14ac:dyDescent="0.25">
      <c r="A9" s="2" t="s">
        <v>74</v>
      </c>
      <c r="B9" s="5" t="s">
        <v>1</v>
      </c>
      <c r="C9" s="6" t="s">
        <v>788</v>
      </c>
      <c r="D9" s="2" t="s">
        <v>635</v>
      </c>
    </row>
    <row r="10" spans="1:8" x14ac:dyDescent="0.25">
      <c r="A10" s="3" t="s">
        <v>9</v>
      </c>
      <c r="B10" s="5" t="s">
        <v>1</v>
      </c>
      <c r="C10" s="4" t="s">
        <v>789</v>
      </c>
      <c r="D10" s="3" t="s">
        <v>17</v>
      </c>
    </row>
    <row r="11" spans="1:8" x14ac:dyDescent="0.25">
      <c r="A11" s="2" t="s">
        <v>12</v>
      </c>
      <c r="B11" s="5" t="s">
        <v>1</v>
      </c>
      <c r="C11" s="6" t="s">
        <v>790</v>
      </c>
      <c r="D11" s="2" t="s">
        <v>19</v>
      </c>
    </row>
    <row r="12" spans="1:8" x14ac:dyDescent="0.25">
      <c r="A12" s="2" t="s">
        <v>12</v>
      </c>
      <c r="B12" s="5" t="s">
        <v>15</v>
      </c>
      <c r="C12" s="6" t="s">
        <v>791</v>
      </c>
      <c r="D12" s="2" t="s">
        <v>21</v>
      </c>
    </row>
    <row r="13" spans="1:8" x14ac:dyDescent="0.25">
      <c r="A13" s="3" t="s">
        <v>9</v>
      </c>
      <c r="B13" s="5" t="s">
        <v>1</v>
      </c>
      <c r="C13" s="4" t="s">
        <v>792</v>
      </c>
      <c r="D13" s="3" t="s">
        <v>23</v>
      </c>
    </row>
    <row r="14" spans="1:8" x14ac:dyDescent="0.25">
      <c r="A14" s="3" t="s">
        <v>6</v>
      </c>
      <c r="B14" s="5" t="s">
        <v>15</v>
      </c>
      <c r="C14" s="4" t="s">
        <v>793</v>
      </c>
      <c r="D14" s="3" t="s">
        <v>641</v>
      </c>
    </row>
    <row r="15" spans="1:8" x14ac:dyDescent="0.25">
      <c r="A15" s="3" t="s">
        <v>6</v>
      </c>
      <c r="B15" s="5" t="s">
        <v>1</v>
      </c>
      <c r="C15" s="4" t="s">
        <v>794</v>
      </c>
      <c r="D15" s="3" t="s">
        <v>35</v>
      </c>
    </row>
    <row r="16" spans="1:8" x14ac:dyDescent="0.25">
      <c r="A16" s="3" t="s">
        <v>6</v>
      </c>
      <c r="B16" s="5" t="s">
        <v>15</v>
      </c>
      <c r="C16" s="4" t="s">
        <v>795</v>
      </c>
      <c r="D16" s="3" t="s">
        <v>37</v>
      </c>
    </row>
    <row r="17" spans="1:4" x14ac:dyDescent="0.25">
      <c r="A17" s="3" t="s">
        <v>6</v>
      </c>
      <c r="B17" s="5" t="s">
        <v>15</v>
      </c>
      <c r="C17" s="4" t="s">
        <v>796</v>
      </c>
      <c r="D17" s="3" t="s">
        <v>645</v>
      </c>
    </row>
    <row r="18" spans="1:4" x14ac:dyDescent="0.25">
      <c r="A18" s="3" t="s">
        <v>9</v>
      </c>
      <c r="B18" s="5" t="s">
        <v>15</v>
      </c>
      <c r="C18" s="4" t="s">
        <v>797</v>
      </c>
      <c r="D18" s="3" t="s">
        <v>647</v>
      </c>
    </row>
    <row r="19" spans="1:4" x14ac:dyDescent="0.25">
      <c r="A19" s="2" t="s">
        <v>12</v>
      </c>
      <c r="B19" s="5" t="s">
        <v>15</v>
      </c>
      <c r="C19" s="6" t="s">
        <v>798</v>
      </c>
      <c r="D19" s="2" t="s">
        <v>43</v>
      </c>
    </row>
    <row r="20" spans="1:4" x14ac:dyDescent="0.25">
      <c r="A20" s="2" t="s">
        <v>12</v>
      </c>
      <c r="B20" s="5" t="s">
        <v>15</v>
      </c>
      <c r="C20" s="6" t="s">
        <v>799</v>
      </c>
      <c r="D20" s="2" t="s">
        <v>650</v>
      </c>
    </row>
    <row r="21" spans="1:4" x14ac:dyDescent="0.25">
      <c r="A21" s="3" t="s">
        <v>9</v>
      </c>
      <c r="B21" s="5" t="s">
        <v>15</v>
      </c>
      <c r="C21" s="4" t="s">
        <v>800</v>
      </c>
      <c r="D21" s="3" t="s">
        <v>49</v>
      </c>
    </row>
    <row r="22" spans="1:4" x14ac:dyDescent="0.25">
      <c r="A22" s="2" t="s">
        <v>12</v>
      </c>
      <c r="B22" s="5" t="s">
        <v>15</v>
      </c>
      <c r="C22" s="6" t="s">
        <v>801</v>
      </c>
      <c r="D22" s="2" t="s">
        <v>51</v>
      </c>
    </row>
    <row r="23" spans="1:4" x14ac:dyDescent="0.25">
      <c r="A23" s="2" t="s">
        <v>12</v>
      </c>
      <c r="B23" s="5" t="s">
        <v>15</v>
      </c>
      <c r="C23" s="6" t="s">
        <v>802</v>
      </c>
      <c r="D23" s="2" t="s">
        <v>53</v>
      </c>
    </row>
    <row r="24" spans="1:4" x14ac:dyDescent="0.25">
      <c r="A24" s="3" t="s">
        <v>9</v>
      </c>
      <c r="B24" s="5" t="s">
        <v>15</v>
      </c>
      <c r="C24" s="4" t="s">
        <v>803</v>
      </c>
      <c r="D24" s="3" t="s">
        <v>55</v>
      </c>
    </row>
    <row r="25" spans="1:4" x14ac:dyDescent="0.25">
      <c r="A25" s="2" t="s">
        <v>12</v>
      </c>
      <c r="B25" s="5" t="s">
        <v>15</v>
      </c>
      <c r="C25" s="6" t="s">
        <v>804</v>
      </c>
      <c r="D25" s="2" t="s">
        <v>656</v>
      </c>
    </row>
    <row r="26" spans="1:4" x14ac:dyDescent="0.25">
      <c r="A26" s="2" t="s">
        <v>74</v>
      </c>
      <c r="B26" s="5" t="s">
        <v>15</v>
      </c>
      <c r="C26" s="6" t="s">
        <v>805</v>
      </c>
      <c r="D26" s="2" t="s">
        <v>658</v>
      </c>
    </row>
    <row r="27" spans="1:4" x14ac:dyDescent="0.25">
      <c r="A27" s="2" t="s">
        <v>74</v>
      </c>
      <c r="B27" s="5" t="s">
        <v>15</v>
      </c>
      <c r="C27" s="6" t="s">
        <v>806</v>
      </c>
      <c r="D27" s="2" t="s">
        <v>660</v>
      </c>
    </row>
    <row r="28" spans="1:4" x14ac:dyDescent="0.25">
      <c r="A28" s="2" t="s">
        <v>12</v>
      </c>
      <c r="B28" s="5" t="s">
        <v>15</v>
      </c>
      <c r="C28" s="6" t="s">
        <v>807</v>
      </c>
      <c r="D28" s="2" t="s">
        <v>662</v>
      </c>
    </row>
    <row r="29" spans="1:4" x14ac:dyDescent="0.25">
      <c r="A29" s="2" t="s">
        <v>12</v>
      </c>
      <c r="B29" s="5" t="s">
        <v>15</v>
      </c>
      <c r="C29" s="6" t="s">
        <v>808</v>
      </c>
      <c r="D29" s="2" t="s">
        <v>664</v>
      </c>
    </row>
    <row r="30" spans="1:4" x14ac:dyDescent="0.25">
      <c r="A30" s="2" t="s">
        <v>12</v>
      </c>
      <c r="B30" s="5" t="s">
        <v>15</v>
      </c>
      <c r="C30" s="6" t="s">
        <v>809</v>
      </c>
      <c r="D30" s="2" t="s">
        <v>666</v>
      </c>
    </row>
    <row r="31" spans="1:4" x14ac:dyDescent="0.25">
      <c r="A31" s="3" t="s">
        <v>9</v>
      </c>
      <c r="B31" s="5" t="s">
        <v>15</v>
      </c>
      <c r="C31" s="4" t="s">
        <v>810</v>
      </c>
      <c r="D31" s="3" t="s">
        <v>668</v>
      </c>
    </row>
    <row r="32" spans="1:4" x14ac:dyDescent="0.25">
      <c r="A32" s="3" t="s">
        <v>9</v>
      </c>
      <c r="B32" s="5" t="s">
        <v>15</v>
      </c>
      <c r="C32" s="4" t="s">
        <v>811</v>
      </c>
      <c r="D32" s="3" t="s">
        <v>57</v>
      </c>
    </row>
    <row r="33" spans="1:4" x14ac:dyDescent="0.25">
      <c r="A33" s="3" t="s">
        <v>6</v>
      </c>
      <c r="B33" s="5" t="s">
        <v>1</v>
      </c>
      <c r="C33" s="4" t="s">
        <v>812</v>
      </c>
      <c r="D33" s="3" t="s">
        <v>59</v>
      </c>
    </row>
    <row r="34" spans="1:4" x14ac:dyDescent="0.25">
      <c r="A34" s="3" t="s">
        <v>6</v>
      </c>
      <c r="B34" s="5"/>
      <c r="C34" s="4" t="s">
        <v>813</v>
      </c>
      <c r="D34" s="3" t="s">
        <v>672</v>
      </c>
    </row>
    <row r="35" spans="1:4" x14ac:dyDescent="0.25">
      <c r="A35" s="3" t="s">
        <v>6</v>
      </c>
      <c r="B35" s="5" t="s">
        <v>15</v>
      </c>
      <c r="C35" s="4" t="s">
        <v>814</v>
      </c>
      <c r="D35" s="3" t="s">
        <v>674</v>
      </c>
    </row>
    <row r="36" spans="1:4" x14ac:dyDescent="0.25">
      <c r="A36" s="3" t="s">
        <v>6</v>
      </c>
      <c r="B36" s="5"/>
      <c r="C36" s="4" t="s">
        <v>815</v>
      </c>
      <c r="D36" s="3" t="s">
        <v>61</v>
      </c>
    </row>
  </sheetData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D6C0A-5A08-4147-9B9B-2B8A3E146F0C}">
  <dimension ref="A1:H46"/>
  <sheetViews>
    <sheetView topLeftCell="A27" workbookViewId="0">
      <selection activeCell="C42" activeCellId="1" sqref="C39:D39 C42:D42"/>
    </sheetView>
  </sheetViews>
  <sheetFormatPr defaultRowHeight="13.8" x14ac:dyDescent="0.25"/>
  <cols>
    <col min="4" max="4" width="15.44140625" bestFit="1" customWidth="1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x14ac:dyDescent="0.25">
      <c r="A2" s="3" t="s">
        <v>6</v>
      </c>
      <c r="B2" s="5" t="s">
        <v>1</v>
      </c>
      <c r="C2" s="4" t="s">
        <v>782</v>
      </c>
      <c r="D2" s="3" t="s">
        <v>7</v>
      </c>
    </row>
    <row r="3" spans="1:8" x14ac:dyDescent="0.25">
      <c r="A3" s="2" t="s">
        <v>9</v>
      </c>
      <c r="B3" s="5" t="s">
        <v>1</v>
      </c>
      <c r="C3" s="4" t="s">
        <v>783</v>
      </c>
      <c r="D3" s="2" t="s">
        <v>10</v>
      </c>
    </row>
    <row r="4" spans="1:8" x14ac:dyDescent="0.25">
      <c r="A4" s="2" t="s">
        <v>12</v>
      </c>
      <c r="B4" s="5" t="s">
        <v>1</v>
      </c>
      <c r="C4" s="6" t="s">
        <v>784</v>
      </c>
      <c r="D4" s="2" t="s">
        <v>627</v>
      </c>
    </row>
    <row r="5" spans="1:8" x14ac:dyDescent="0.25">
      <c r="A5" s="2" t="s">
        <v>74</v>
      </c>
      <c r="B5" s="5" t="s">
        <v>1</v>
      </c>
      <c r="C5" s="6" t="s">
        <v>1052</v>
      </c>
      <c r="D5" s="2" t="s">
        <v>13</v>
      </c>
    </row>
    <row r="6" spans="1:8" x14ac:dyDescent="0.25">
      <c r="A6" s="2" t="s">
        <v>74</v>
      </c>
      <c r="B6" s="5" t="s">
        <v>15</v>
      </c>
      <c r="C6" s="6" t="s">
        <v>1053</v>
      </c>
      <c r="D6" s="2" t="s">
        <v>630</v>
      </c>
    </row>
    <row r="7" spans="1:8" x14ac:dyDescent="0.25">
      <c r="A7" s="2" t="s">
        <v>12</v>
      </c>
      <c r="B7" s="5" t="s">
        <v>1</v>
      </c>
      <c r="C7" s="6" t="s">
        <v>785</v>
      </c>
      <c r="D7" s="2" t="s">
        <v>632</v>
      </c>
    </row>
    <row r="8" spans="1:8" x14ac:dyDescent="0.25">
      <c r="A8" s="2" t="s">
        <v>74</v>
      </c>
      <c r="B8" s="5" t="s">
        <v>15</v>
      </c>
      <c r="C8" s="6" t="s">
        <v>1054</v>
      </c>
      <c r="D8" s="2" t="s">
        <v>16</v>
      </c>
    </row>
    <row r="9" spans="1:8" x14ac:dyDescent="0.25">
      <c r="A9" s="2" t="s">
        <v>74</v>
      </c>
      <c r="B9" s="5" t="s">
        <v>1</v>
      </c>
      <c r="C9" s="6" t="s">
        <v>1055</v>
      </c>
      <c r="D9" s="2" t="s">
        <v>635</v>
      </c>
    </row>
    <row r="10" spans="1:8" x14ac:dyDescent="0.25">
      <c r="A10" s="2" t="s">
        <v>9</v>
      </c>
      <c r="B10" s="5" t="s">
        <v>1</v>
      </c>
      <c r="C10" s="4" t="s">
        <v>786</v>
      </c>
      <c r="D10" s="2" t="s">
        <v>17</v>
      </c>
    </row>
    <row r="11" spans="1:8" x14ac:dyDescent="0.25">
      <c r="A11" s="2" t="s">
        <v>12</v>
      </c>
      <c r="B11" s="5" t="s">
        <v>1</v>
      </c>
      <c r="C11" s="6" t="s">
        <v>787</v>
      </c>
      <c r="D11" s="2" t="s">
        <v>19</v>
      </c>
    </row>
    <row r="12" spans="1:8" x14ac:dyDescent="0.25">
      <c r="A12" s="2" t="s">
        <v>12</v>
      </c>
      <c r="B12" s="5" t="s">
        <v>15</v>
      </c>
      <c r="C12" s="6" t="s">
        <v>788</v>
      </c>
      <c r="D12" s="2" t="s">
        <v>21</v>
      </c>
    </row>
    <row r="13" spans="1:8" x14ac:dyDescent="0.25">
      <c r="A13" s="2" t="s">
        <v>9</v>
      </c>
      <c r="B13" s="5" t="s">
        <v>1</v>
      </c>
      <c r="C13" s="4" t="s">
        <v>1056</v>
      </c>
      <c r="D13" s="2" t="s">
        <v>23</v>
      </c>
    </row>
    <row r="14" spans="1:8" x14ac:dyDescent="0.25">
      <c r="A14" s="3" t="s">
        <v>6</v>
      </c>
      <c r="B14" s="5" t="s">
        <v>15</v>
      </c>
      <c r="C14" s="4" t="s">
        <v>789</v>
      </c>
      <c r="D14" s="3" t="s">
        <v>641</v>
      </c>
    </row>
    <row r="15" spans="1:8" x14ac:dyDescent="0.25">
      <c r="A15" s="3" t="s">
        <v>6</v>
      </c>
      <c r="B15" s="5" t="s">
        <v>1</v>
      </c>
      <c r="C15" s="4" t="s">
        <v>792</v>
      </c>
      <c r="D15" s="3" t="s">
        <v>35</v>
      </c>
    </row>
    <row r="16" spans="1:8" x14ac:dyDescent="0.25">
      <c r="A16" s="3" t="s">
        <v>6</v>
      </c>
      <c r="B16" s="5" t="s">
        <v>15</v>
      </c>
      <c r="C16" s="4" t="s">
        <v>1057</v>
      </c>
      <c r="D16" s="3" t="s">
        <v>37</v>
      </c>
    </row>
    <row r="17" spans="1:4" x14ac:dyDescent="0.25">
      <c r="A17" s="3" t="s">
        <v>6</v>
      </c>
      <c r="B17" s="5" t="s">
        <v>15</v>
      </c>
      <c r="C17" s="4" t="s">
        <v>1058</v>
      </c>
      <c r="D17" s="3" t="s">
        <v>645</v>
      </c>
    </row>
    <row r="18" spans="1:4" x14ac:dyDescent="0.25">
      <c r="A18" s="2" t="s">
        <v>9</v>
      </c>
      <c r="B18" s="5" t="s">
        <v>15</v>
      </c>
      <c r="C18" s="4" t="s">
        <v>1059</v>
      </c>
      <c r="D18" s="2" t="s">
        <v>647</v>
      </c>
    </row>
    <row r="19" spans="1:4" x14ac:dyDescent="0.25">
      <c r="A19" s="2" t="s">
        <v>12</v>
      </c>
      <c r="B19" s="5" t="s">
        <v>15</v>
      </c>
      <c r="C19" s="6" t="s">
        <v>1060</v>
      </c>
      <c r="D19" s="2" t="s">
        <v>43</v>
      </c>
    </row>
    <row r="20" spans="1:4" x14ac:dyDescent="0.25">
      <c r="A20" s="2" t="s">
        <v>12</v>
      </c>
      <c r="B20" s="5" t="s">
        <v>15</v>
      </c>
      <c r="C20" s="6" t="s">
        <v>1061</v>
      </c>
      <c r="D20" s="2" t="s">
        <v>650</v>
      </c>
    </row>
    <row r="21" spans="1:4" x14ac:dyDescent="0.25">
      <c r="A21" s="2" t="s">
        <v>9</v>
      </c>
      <c r="B21" s="5" t="s">
        <v>15</v>
      </c>
      <c r="C21" s="4" t="s">
        <v>1062</v>
      </c>
      <c r="D21" s="2" t="s">
        <v>49</v>
      </c>
    </row>
    <row r="22" spans="1:4" x14ac:dyDescent="0.25">
      <c r="A22" s="2" t="s">
        <v>12</v>
      </c>
      <c r="B22" s="5" t="s">
        <v>15</v>
      </c>
      <c r="C22" s="6" t="s">
        <v>1063</v>
      </c>
      <c r="D22" s="2" t="s">
        <v>51</v>
      </c>
    </row>
    <row r="23" spans="1:4" x14ac:dyDescent="0.25">
      <c r="A23" s="2" t="s">
        <v>12</v>
      </c>
      <c r="B23" s="5" t="s">
        <v>15</v>
      </c>
      <c r="C23" s="6" t="s">
        <v>1064</v>
      </c>
      <c r="D23" s="2" t="s">
        <v>53</v>
      </c>
    </row>
    <row r="24" spans="1:4" x14ac:dyDescent="0.25">
      <c r="A24" s="2" t="s">
        <v>9</v>
      </c>
      <c r="B24" s="5" t="s">
        <v>15</v>
      </c>
      <c r="C24" s="4" t="s">
        <v>1065</v>
      </c>
      <c r="D24" s="2" t="s">
        <v>55</v>
      </c>
    </row>
    <row r="25" spans="1:4" x14ac:dyDescent="0.25">
      <c r="A25" s="2" t="s">
        <v>12</v>
      </c>
      <c r="B25" s="5" t="s">
        <v>15</v>
      </c>
      <c r="C25" s="6" t="s">
        <v>1066</v>
      </c>
      <c r="D25" s="2" t="s">
        <v>656</v>
      </c>
    </row>
    <row r="26" spans="1:4" x14ac:dyDescent="0.25">
      <c r="A26" s="2" t="s">
        <v>74</v>
      </c>
      <c r="B26" s="5" t="s">
        <v>15</v>
      </c>
      <c r="C26" s="6" t="s">
        <v>1067</v>
      </c>
      <c r="D26" s="2" t="s">
        <v>658</v>
      </c>
    </row>
    <row r="27" spans="1:4" x14ac:dyDescent="0.25">
      <c r="A27" s="2" t="s">
        <v>74</v>
      </c>
      <c r="B27" s="5" t="s">
        <v>15</v>
      </c>
      <c r="C27" s="6" t="s">
        <v>1068</v>
      </c>
      <c r="D27" s="2" t="s">
        <v>660</v>
      </c>
    </row>
    <row r="28" spans="1:4" x14ac:dyDescent="0.25">
      <c r="A28" s="2" t="s">
        <v>12</v>
      </c>
      <c r="B28" s="5" t="s">
        <v>15</v>
      </c>
      <c r="C28" s="6" t="s">
        <v>1069</v>
      </c>
      <c r="D28" s="2" t="s">
        <v>662</v>
      </c>
    </row>
    <row r="29" spans="1:4" x14ac:dyDescent="0.25">
      <c r="A29" s="2" t="s">
        <v>12</v>
      </c>
      <c r="B29" s="5" t="s">
        <v>15</v>
      </c>
      <c r="C29" s="6" t="s">
        <v>1070</v>
      </c>
      <c r="D29" s="2" t="s">
        <v>664</v>
      </c>
    </row>
    <row r="30" spans="1:4" x14ac:dyDescent="0.25">
      <c r="A30" s="2" t="s">
        <v>12</v>
      </c>
      <c r="B30" s="5" t="s">
        <v>15</v>
      </c>
      <c r="C30" s="6" t="s">
        <v>1071</v>
      </c>
      <c r="D30" s="2" t="s">
        <v>666</v>
      </c>
    </row>
    <row r="31" spans="1:4" x14ac:dyDescent="0.25">
      <c r="A31" s="2" t="s">
        <v>9</v>
      </c>
      <c r="B31" s="5" t="s">
        <v>15</v>
      </c>
      <c r="C31" s="4" t="s">
        <v>1072</v>
      </c>
      <c r="D31" s="2" t="s">
        <v>668</v>
      </c>
    </row>
    <row r="32" spans="1:4" x14ac:dyDescent="0.25">
      <c r="A32" s="2" t="s">
        <v>9</v>
      </c>
      <c r="B32" s="5" t="s">
        <v>15</v>
      </c>
      <c r="C32" s="4" t="s">
        <v>1073</v>
      </c>
      <c r="D32" s="2" t="s">
        <v>57</v>
      </c>
    </row>
    <row r="33" spans="1:4" x14ac:dyDescent="0.25">
      <c r="A33" s="3" t="s">
        <v>6</v>
      </c>
      <c r="B33" s="5" t="s">
        <v>1</v>
      </c>
      <c r="C33" s="4" t="s">
        <v>1074</v>
      </c>
      <c r="D33" s="3" t="s">
        <v>59</v>
      </c>
    </row>
    <row r="34" spans="1:4" x14ac:dyDescent="0.25">
      <c r="A34" s="3" t="s">
        <v>6</v>
      </c>
      <c r="B34" s="5"/>
      <c r="C34" s="4" t="s">
        <v>1075</v>
      </c>
      <c r="D34" s="3" t="s">
        <v>672</v>
      </c>
    </row>
    <row r="35" spans="1:4" x14ac:dyDescent="0.25">
      <c r="A35" s="3" t="s">
        <v>6</v>
      </c>
      <c r="B35" s="5" t="s">
        <v>15</v>
      </c>
      <c r="C35" s="4" t="s">
        <v>1076</v>
      </c>
      <c r="D35" s="3" t="s">
        <v>674</v>
      </c>
    </row>
    <row r="36" spans="1:4" x14ac:dyDescent="0.25">
      <c r="A36" s="3" t="s">
        <v>6</v>
      </c>
      <c r="B36" s="5"/>
      <c r="C36" s="4" t="s">
        <v>1077</v>
      </c>
      <c r="D36" s="3" t="s">
        <v>61</v>
      </c>
    </row>
    <row r="37" spans="1:4" x14ac:dyDescent="0.25">
      <c r="A37" s="12"/>
      <c r="B37" s="12"/>
      <c r="C37" s="12"/>
      <c r="D37" s="12"/>
    </row>
    <row r="38" spans="1:4" x14ac:dyDescent="0.25">
      <c r="A38" s="13" t="s">
        <v>6</v>
      </c>
      <c r="B38" s="13" t="s">
        <v>1</v>
      </c>
      <c r="C38" s="4" t="s">
        <v>1078</v>
      </c>
      <c r="D38" s="13" t="s">
        <v>869</v>
      </c>
    </row>
    <row r="39" spans="1:4" x14ac:dyDescent="0.25">
      <c r="A39" s="14" t="s">
        <v>9</v>
      </c>
      <c r="B39" s="14" t="s">
        <v>1</v>
      </c>
      <c r="C39" s="7" t="s">
        <v>1079</v>
      </c>
      <c r="D39" s="14" t="s">
        <v>908</v>
      </c>
    </row>
    <row r="40" spans="1:4" x14ac:dyDescent="0.25">
      <c r="A40" s="2"/>
      <c r="B40" s="2"/>
      <c r="C40" s="6"/>
      <c r="D40" s="2"/>
    </row>
    <row r="41" spans="1:4" x14ac:dyDescent="0.25">
      <c r="A41" s="13" t="s">
        <v>6</v>
      </c>
      <c r="B41" s="13" t="s">
        <v>15</v>
      </c>
      <c r="C41" s="4" t="s">
        <v>1080</v>
      </c>
      <c r="D41" s="13" t="s">
        <v>877</v>
      </c>
    </row>
    <row r="42" spans="1:4" x14ac:dyDescent="0.25">
      <c r="A42" s="14" t="s">
        <v>9</v>
      </c>
      <c r="B42" s="14" t="s">
        <v>15</v>
      </c>
      <c r="C42" s="7" t="s">
        <v>1081</v>
      </c>
      <c r="D42" s="14" t="s">
        <v>924</v>
      </c>
    </row>
    <row r="43" spans="1:4" x14ac:dyDescent="0.25">
      <c r="A43" s="12"/>
      <c r="B43" s="12"/>
      <c r="C43" s="12"/>
      <c r="D43" s="12"/>
    </row>
    <row r="44" spans="1:4" x14ac:dyDescent="0.25">
      <c r="A44" s="13" t="s">
        <v>6</v>
      </c>
      <c r="B44" s="13" t="s">
        <v>1</v>
      </c>
      <c r="C44" s="4" t="s">
        <v>1082</v>
      </c>
      <c r="D44" s="13" t="s">
        <v>885</v>
      </c>
    </row>
    <row r="45" spans="1:4" x14ac:dyDescent="0.25">
      <c r="A45" s="12"/>
      <c r="B45" s="12"/>
      <c r="C45" s="12"/>
      <c r="D45" s="12"/>
    </row>
    <row r="46" spans="1:4" x14ac:dyDescent="0.25">
      <c r="A46" s="13" t="s">
        <v>6</v>
      </c>
      <c r="B46" s="13" t="s">
        <v>1</v>
      </c>
      <c r="C46" s="13" t="s">
        <v>1083</v>
      </c>
      <c r="D46" s="13" t="s">
        <v>886</v>
      </c>
    </row>
  </sheetData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DE312-BF83-4243-B1E0-A5BFC247AD4F}">
  <dimension ref="A1:H36"/>
  <sheetViews>
    <sheetView workbookViewId="0">
      <selection activeCell="G8" sqref="G8"/>
    </sheetView>
  </sheetViews>
  <sheetFormatPr defaultRowHeight="13.8" x14ac:dyDescent="0.25"/>
  <cols>
    <col min="4" max="4" width="15.6640625" bestFit="1" customWidth="1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x14ac:dyDescent="0.25">
      <c r="A2" s="3" t="s">
        <v>6</v>
      </c>
      <c r="B2" s="5" t="s">
        <v>1</v>
      </c>
      <c r="C2" s="4" t="s">
        <v>816</v>
      </c>
      <c r="D2" s="3" t="s">
        <v>7</v>
      </c>
    </row>
    <row r="3" spans="1:8" x14ac:dyDescent="0.25">
      <c r="A3" s="3" t="s">
        <v>9</v>
      </c>
      <c r="B3" s="5" t="s">
        <v>1</v>
      </c>
      <c r="C3" s="4" t="s">
        <v>817</v>
      </c>
      <c r="D3" s="3" t="s">
        <v>10</v>
      </c>
    </row>
    <row r="4" spans="1:8" x14ac:dyDescent="0.25">
      <c r="A4" s="2" t="s">
        <v>12</v>
      </c>
      <c r="B4" s="5" t="s">
        <v>1</v>
      </c>
      <c r="C4" s="6" t="s">
        <v>818</v>
      </c>
      <c r="D4" s="2" t="s">
        <v>627</v>
      </c>
    </row>
    <row r="5" spans="1:8" x14ac:dyDescent="0.25">
      <c r="A5" s="2" t="s">
        <v>74</v>
      </c>
      <c r="B5" s="5" t="s">
        <v>1</v>
      </c>
      <c r="C5" s="6" t="s">
        <v>819</v>
      </c>
      <c r="D5" s="2" t="s">
        <v>13</v>
      </c>
    </row>
    <row r="6" spans="1:8" x14ac:dyDescent="0.25">
      <c r="A6" s="2" t="s">
        <v>74</v>
      </c>
      <c r="B6" s="5" t="s">
        <v>15</v>
      </c>
      <c r="C6" s="6" t="s">
        <v>820</v>
      </c>
      <c r="D6" s="2" t="s">
        <v>630</v>
      </c>
    </row>
    <row r="7" spans="1:8" x14ac:dyDescent="0.25">
      <c r="A7" s="2" t="s">
        <v>12</v>
      </c>
      <c r="B7" s="5" t="s">
        <v>1</v>
      </c>
      <c r="C7" s="6" t="s">
        <v>821</v>
      </c>
      <c r="D7" s="2" t="s">
        <v>632</v>
      </c>
    </row>
    <row r="8" spans="1:8" x14ac:dyDescent="0.25">
      <c r="A8" s="2" t="s">
        <v>74</v>
      </c>
      <c r="B8" s="5" t="s">
        <v>15</v>
      </c>
      <c r="C8" s="6" t="s">
        <v>822</v>
      </c>
      <c r="D8" s="2" t="s">
        <v>16</v>
      </c>
    </row>
    <row r="9" spans="1:8" x14ac:dyDescent="0.25">
      <c r="A9" s="2" t="s">
        <v>74</v>
      </c>
      <c r="B9" s="5" t="s">
        <v>1</v>
      </c>
      <c r="C9" s="6" t="s">
        <v>823</v>
      </c>
      <c r="D9" s="2" t="s">
        <v>635</v>
      </c>
    </row>
    <row r="10" spans="1:8" x14ac:dyDescent="0.25">
      <c r="A10" s="3" t="s">
        <v>9</v>
      </c>
      <c r="B10" s="5" t="s">
        <v>1</v>
      </c>
      <c r="C10" s="4" t="s">
        <v>824</v>
      </c>
      <c r="D10" s="3" t="s">
        <v>17</v>
      </c>
    </row>
    <row r="11" spans="1:8" x14ac:dyDescent="0.25">
      <c r="A11" s="2" t="s">
        <v>12</v>
      </c>
      <c r="B11" s="5" t="s">
        <v>1</v>
      </c>
      <c r="C11" s="6" t="s">
        <v>825</v>
      </c>
      <c r="D11" s="2" t="s">
        <v>19</v>
      </c>
    </row>
    <row r="12" spans="1:8" x14ac:dyDescent="0.25">
      <c r="A12" s="2" t="s">
        <v>12</v>
      </c>
      <c r="B12" s="5" t="s">
        <v>15</v>
      </c>
      <c r="C12" s="6" t="s">
        <v>826</v>
      </c>
      <c r="D12" s="2" t="s">
        <v>21</v>
      </c>
    </row>
    <row r="13" spans="1:8" x14ac:dyDescent="0.25">
      <c r="A13" s="3" t="s">
        <v>9</v>
      </c>
      <c r="B13" s="5" t="s">
        <v>1</v>
      </c>
      <c r="C13" s="4" t="s">
        <v>827</v>
      </c>
      <c r="D13" s="3" t="s">
        <v>23</v>
      </c>
    </row>
    <row r="14" spans="1:8" x14ac:dyDescent="0.25">
      <c r="A14" s="3" t="s">
        <v>6</v>
      </c>
      <c r="B14" s="5" t="s">
        <v>15</v>
      </c>
      <c r="C14" s="4" t="s">
        <v>828</v>
      </c>
      <c r="D14" s="3" t="s">
        <v>641</v>
      </c>
    </row>
    <row r="15" spans="1:8" x14ac:dyDescent="0.25">
      <c r="A15" s="3" t="s">
        <v>6</v>
      </c>
      <c r="B15" s="5" t="s">
        <v>1</v>
      </c>
      <c r="C15" s="4" t="s">
        <v>829</v>
      </c>
      <c r="D15" s="3" t="s">
        <v>35</v>
      </c>
    </row>
    <row r="16" spans="1:8" x14ac:dyDescent="0.25">
      <c r="A16" s="3" t="s">
        <v>6</v>
      </c>
      <c r="B16" s="5" t="s">
        <v>15</v>
      </c>
      <c r="C16" s="4" t="s">
        <v>830</v>
      </c>
      <c r="D16" s="3" t="s">
        <v>37</v>
      </c>
    </row>
    <row r="17" spans="1:4" x14ac:dyDescent="0.25">
      <c r="A17" s="3" t="s">
        <v>6</v>
      </c>
      <c r="B17" s="5" t="s">
        <v>15</v>
      </c>
      <c r="C17" s="4" t="s">
        <v>831</v>
      </c>
      <c r="D17" s="3" t="s">
        <v>645</v>
      </c>
    </row>
    <row r="18" spans="1:4" x14ac:dyDescent="0.25">
      <c r="A18" s="3" t="s">
        <v>9</v>
      </c>
      <c r="B18" s="5" t="s">
        <v>15</v>
      </c>
      <c r="C18" s="4" t="s">
        <v>832</v>
      </c>
      <c r="D18" s="3" t="s">
        <v>647</v>
      </c>
    </row>
    <row r="19" spans="1:4" x14ac:dyDescent="0.25">
      <c r="A19" s="2" t="s">
        <v>12</v>
      </c>
      <c r="B19" s="5" t="s">
        <v>15</v>
      </c>
      <c r="C19" s="6" t="s">
        <v>833</v>
      </c>
      <c r="D19" s="2" t="s">
        <v>43</v>
      </c>
    </row>
    <row r="20" spans="1:4" x14ac:dyDescent="0.25">
      <c r="A20" s="2" t="s">
        <v>12</v>
      </c>
      <c r="B20" s="5" t="s">
        <v>15</v>
      </c>
      <c r="C20" s="6" t="s">
        <v>834</v>
      </c>
      <c r="D20" s="2" t="s">
        <v>650</v>
      </c>
    </row>
    <row r="21" spans="1:4" x14ac:dyDescent="0.25">
      <c r="A21" s="3" t="s">
        <v>9</v>
      </c>
      <c r="B21" s="5" t="s">
        <v>15</v>
      </c>
      <c r="C21" s="4" t="s">
        <v>835</v>
      </c>
      <c r="D21" s="3" t="s">
        <v>49</v>
      </c>
    </row>
    <row r="22" spans="1:4" x14ac:dyDescent="0.25">
      <c r="A22" s="2" t="s">
        <v>12</v>
      </c>
      <c r="B22" s="5" t="s">
        <v>15</v>
      </c>
      <c r="C22" s="6" t="s">
        <v>836</v>
      </c>
      <c r="D22" s="2" t="s">
        <v>51</v>
      </c>
    </row>
    <row r="23" spans="1:4" x14ac:dyDescent="0.25">
      <c r="A23" s="2" t="s">
        <v>12</v>
      </c>
      <c r="B23" s="5" t="s">
        <v>15</v>
      </c>
      <c r="C23" s="6" t="s">
        <v>837</v>
      </c>
      <c r="D23" s="2" t="s">
        <v>53</v>
      </c>
    </row>
    <row r="24" spans="1:4" x14ac:dyDescent="0.25">
      <c r="A24" s="3" t="s">
        <v>9</v>
      </c>
      <c r="B24" s="5" t="s">
        <v>15</v>
      </c>
      <c r="C24" s="4" t="s">
        <v>838</v>
      </c>
      <c r="D24" s="3" t="s">
        <v>55</v>
      </c>
    </row>
    <row r="25" spans="1:4" x14ac:dyDescent="0.25">
      <c r="A25" s="2" t="s">
        <v>12</v>
      </c>
      <c r="B25" s="5" t="s">
        <v>15</v>
      </c>
      <c r="C25" s="6" t="s">
        <v>839</v>
      </c>
      <c r="D25" s="2" t="s">
        <v>656</v>
      </c>
    </row>
    <row r="26" spans="1:4" x14ac:dyDescent="0.25">
      <c r="A26" s="2" t="s">
        <v>74</v>
      </c>
      <c r="B26" s="5" t="s">
        <v>15</v>
      </c>
      <c r="C26" s="6" t="s">
        <v>840</v>
      </c>
      <c r="D26" s="2" t="s">
        <v>658</v>
      </c>
    </row>
    <row r="27" spans="1:4" x14ac:dyDescent="0.25">
      <c r="A27" s="2" t="s">
        <v>74</v>
      </c>
      <c r="B27" s="5" t="s">
        <v>15</v>
      </c>
      <c r="C27" s="6" t="s">
        <v>841</v>
      </c>
      <c r="D27" s="2" t="s">
        <v>660</v>
      </c>
    </row>
    <row r="28" spans="1:4" x14ac:dyDescent="0.25">
      <c r="A28" s="2" t="s">
        <v>12</v>
      </c>
      <c r="B28" s="5" t="s">
        <v>15</v>
      </c>
      <c r="C28" s="6" t="s">
        <v>842</v>
      </c>
      <c r="D28" s="2" t="s">
        <v>662</v>
      </c>
    </row>
    <row r="29" spans="1:4" x14ac:dyDescent="0.25">
      <c r="A29" s="2" t="s">
        <v>12</v>
      </c>
      <c r="B29" s="5" t="s">
        <v>15</v>
      </c>
      <c r="C29" s="6" t="s">
        <v>843</v>
      </c>
      <c r="D29" s="2" t="s">
        <v>664</v>
      </c>
    </row>
    <row r="30" spans="1:4" x14ac:dyDescent="0.25">
      <c r="A30" s="2" t="s">
        <v>12</v>
      </c>
      <c r="B30" s="5" t="s">
        <v>15</v>
      </c>
      <c r="C30" s="6" t="s">
        <v>844</v>
      </c>
      <c r="D30" s="2" t="s">
        <v>666</v>
      </c>
    </row>
    <row r="31" spans="1:4" x14ac:dyDescent="0.25">
      <c r="A31" s="3" t="s">
        <v>9</v>
      </c>
      <c r="B31" s="5" t="s">
        <v>15</v>
      </c>
      <c r="C31" s="4" t="s">
        <v>845</v>
      </c>
      <c r="D31" s="3" t="s">
        <v>668</v>
      </c>
    </row>
    <row r="32" spans="1:4" x14ac:dyDescent="0.25">
      <c r="A32" s="3" t="s">
        <v>9</v>
      </c>
      <c r="B32" s="5" t="s">
        <v>15</v>
      </c>
      <c r="C32" s="4" t="s">
        <v>846</v>
      </c>
      <c r="D32" s="3" t="s">
        <v>57</v>
      </c>
    </row>
    <row r="33" spans="1:4" x14ac:dyDescent="0.25">
      <c r="A33" s="3" t="s">
        <v>6</v>
      </c>
      <c r="B33" s="5" t="s">
        <v>1</v>
      </c>
      <c r="C33" s="4" t="s">
        <v>847</v>
      </c>
      <c r="D33" s="3" t="s">
        <v>59</v>
      </c>
    </row>
    <row r="34" spans="1:4" x14ac:dyDescent="0.25">
      <c r="A34" s="3" t="s">
        <v>6</v>
      </c>
      <c r="B34" s="5"/>
      <c r="C34" s="4" t="s">
        <v>848</v>
      </c>
      <c r="D34" s="3" t="s">
        <v>672</v>
      </c>
    </row>
    <row r="35" spans="1:4" x14ac:dyDescent="0.25">
      <c r="A35" s="3" t="s">
        <v>6</v>
      </c>
      <c r="B35" s="5" t="s">
        <v>15</v>
      </c>
      <c r="C35" s="4" t="s">
        <v>849</v>
      </c>
      <c r="D35" s="3" t="s">
        <v>674</v>
      </c>
    </row>
    <row r="36" spans="1:4" x14ac:dyDescent="0.25">
      <c r="A36" s="3" t="s">
        <v>6</v>
      </c>
      <c r="B36" s="5"/>
      <c r="C36" s="4" t="s">
        <v>850</v>
      </c>
      <c r="D36" s="3" t="s">
        <v>61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49CC-0DF4-45AE-97ED-5FE6CD3FD26D}">
  <dimension ref="A1:H95"/>
  <sheetViews>
    <sheetView workbookViewId="0">
      <selection activeCell="F8" sqref="F8"/>
    </sheetView>
  </sheetViews>
  <sheetFormatPr defaultRowHeight="13.8" x14ac:dyDescent="0.25"/>
  <cols>
    <col min="3" max="3" width="9.44140625" bestFit="1" customWidth="1"/>
    <col min="4" max="4" width="16.6640625" bestFit="1" customWidth="1"/>
  </cols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  <row r="2" spans="1:8" x14ac:dyDescent="0.25">
      <c r="A2" s="3" t="s">
        <v>6</v>
      </c>
      <c r="B2" s="5" t="s">
        <v>1</v>
      </c>
      <c r="C2" s="4" t="s">
        <v>817</v>
      </c>
      <c r="D2" s="3" t="s">
        <v>7</v>
      </c>
    </row>
    <row r="3" spans="1:8" x14ac:dyDescent="0.25">
      <c r="A3" s="2" t="s">
        <v>9</v>
      </c>
      <c r="B3" s="5" t="s">
        <v>1</v>
      </c>
      <c r="C3" s="4" t="s">
        <v>818</v>
      </c>
      <c r="D3" s="2" t="s">
        <v>10</v>
      </c>
    </row>
    <row r="4" spans="1:8" x14ac:dyDescent="0.25">
      <c r="A4" s="2" t="s">
        <v>12</v>
      </c>
      <c r="B4" s="5" t="s">
        <v>1</v>
      </c>
      <c r="C4" s="6" t="s">
        <v>819</v>
      </c>
      <c r="D4" s="2" t="s">
        <v>627</v>
      </c>
    </row>
    <row r="5" spans="1:8" x14ac:dyDescent="0.25">
      <c r="A5" s="2" t="s">
        <v>74</v>
      </c>
      <c r="B5" s="5" t="s">
        <v>1</v>
      </c>
      <c r="C5" s="6" t="s">
        <v>1084</v>
      </c>
      <c r="D5" s="2" t="s">
        <v>13</v>
      </c>
    </row>
    <row r="6" spans="1:8" x14ac:dyDescent="0.25">
      <c r="A6" s="2" t="s">
        <v>74</v>
      </c>
      <c r="B6" s="5" t="s">
        <v>15</v>
      </c>
      <c r="C6" s="6" t="s">
        <v>1085</v>
      </c>
      <c r="D6" s="2" t="s">
        <v>630</v>
      </c>
    </row>
    <row r="7" spans="1:8" x14ac:dyDescent="0.25">
      <c r="A7" s="2" t="s">
        <v>12</v>
      </c>
      <c r="B7" s="5" t="s">
        <v>1</v>
      </c>
      <c r="C7" s="6" t="s">
        <v>820</v>
      </c>
      <c r="D7" s="2" t="s">
        <v>632</v>
      </c>
    </row>
    <row r="8" spans="1:8" x14ac:dyDescent="0.25">
      <c r="A8" s="2" t="s">
        <v>74</v>
      </c>
      <c r="B8" s="5" t="s">
        <v>15</v>
      </c>
      <c r="C8" s="6" t="s">
        <v>1086</v>
      </c>
      <c r="D8" s="2" t="s">
        <v>16</v>
      </c>
    </row>
    <row r="9" spans="1:8" x14ac:dyDescent="0.25">
      <c r="A9" s="2" t="s">
        <v>74</v>
      </c>
      <c r="B9" s="5" t="s">
        <v>1</v>
      </c>
      <c r="C9" s="6" t="s">
        <v>1087</v>
      </c>
      <c r="D9" s="2" t="s">
        <v>635</v>
      </c>
    </row>
    <row r="10" spans="1:8" x14ac:dyDescent="0.25">
      <c r="A10" s="2" t="s">
        <v>9</v>
      </c>
      <c r="B10" s="5" t="s">
        <v>1</v>
      </c>
      <c r="C10" s="4" t="s">
        <v>821</v>
      </c>
      <c r="D10" s="2" t="s">
        <v>17</v>
      </c>
    </row>
    <row r="11" spans="1:8" x14ac:dyDescent="0.25">
      <c r="A11" s="2" t="s">
        <v>12</v>
      </c>
      <c r="B11" s="5" t="s">
        <v>1</v>
      </c>
      <c r="C11" s="6" t="s">
        <v>822</v>
      </c>
      <c r="D11" s="2" t="s">
        <v>19</v>
      </c>
    </row>
    <row r="12" spans="1:8" x14ac:dyDescent="0.25">
      <c r="A12" s="2" t="s">
        <v>12</v>
      </c>
      <c r="B12" s="5" t="s">
        <v>15</v>
      </c>
      <c r="C12" s="6" t="s">
        <v>823</v>
      </c>
      <c r="D12" s="2" t="s">
        <v>21</v>
      </c>
    </row>
    <row r="13" spans="1:8" x14ac:dyDescent="0.25">
      <c r="A13" s="2" t="s">
        <v>9</v>
      </c>
      <c r="B13" s="5" t="s">
        <v>1</v>
      </c>
      <c r="C13" s="4" t="s">
        <v>1088</v>
      </c>
      <c r="D13" s="2" t="s">
        <v>23</v>
      </c>
    </row>
    <row r="14" spans="1:8" x14ac:dyDescent="0.25">
      <c r="A14" s="3" t="s">
        <v>6</v>
      </c>
      <c r="B14" s="5" t="s">
        <v>15</v>
      </c>
      <c r="C14" s="4" t="s">
        <v>824</v>
      </c>
      <c r="D14" s="3" t="s">
        <v>641</v>
      </c>
    </row>
    <row r="15" spans="1:8" x14ac:dyDescent="0.25">
      <c r="A15" s="3" t="s">
        <v>6</v>
      </c>
      <c r="B15" s="5" t="s">
        <v>1</v>
      </c>
      <c r="C15" s="4" t="s">
        <v>827</v>
      </c>
      <c r="D15" s="3" t="s">
        <v>35</v>
      </c>
    </row>
    <row r="16" spans="1:8" x14ac:dyDescent="0.25">
      <c r="A16" s="3" t="s">
        <v>6</v>
      </c>
      <c r="B16" s="5" t="s">
        <v>15</v>
      </c>
      <c r="C16" s="4" t="s">
        <v>1089</v>
      </c>
      <c r="D16" s="3" t="s">
        <v>37</v>
      </c>
    </row>
    <row r="17" spans="1:4" x14ac:dyDescent="0.25">
      <c r="A17" s="3" t="s">
        <v>6</v>
      </c>
      <c r="B17" s="5" t="s">
        <v>15</v>
      </c>
      <c r="C17" s="4" t="s">
        <v>1090</v>
      </c>
      <c r="D17" s="3" t="s">
        <v>645</v>
      </c>
    </row>
    <row r="18" spans="1:4" x14ac:dyDescent="0.25">
      <c r="A18" s="2" t="s">
        <v>9</v>
      </c>
      <c r="B18" s="5" t="s">
        <v>15</v>
      </c>
      <c r="C18" s="4" t="s">
        <v>1091</v>
      </c>
      <c r="D18" s="2" t="s">
        <v>647</v>
      </c>
    </row>
    <row r="19" spans="1:4" x14ac:dyDescent="0.25">
      <c r="A19" s="2" t="s">
        <v>12</v>
      </c>
      <c r="B19" s="5" t="s">
        <v>15</v>
      </c>
      <c r="C19" s="6" t="s">
        <v>1092</v>
      </c>
      <c r="D19" s="2" t="s">
        <v>43</v>
      </c>
    </row>
    <row r="20" spans="1:4" x14ac:dyDescent="0.25">
      <c r="A20" s="2" t="s">
        <v>12</v>
      </c>
      <c r="B20" s="5" t="s">
        <v>15</v>
      </c>
      <c r="C20" s="6" t="s">
        <v>1093</v>
      </c>
      <c r="D20" s="2" t="s">
        <v>650</v>
      </c>
    </row>
    <row r="21" spans="1:4" x14ac:dyDescent="0.25">
      <c r="A21" s="2" t="s">
        <v>9</v>
      </c>
      <c r="B21" s="5" t="s">
        <v>15</v>
      </c>
      <c r="C21" s="4" t="s">
        <v>1094</v>
      </c>
      <c r="D21" s="2" t="s">
        <v>49</v>
      </c>
    </row>
    <row r="22" spans="1:4" x14ac:dyDescent="0.25">
      <c r="A22" s="2" t="s">
        <v>12</v>
      </c>
      <c r="B22" s="5" t="s">
        <v>15</v>
      </c>
      <c r="C22" s="6" t="s">
        <v>1095</v>
      </c>
      <c r="D22" s="2" t="s">
        <v>51</v>
      </c>
    </row>
    <row r="23" spans="1:4" x14ac:dyDescent="0.25">
      <c r="A23" s="2" t="s">
        <v>12</v>
      </c>
      <c r="B23" s="5" t="s">
        <v>15</v>
      </c>
      <c r="C23" s="6" t="s">
        <v>1096</v>
      </c>
      <c r="D23" s="2" t="s">
        <v>53</v>
      </c>
    </row>
    <row r="24" spans="1:4" x14ac:dyDescent="0.25">
      <c r="A24" s="2" t="s">
        <v>9</v>
      </c>
      <c r="B24" s="5" t="s">
        <v>15</v>
      </c>
      <c r="C24" s="4" t="s">
        <v>1097</v>
      </c>
      <c r="D24" s="2" t="s">
        <v>55</v>
      </c>
    </row>
    <row r="25" spans="1:4" x14ac:dyDescent="0.25">
      <c r="A25" s="2" t="s">
        <v>12</v>
      </c>
      <c r="B25" s="5" t="s">
        <v>15</v>
      </c>
      <c r="C25" s="6" t="s">
        <v>1098</v>
      </c>
      <c r="D25" s="2" t="s">
        <v>656</v>
      </c>
    </row>
    <row r="26" spans="1:4" x14ac:dyDescent="0.25">
      <c r="A26" s="2" t="s">
        <v>74</v>
      </c>
      <c r="B26" s="5" t="s">
        <v>15</v>
      </c>
      <c r="C26" s="6" t="s">
        <v>1099</v>
      </c>
      <c r="D26" s="2" t="s">
        <v>658</v>
      </c>
    </row>
    <row r="27" spans="1:4" x14ac:dyDescent="0.25">
      <c r="A27" s="2" t="s">
        <v>74</v>
      </c>
      <c r="B27" s="5" t="s">
        <v>15</v>
      </c>
      <c r="C27" s="6" t="s">
        <v>1100</v>
      </c>
      <c r="D27" s="2" t="s">
        <v>660</v>
      </c>
    </row>
    <row r="28" spans="1:4" x14ac:dyDescent="0.25">
      <c r="A28" s="2" t="s">
        <v>12</v>
      </c>
      <c r="B28" s="5" t="s">
        <v>15</v>
      </c>
      <c r="C28" s="6" t="s">
        <v>1101</v>
      </c>
      <c r="D28" s="2" t="s">
        <v>662</v>
      </c>
    </row>
    <row r="29" spans="1:4" x14ac:dyDescent="0.25">
      <c r="A29" s="2" t="s">
        <v>12</v>
      </c>
      <c r="B29" s="5" t="s">
        <v>15</v>
      </c>
      <c r="C29" s="6" t="s">
        <v>1102</v>
      </c>
      <c r="D29" s="2" t="s">
        <v>664</v>
      </c>
    </row>
    <row r="30" spans="1:4" x14ac:dyDescent="0.25">
      <c r="A30" s="2" t="s">
        <v>12</v>
      </c>
      <c r="B30" s="5" t="s">
        <v>15</v>
      </c>
      <c r="C30" s="6" t="s">
        <v>1103</v>
      </c>
      <c r="D30" s="2" t="s">
        <v>666</v>
      </c>
    </row>
    <row r="31" spans="1:4" x14ac:dyDescent="0.25">
      <c r="A31" s="2" t="s">
        <v>9</v>
      </c>
      <c r="B31" s="5" t="s">
        <v>15</v>
      </c>
      <c r="C31" s="4" t="s">
        <v>1104</v>
      </c>
      <c r="D31" s="2" t="s">
        <v>668</v>
      </c>
    </row>
    <row r="32" spans="1:4" x14ac:dyDescent="0.25">
      <c r="A32" s="2" t="s">
        <v>9</v>
      </c>
      <c r="B32" s="5" t="s">
        <v>15</v>
      </c>
      <c r="C32" s="4" t="s">
        <v>1105</v>
      </c>
      <c r="D32" s="2" t="s">
        <v>57</v>
      </c>
    </row>
    <row r="33" spans="1:4" x14ac:dyDescent="0.25">
      <c r="A33" s="3" t="s">
        <v>6</v>
      </c>
      <c r="B33" s="5" t="s">
        <v>1</v>
      </c>
      <c r="C33" s="4" t="s">
        <v>1106</v>
      </c>
      <c r="D33" s="3" t="s">
        <v>59</v>
      </c>
    </row>
    <row r="34" spans="1:4" x14ac:dyDescent="0.25">
      <c r="A34" s="3" t="s">
        <v>6</v>
      </c>
      <c r="B34" s="5"/>
      <c r="C34" s="4" t="s">
        <v>1107</v>
      </c>
      <c r="D34" s="3" t="s">
        <v>672</v>
      </c>
    </row>
    <row r="35" spans="1:4" x14ac:dyDescent="0.25">
      <c r="A35" s="3" t="s">
        <v>6</v>
      </c>
      <c r="B35" s="5" t="s">
        <v>15</v>
      </c>
      <c r="C35" s="4" t="s">
        <v>1108</v>
      </c>
      <c r="D35" s="3" t="s">
        <v>674</v>
      </c>
    </row>
    <row r="36" spans="1:4" x14ac:dyDescent="0.25">
      <c r="A36" s="3" t="s">
        <v>6</v>
      </c>
      <c r="B36" s="5"/>
      <c r="C36" s="4" t="s">
        <v>1109</v>
      </c>
      <c r="D36" s="3" t="s">
        <v>61</v>
      </c>
    </row>
    <row r="37" spans="1:4" x14ac:dyDescent="0.25">
      <c r="A37" s="12"/>
      <c r="B37" s="12"/>
      <c r="C37" s="12"/>
      <c r="D37" s="12"/>
    </row>
    <row r="38" spans="1:4" x14ac:dyDescent="0.25">
      <c r="A38" s="13" t="s">
        <v>6</v>
      </c>
      <c r="B38" s="13" t="s">
        <v>67</v>
      </c>
      <c r="C38" s="13" t="s">
        <v>1110</v>
      </c>
      <c r="D38" s="13" t="s">
        <v>130</v>
      </c>
    </row>
    <row r="39" spans="1:4" x14ac:dyDescent="0.25">
      <c r="A39" s="12" t="s">
        <v>9</v>
      </c>
      <c r="B39" s="12" t="s">
        <v>67</v>
      </c>
      <c r="C39" s="12" t="s">
        <v>1111</v>
      </c>
      <c r="D39" s="12" t="s">
        <v>852</v>
      </c>
    </row>
    <row r="40" spans="1:4" x14ac:dyDescent="0.25">
      <c r="A40" s="13" t="s">
        <v>6</v>
      </c>
      <c r="B40" s="13" t="s">
        <v>521</v>
      </c>
      <c r="C40" s="13" t="s">
        <v>1112</v>
      </c>
      <c r="D40" s="13" t="s">
        <v>855</v>
      </c>
    </row>
    <row r="41" spans="1:4" x14ac:dyDescent="0.25">
      <c r="A41" s="12" t="s">
        <v>9</v>
      </c>
      <c r="B41" s="12" t="s">
        <v>521</v>
      </c>
      <c r="C41" s="12" t="s">
        <v>1113</v>
      </c>
      <c r="D41" s="12" t="s">
        <v>852</v>
      </c>
    </row>
    <row r="42" spans="1:4" x14ac:dyDescent="0.25">
      <c r="A42" s="14"/>
      <c r="B42" s="14"/>
      <c r="C42" s="12"/>
      <c r="D42" s="12"/>
    </row>
    <row r="43" spans="1:4" x14ac:dyDescent="0.25">
      <c r="A43" s="13" t="s">
        <v>6</v>
      </c>
      <c r="B43" s="13" t="s">
        <v>1</v>
      </c>
      <c r="C43" s="13" t="s">
        <v>1114</v>
      </c>
      <c r="D43" s="13" t="s">
        <v>856</v>
      </c>
    </row>
    <row r="44" spans="1:4" x14ac:dyDescent="0.25">
      <c r="A44" s="13" t="s">
        <v>9</v>
      </c>
      <c r="B44" s="13" t="s">
        <v>1</v>
      </c>
      <c r="C44" s="13" t="s">
        <v>1115</v>
      </c>
      <c r="D44" s="13" t="s">
        <v>913</v>
      </c>
    </row>
    <row r="45" spans="1:4" x14ac:dyDescent="0.25">
      <c r="A45" s="12" t="s">
        <v>12</v>
      </c>
      <c r="B45" s="12" t="s">
        <v>67</v>
      </c>
      <c r="C45" s="12" t="s">
        <v>1116</v>
      </c>
      <c r="D45" s="12" t="s">
        <v>857</v>
      </c>
    </row>
    <row r="46" spans="1:4" x14ac:dyDescent="0.25">
      <c r="A46" s="12" t="s">
        <v>12</v>
      </c>
      <c r="B46" s="12" t="s">
        <v>521</v>
      </c>
      <c r="C46" s="12" t="s">
        <v>1117</v>
      </c>
      <c r="D46" s="12" t="s">
        <v>858</v>
      </c>
    </row>
    <row r="47" spans="1:4" x14ac:dyDescent="0.25">
      <c r="A47" s="12" t="s">
        <v>12</v>
      </c>
      <c r="B47" s="12" t="s">
        <v>1</v>
      </c>
      <c r="C47" s="12" t="s">
        <v>1118</v>
      </c>
      <c r="D47" s="12" t="s">
        <v>859</v>
      </c>
    </row>
    <row r="48" spans="1:4" x14ac:dyDescent="0.25">
      <c r="A48" s="12" t="s">
        <v>12</v>
      </c>
      <c r="B48" s="12"/>
      <c r="C48" s="12" t="s">
        <v>1119</v>
      </c>
      <c r="D48" s="12" t="s">
        <v>860</v>
      </c>
    </row>
    <row r="49" spans="1:4" x14ac:dyDescent="0.25">
      <c r="A49" s="12"/>
      <c r="B49" s="12"/>
      <c r="C49" s="12"/>
      <c r="D49" s="12"/>
    </row>
    <row r="50" spans="1:4" x14ac:dyDescent="0.25">
      <c r="A50" s="13" t="s">
        <v>6</v>
      </c>
      <c r="B50" s="13" t="s">
        <v>1</v>
      </c>
      <c r="C50" s="13" t="s">
        <v>1120</v>
      </c>
      <c r="D50" s="13" t="s">
        <v>862</v>
      </c>
    </row>
    <row r="51" spans="1:4" x14ac:dyDescent="0.25">
      <c r="A51" s="3" t="s">
        <v>9</v>
      </c>
      <c r="B51" s="13" t="s">
        <v>1</v>
      </c>
      <c r="C51" s="13" t="s">
        <v>1121</v>
      </c>
      <c r="D51" s="13" t="s">
        <v>281</v>
      </c>
    </row>
    <row r="52" spans="1:4" x14ac:dyDescent="0.25">
      <c r="A52" s="2" t="s">
        <v>12</v>
      </c>
      <c r="B52" s="12" t="s">
        <v>67</v>
      </c>
      <c r="C52" s="12" t="s">
        <v>1122</v>
      </c>
      <c r="D52" s="12" t="s">
        <v>857</v>
      </c>
    </row>
    <row r="53" spans="1:4" x14ac:dyDescent="0.25">
      <c r="A53" s="2" t="s">
        <v>12</v>
      </c>
      <c r="B53" s="12" t="s">
        <v>521</v>
      </c>
      <c r="C53" s="12" t="s">
        <v>1123</v>
      </c>
      <c r="D53" s="12" t="s">
        <v>858</v>
      </c>
    </row>
    <row r="54" spans="1:4" x14ac:dyDescent="0.25">
      <c r="A54" s="2" t="s">
        <v>12</v>
      </c>
      <c r="B54" s="2" t="s">
        <v>1</v>
      </c>
      <c r="C54" s="12" t="s">
        <v>1124</v>
      </c>
      <c r="D54" s="12" t="s">
        <v>859</v>
      </c>
    </row>
    <row r="55" spans="1:4" x14ac:dyDescent="0.25">
      <c r="A55" s="2" t="s">
        <v>12</v>
      </c>
      <c r="B55" s="2"/>
      <c r="C55" s="12" t="s">
        <v>1125</v>
      </c>
      <c r="D55" s="12" t="s">
        <v>860</v>
      </c>
    </row>
    <row r="56" spans="1:4" x14ac:dyDescent="0.25">
      <c r="A56" s="3" t="s">
        <v>9</v>
      </c>
      <c r="B56" s="13" t="s">
        <v>1</v>
      </c>
      <c r="C56" s="13" t="s">
        <v>1126</v>
      </c>
      <c r="D56" s="13" t="s">
        <v>307</v>
      </c>
    </row>
    <row r="57" spans="1:4" x14ac:dyDescent="0.25">
      <c r="A57" s="2" t="s">
        <v>12</v>
      </c>
      <c r="B57" s="12" t="s">
        <v>67</v>
      </c>
      <c r="C57" s="12" t="s">
        <v>1127</v>
      </c>
      <c r="D57" s="12" t="s">
        <v>857</v>
      </c>
    </row>
    <row r="58" spans="1:4" x14ac:dyDescent="0.25">
      <c r="A58" s="2" t="s">
        <v>12</v>
      </c>
      <c r="B58" s="12" t="s">
        <v>521</v>
      </c>
      <c r="C58" s="12" t="s">
        <v>1128</v>
      </c>
      <c r="D58" s="12" t="s">
        <v>858</v>
      </c>
    </row>
    <row r="59" spans="1:4" x14ac:dyDescent="0.25">
      <c r="A59" s="2" t="s">
        <v>12</v>
      </c>
      <c r="B59" s="2" t="s">
        <v>1</v>
      </c>
      <c r="C59" s="12" t="s">
        <v>1129</v>
      </c>
      <c r="D59" s="12" t="s">
        <v>859</v>
      </c>
    </row>
    <row r="60" spans="1:4" x14ac:dyDescent="0.25">
      <c r="A60" s="2" t="s">
        <v>12</v>
      </c>
      <c r="B60" s="2"/>
      <c r="C60" s="12" t="s">
        <v>1130</v>
      </c>
      <c r="D60" s="12" t="s">
        <v>860</v>
      </c>
    </row>
    <row r="61" spans="1:4" x14ac:dyDescent="0.25">
      <c r="A61" s="3" t="s">
        <v>9</v>
      </c>
      <c r="B61" s="13" t="s">
        <v>1</v>
      </c>
      <c r="C61" s="13" t="s">
        <v>1131</v>
      </c>
      <c r="D61" s="13" t="s">
        <v>320</v>
      </c>
    </row>
    <row r="62" spans="1:4" x14ac:dyDescent="0.25">
      <c r="A62" s="2" t="s">
        <v>12</v>
      </c>
      <c r="B62" s="12" t="s">
        <v>67</v>
      </c>
      <c r="C62" s="12" t="s">
        <v>1132</v>
      </c>
      <c r="D62" s="12" t="s">
        <v>857</v>
      </c>
    </row>
    <row r="63" spans="1:4" x14ac:dyDescent="0.25">
      <c r="A63" s="2" t="s">
        <v>12</v>
      </c>
      <c r="B63" s="12" t="s">
        <v>521</v>
      </c>
      <c r="C63" s="12" t="s">
        <v>1133</v>
      </c>
      <c r="D63" s="12" t="s">
        <v>858</v>
      </c>
    </row>
    <row r="64" spans="1:4" x14ac:dyDescent="0.25">
      <c r="A64" s="2" t="s">
        <v>12</v>
      </c>
      <c r="B64" s="2" t="s">
        <v>1</v>
      </c>
      <c r="C64" s="12" t="s">
        <v>1134</v>
      </c>
      <c r="D64" s="12" t="s">
        <v>859</v>
      </c>
    </row>
    <row r="65" spans="1:4" x14ac:dyDescent="0.25">
      <c r="A65" s="2" t="s">
        <v>12</v>
      </c>
      <c r="B65" s="2"/>
      <c r="C65" s="12" t="s">
        <v>1135</v>
      </c>
      <c r="D65" s="12" t="s">
        <v>860</v>
      </c>
    </row>
    <row r="66" spans="1:4" x14ac:dyDescent="0.25">
      <c r="A66" s="12"/>
      <c r="B66" s="12"/>
      <c r="C66" s="12"/>
      <c r="D66" s="12"/>
    </row>
    <row r="67" spans="1:4" x14ac:dyDescent="0.25">
      <c r="A67" s="3" t="s">
        <v>6</v>
      </c>
      <c r="B67" s="3" t="s">
        <v>15</v>
      </c>
      <c r="C67" s="13" t="s">
        <v>1136</v>
      </c>
      <c r="D67" s="13" t="s">
        <v>867</v>
      </c>
    </row>
    <row r="68" spans="1:4" x14ac:dyDescent="0.25">
      <c r="A68" s="3" t="s">
        <v>9</v>
      </c>
      <c r="B68" s="3" t="s">
        <v>15</v>
      </c>
      <c r="C68" s="13" t="s">
        <v>1137</v>
      </c>
      <c r="D68" s="13" t="s">
        <v>548</v>
      </c>
    </row>
    <row r="69" spans="1:4" x14ac:dyDescent="0.25">
      <c r="A69" s="2" t="s">
        <v>12</v>
      </c>
      <c r="B69" s="2" t="s">
        <v>111</v>
      </c>
      <c r="C69" s="12" t="s">
        <v>1138</v>
      </c>
      <c r="D69" s="12" t="s">
        <v>857</v>
      </c>
    </row>
    <row r="70" spans="1:4" x14ac:dyDescent="0.25">
      <c r="A70" s="2" t="s">
        <v>12</v>
      </c>
      <c r="B70" s="2" t="s">
        <v>539</v>
      </c>
      <c r="C70" s="12" t="s">
        <v>1139</v>
      </c>
      <c r="D70" s="12" t="s">
        <v>858</v>
      </c>
    </row>
    <row r="71" spans="1:4" x14ac:dyDescent="0.25">
      <c r="A71" s="2" t="s">
        <v>12</v>
      </c>
      <c r="B71" s="2" t="s">
        <v>15</v>
      </c>
      <c r="C71" s="12" t="s">
        <v>1140</v>
      </c>
      <c r="D71" s="12" t="s">
        <v>864</v>
      </c>
    </row>
    <row r="72" spans="1:4" x14ac:dyDescent="0.25">
      <c r="A72" s="2" t="s">
        <v>12</v>
      </c>
      <c r="B72" s="2"/>
      <c r="C72" s="12" t="s">
        <v>1141</v>
      </c>
      <c r="D72" s="12" t="s">
        <v>865</v>
      </c>
    </row>
    <row r="73" spans="1:4" x14ac:dyDescent="0.25">
      <c r="A73" s="3" t="s">
        <v>9</v>
      </c>
      <c r="B73" s="3" t="s">
        <v>15</v>
      </c>
      <c r="C73" s="13" t="s">
        <v>1142</v>
      </c>
      <c r="D73" s="13" t="s">
        <v>550</v>
      </c>
    </row>
    <row r="74" spans="1:4" x14ac:dyDescent="0.25">
      <c r="A74" s="2" t="s">
        <v>12</v>
      </c>
      <c r="B74" s="2" t="s">
        <v>111</v>
      </c>
      <c r="C74" s="12" t="s">
        <v>1143</v>
      </c>
      <c r="D74" s="12" t="s">
        <v>857</v>
      </c>
    </row>
    <row r="75" spans="1:4" x14ac:dyDescent="0.25">
      <c r="A75" s="2" t="s">
        <v>12</v>
      </c>
      <c r="B75" s="2" t="s">
        <v>539</v>
      </c>
      <c r="C75" s="12" t="s">
        <v>1144</v>
      </c>
      <c r="D75" s="12" t="s">
        <v>858</v>
      </c>
    </row>
    <row r="76" spans="1:4" x14ac:dyDescent="0.25">
      <c r="A76" s="2" t="s">
        <v>12</v>
      </c>
      <c r="B76" s="2" t="s">
        <v>15</v>
      </c>
      <c r="C76" s="12" t="s">
        <v>1145</v>
      </c>
      <c r="D76" s="12" t="s">
        <v>864</v>
      </c>
    </row>
    <row r="77" spans="1:4" x14ac:dyDescent="0.25">
      <c r="A77" s="2" t="s">
        <v>12</v>
      </c>
      <c r="B77" s="2"/>
      <c r="C77" s="12" t="s">
        <v>1146</v>
      </c>
      <c r="D77" s="12" t="s">
        <v>865</v>
      </c>
    </row>
    <row r="78" spans="1:4" x14ac:dyDescent="0.25">
      <c r="A78" s="12"/>
      <c r="B78" s="12"/>
      <c r="C78" s="12"/>
      <c r="D78" s="12"/>
    </row>
    <row r="79" spans="1:4" x14ac:dyDescent="0.25">
      <c r="A79" s="3" t="s">
        <v>6</v>
      </c>
      <c r="B79" s="3" t="s">
        <v>15</v>
      </c>
      <c r="C79" s="13" t="s">
        <v>1147</v>
      </c>
      <c r="D79" s="13" t="s">
        <v>868</v>
      </c>
    </row>
    <row r="80" spans="1:4" x14ac:dyDescent="0.25">
      <c r="A80" s="12" t="s">
        <v>9</v>
      </c>
      <c r="B80" s="12" t="s">
        <v>15</v>
      </c>
      <c r="C80" s="12" t="s">
        <v>1148</v>
      </c>
      <c r="D80" s="12" t="s">
        <v>1149</v>
      </c>
    </row>
    <row r="81" spans="1:4" x14ac:dyDescent="0.25">
      <c r="A81" s="12"/>
      <c r="B81" s="12"/>
      <c r="C81" s="12"/>
      <c r="D81" s="12"/>
    </row>
    <row r="82" spans="1:4" x14ac:dyDescent="0.25">
      <c r="A82" s="3" t="s">
        <v>6</v>
      </c>
      <c r="B82" s="3" t="s">
        <v>1</v>
      </c>
      <c r="C82" s="13" t="s">
        <v>1150</v>
      </c>
      <c r="D82" s="13" t="s">
        <v>898</v>
      </c>
    </row>
    <row r="83" spans="1:4" x14ac:dyDescent="0.25">
      <c r="A83" s="12" t="s">
        <v>9</v>
      </c>
      <c r="B83" s="12" t="s">
        <v>1</v>
      </c>
      <c r="C83" s="12" t="s">
        <v>1151</v>
      </c>
      <c r="D83" s="12" t="s">
        <v>1152</v>
      </c>
    </row>
    <row r="84" spans="1:4" x14ac:dyDescent="0.25">
      <c r="A84" s="12"/>
      <c r="B84" s="12"/>
      <c r="C84" s="12"/>
      <c r="D84" s="12"/>
    </row>
    <row r="85" spans="1:4" x14ac:dyDescent="0.25">
      <c r="A85" s="13" t="s">
        <v>6</v>
      </c>
      <c r="B85" s="3" t="s">
        <v>1</v>
      </c>
      <c r="C85" s="4" t="s">
        <v>1153</v>
      </c>
      <c r="D85" s="13" t="s">
        <v>869</v>
      </c>
    </row>
    <row r="86" spans="1:4" x14ac:dyDescent="0.25">
      <c r="A86" s="14" t="s">
        <v>9</v>
      </c>
      <c r="B86" s="12" t="s">
        <v>1</v>
      </c>
      <c r="C86" s="7" t="s">
        <v>1154</v>
      </c>
      <c r="D86" s="14" t="s">
        <v>908</v>
      </c>
    </row>
    <row r="87" spans="1:4" x14ac:dyDescent="0.25">
      <c r="A87" s="2"/>
      <c r="B87" s="2"/>
      <c r="C87" s="6"/>
      <c r="D87" s="2"/>
    </row>
    <row r="88" spans="1:4" x14ac:dyDescent="0.25">
      <c r="A88" s="13" t="s">
        <v>6</v>
      </c>
      <c r="B88" s="3" t="s">
        <v>15</v>
      </c>
      <c r="C88" s="4" t="s">
        <v>1155</v>
      </c>
      <c r="D88" s="13" t="s">
        <v>877</v>
      </c>
    </row>
    <row r="89" spans="1:4" x14ac:dyDescent="0.25">
      <c r="A89" s="14" t="s">
        <v>9</v>
      </c>
      <c r="B89" s="12" t="s">
        <v>15</v>
      </c>
      <c r="C89" s="7" t="s">
        <v>1156</v>
      </c>
      <c r="D89" s="14" t="s">
        <v>924</v>
      </c>
    </row>
    <row r="90" spans="1:4" x14ac:dyDescent="0.25">
      <c r="A90" s="12"/>
      <c r="B90" s="12"/>
      <c r="C90" s="12"/>
      <c r="D90" s="12"/>
    </row>
    <row r="91" spans="1:4" x14ac:dyDescent="0.25">
      <c r="A91" s="13" t="s">
        <v>6</v>
      </c>
      <c r="B91" s="13" t="s">
        <v>1</v>
      </c>
      <c r="C91" s="13" t="s">
        <v>1157</v>
      </c>
      <c r="D91" s="13" t="s">
        <v>885</v>
      </c>
    </row>
    <row r="92" spans="1:4" x14ac:dyDescent="0.25">
      <c r="A92" s="12" t="s">
        <v>9</v>
      </c>
      <c r="B92" s="12" t="s">
        <v>1</v>
      </c>
      <c r="C92" s="12" t="s">
        <v>1158</v>
      </c>
      <c r="D92" s="12" t="s">
        <v>1159</v>
      </c>
    </row>
    <row r="93" spans="1:4" x14ac:dyDescent="0.25">
      <c r="A93" s="12" t="s">
        <v>9</v>
      </c>
      <c r="B93" s="12" t="s">
        <v>1</v>
      </c>
      <c r="C93" s="12" t="s">
        <v>1160</v>
      </c>
      <c r="D93" s="12" t="s">
        <v>1161</v>
      </c>
    </row>
    <row r="94" spans="1:4" x14ac:dyDescent="0.25">
      <c r="A94" s="12"/>
      <c r="B94" s="12"/>
      <c r="C94" s="12"/>
      <c r="D94" s="12"/>
    </row>
    <row r="95" spans="1:4" x14ac:dyDescent="0.25">
      <c r="A95" s="13" t="s">
        <v>6</v>
      </c>
      <c r="B95" s="13" t="s">
        <v>1</v>
      </c>
      <c r="C95" s="13" t="s">
        <v>1162</v>
      </c>
      <c r="D95" s="13" t="s">
        <v>886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5ADF2-68E2-4BFD-BC6A-A8A390E170B4}">
  <dimension ref="A1:H1"/>
  <sheetViews>
    <sheetView workbookViewId="0">
      <selection activeCell="G10" sqref="G10"/>
    </sheetView>
  </sheetViews>
  <sheetFormatPr defaultRowHeight="13.8" x14ac:dyDescent="0.25"/>
  <sheetData>
    <row r="1" spans="1:8" s="5" customFormat="1" ht="15" customHeight="1" x14ac:dyDescent="0.25">
      <c r="A1" s="8" t="s">
        <v>2</v>
      </c>
      <c r="B1" s="8" t="s">
        <v>3</v>
      </c>
      <c r="C1" s="8" t="s">
        <v>4</v>
      </c>
      <c r="D1" s="8" t="s">
        <v>5</v>
      </c>
      <c r="E1" s="10" t="s">
        <v>229</v>
      </c>
      <c r="F1" s="11" t="s">
        <v>230</v>
      </c>
      <c r="G1" s="11" t="s">
        <v>231</v>
      </c>
      <c r="H1" s="11" t="s">
        <v>232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AA业务状况表</vt:lpstr>
      <vt:lpstr>AA损益表</vt:lpstr>
      <vt:lpstr>AA资产负债表（余额）</vt:lpstr>
      <vt:lpstr>AA资产负债表（日均）</vt:lpstr>
      <vt:lpstr>AA资产质量表</vt:lpstr>
      <vt:lpstr>AA利息净收入表</vt:lpstr>
      <vt:lpstr>A个金群</vt:lpstr>
      <vt:lpstr>A01泛微粒贷</vt:lpstr>
      <vt:lpstr>A02微账户</vt:lpstr>
      <vt:lpstr>A03汽车金融</vt:lpstr>
      <vt:lpstr>A04财富</vt:lpstr>
      <vt:lpstr>A05小鹅</vt:lpstr>
      <vt:lpstr>B企金群</vt:lpstr>
      <vt:lpstr>B01企业金融</vt:lpstr>
      <vt:lpstr>B02金融市场</vt:lpstr>
      <vt:lpstr>C数字金融</vt:lpstr>
      <vt:lpstr>C01国内业务</vt:lpstr>
      <vt:lpstr>C02国内研发</vt:lpstr>
      <vt:lpstr>D国际业务</vt:lpstr>
      <vt:lpstr>D01国际业务</vt:lpstr>
      <vt:lpstr>E小鹅导流</vt:lpstr>
      <vt:lpstr>E01小鹅导流</vt:lpstr>
      <vt:lpstr>F司库及其他</vt:lpstr>
      <vt:lpstr>F01司库及其他</vt:lpstr>
      <vt:lpstr>AB微众科技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binzhao(赵斌)</dc:creator>
  <cp:lastModifiedBy>陈良煜</cp:lastModifiedBy>
  <dcterms:created xsi:type="dcterms:W3CDTF">2015-06-05T18:19:34Z</dcterms:created>
  <dcterms:modified xsi:type="dcterms:W3CDTF">2026-06-10T07:52:44Z</dcterms:modified>
</cp:coreProperties>
</file>