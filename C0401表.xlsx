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-预算AI项目\cursor_budget_test3\"/>
    </mc:Choice>
  </mc:AlternateContent>
  <xr:revisionPtr revIDLastSave="0" documentId="8_{06ED82D5-24DF-43F3-957E-24ECC0EE746B}" xr6:coauthVersionLast="47" xr6:coauthVersionMax="47" xr10:uidLastSave="{00000000-0000-0000-0000-000000000000}"/>
  <bookViews>
    <workbookView xWindow="28680" yWindow="-120" windowWidth="29040" windowHeight="15720" xr2:uid="{D4FA3E5B-2174-4DBF-814E-D07FA2CE67E0}"/>
  </bookViews>
  <sheets>
    <sheet name="26年2月（全行）" sheetId="1" r:id="rId1"/>
  </sheets>
  <externalReferences>
    <externalReference r:id="rId2"/>
  </externalReferences>
  <definedNames>
    <definedName name="\A">#REF!</definedName>
    <definedName name="\B">#REF!</definedName>
    <definedName name="_1._总资产">#REF!</definedName>
    <definedName name="_bdm.dd0efc7f8c7a4f4982a5815b2abb24ae.edm" hidden="1">#REF!</definedName>
    <definedName name="_bdm.ec6645e8f82646bb838d6de85b5dd3f1.edm" hidden="1">#REF!</definedName>
    <definedName name="_xlnm._FilterDatabase" localSheetId="0" hidden="1">'26年2月（全行）'!$A$4:$BC$1467</definedName>
    <definedName name="_xlnm._FilterDatabase" hidden="1">#REF!</definedName>
    <definedName name="aa">#REF!</definedName>
    <definedName name="ada">#REF!</definedName>
    <definedName name="adi">#REF!</definedName>
    <definedName name="AI项目组IT">#REF!</definedName>
    <definedName name="AI项目组人力">#REF!</definedName>
    <definedName name="AI项目组日常">#REF!</definedName>
    <definedName name="AI项目组营销">#REF!</definedName>
    <definedName name="AI项目组运营">#REF!</definedName>
    <definedName name="AI项目组征信">#REF!</definedName>
    <definedName name="AI项目组职场">#REF!</definedName>
    <definedName name="Basel">#REF!</definedName>
    <definedName name="bb">#REF!</definedName>
    <definedName name="bensonh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bpr">#REF!</definedName>
    <definedName name="Br">#REF!</definedName>
    <definedName name="Branch">#REF!</definedName>
    <definedName name="BS_ARRAY">#REF!</definedName>
    <definedName name="CC">#REF!</definedName>
    <definedName name="CIQWBGuid" hidden="1">"8a2c8f4f-a465-4ada-8d1b-85fcee73348a"</definedName>
    <definedName name="COST_ARRAY">#REF!</definedName>
    <definedName name="COST_M_ARRAY">#REF!</definedName>
    <definedName name="CT产品要素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D01_2">#REF!</definedName>
    <definedName name="D02_1">#REF!</definedName>
    <definedName name="d02_1_4">#REF!</definedName>
    <definedName name="D02_1_5">#REF!</definedName>
    <definedName name="D02_25_50">#REF!</definedName>
    <definedName name="D02_5_25">#REF!</definedName>
    <definedName name="D02_50">#REF!</definedName>
    <definedName name="D12_1">#REF!</definedName>
    <definedName name="D12_1_5">#REF!</definedName>
    <definedName name="D12_25_50">#REF!</definedName>
    <definedName name="D12_5_25">#REF!</definedName>
    <definedName name="D12_50">#REF!</definedName>
    <definedName name="data">#REF!</definedName>
    <definedName name="days_m">#REF!</definedName>
    <definedName name="days_r">#REF!</definedName>
    <definedName name="days_y">#REF!</definedName>
    <definedName name="days_year">#REF!</definedName>
    <definedName name="dd">#REF!</definedName>
    <definedName name="Dept">#REF!</definedName>
    <definedName name="DL_ARRAY">#REF!</definedName>
    <definedName name="do1_1">#REF!</definedName>
    <definedName name="Education">#REF!</definedName>
    <definedName name="employment">#REF!</definedName>
    <definedName name="FEE_ARRAY">#REF!</definedName>
    <definedName name="FEE_M_ARRAY">#REF!</definedName>
    <definedName name="Function">OFFSET(#REF!,1,MATCH(#REF!,#REF!,0)-1,COUNTA(OFFSET(#REF!,0,MATCH(#REF!,#REF!,0)-1,100,1))-1,1)</definedName>
    <definedName name="Grade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kel">#REF!</definedName>
    <definedName name="KPI_ARRAY">#REF!</definedName>
    <definedName name="last_2_month">#REF!</definedName>
    <definedName name="last_2m">#REF!</definedName>
    <definedName name="last_3_month">#REF!</definedName>
    <definedName name="last_day">#REF!</definedName>
    <definedName name="last_m">#REF!</definedName>
    <definedName name="last_month">#REF!</definedName>
    <definedName name="last_quarter">#REF!</definedName>
    <definedName name="last_term">#REF!</definedName>
    <definedName name="last_year">#REF!</definedName>
    <definedName name="local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1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M_1_10">#REF!</definedName>
    <definedName name="M1_50">#REF!</definedName>
    <definedName name="M1_55">#REF!</definedName>
    <definedName name="M1_62.5">#REF!</definedName>
    <definedName name="M1_65">#REF!</definedName>
    <definedName name="M1_82.5">#REF!</definedName>
    <definedName name="M1_85">#REF!</definedName>
    <definedName name="M2_50">#REF!</definedName>
    <definedName name="M2_55">#REF!</definedName>
    <definedName name="M2_62.5">#REF!</definedName>
    <definedName name="M2_65">#REF!</definedName>
    <definedName name="M2_82.5">#REF!</definedName>
    <definedName name="M2_85">#REF!</definedName>
    <definedName name="M3_50">#REF!</definedName>
    <definedName name="M3_55">#REF!</definedName>
    <definedName name="M3_62.5">#REF!</definedName>
    <definedName name="M3_65">#REF!</definedName>
    <definedName name="M3_82.5">#REF!</definedName>
    <definedName name="M3_85">#REF!</definedName>
    <definedName name="M4_50">#REF!</definedName>
    <definedName name="M4_55">#REF!</definedName>
    <definedName name="M4_62.5">#REF!</definedName>
    <definedName name="M4_65">#REF!</definedName>
    <definedName name="M4_82.5">#REF!</definedName>
    <definedName name="M4_85">#REF!</definedName>
    <definedName name="month_z">#REF!</definedName>
    <definedName name="nama">#REF!</definedName>
    <definedName name="NGI项目组IT">#REF!</definedName>
    <definedName name="NGI项目组人力">#REF!</definedName>
    <definedName name="NGI项目组日常">#REF!</definedName>
    <definedName name="NGI项目组营销">#REF!</definedName>
    <definedName name="NGI项目组运营">#REF!</definedName>
    <definedName name="NGI项目组征信">#REF!</definedName>
    <definedName name="NGI项目组职场">#REF!</definedName>
    <definedName name="NIM_ARRAY">#REF!</definedName>
    <definedName name="NIM_M_ARRAY">#REF!</definedName>
    <definedName name="NIM_Q_ARRAY">#REF!</definedName>
    <definedName name="NIMR_ARRAY">#REF!</definedName>
    <definedName name="NIMR_M_ARRAY">#REF!</definedName>
    <definedName name="ParBankShr">#REF!</definedName>
    <definedName name="penda">#REF!</definedName>
    <definedName name="PENDAPATAN">#REF!</definedName>
    <definedName name="PL_2017_ARRAY">#REF!</definedName>
    <definedName name="PL_ARRAY">#REF!</definedName>
    <definedName name="PL_M_ARRAY">#REF!</definedName>
    <definedName name="PL_Q_ARRAY">#REF!</definedName>
    <definedName name="Q_1">#REF!</definedName>
    <definedName name="Q_2">#REF!</definedName>
    <definedName name="Q_3">#REF!</definedName>
    <definedName name="Q_4">#REF!</definedName>
    <definedName name="qw">#REF!</definedName>
    <definedName name="Recruiting">#REF!</definedName>
    <definedName name="ref">#REF!</definedName>
    <definedName name="report_array">#REF!</definedName>
    <definedName name="report_d">#REF!</definedName>
    <definedName name="report_day">#REF!</definedName>
    <definedName name="report_discount">#REF!</definedName>
    <definedName name="report_year">#REF!</definedName>
    <definedName name="reportdate">#REF!</definedName>
    <definedName name="SaaS服务">#REF!</definedName>
    <definedName name="Special">#REF!</definedName>
    <definedName name="staff_master">#REF!</definedName>
    <definedName name="T_1_10">#REF!</definedName>
    <definedName name="T_1_1020">#REF!</definedName>
    <definedName name="T_1_102003">#REF!</definedName>
    <definedName name="T_1_1060">#REF!</definedName>
    <definedName name="T_2_10">#REF!</definedName>
    <definedName name="T_2_1020">#REF!</definedName>
    <definedName name="T_2_102003">#REF!</definedName>
    <definedName name="T_2_1060">#REF!</definedName>
    <definedName name="test1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test1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Title">OFFSET(#REF!,1,MATCH(#REF!,#REF!,0)-1,COUNTA(OFFSET(#REF!,0,MATCH(#REF!,#REF!,0)-1,100,1))-1,1)</definedName>
    <definedName name="tongqi_day">#REF!</definedName>
    <definedName name="trialphase">#REF!</definedName>
    <definedName name="TypeA">#REF!</definedName>
    <definedName name="TypeA成本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TypeB">#REF!</definedName>
    <definedName name="USD">#REF!</definedName>
    <definedName name="We零售2000">#REF!</definedName>
    <definedName name="x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YesNoBasel2">#REF!</definedName>
    <definedName name="安居金融">#REF!</definedName>
    <definedName name="安居金融部IT">#REF!</definedName>
    <definedName name="安居金融部人力">#REF!</definedName>
    <definedName name="安居金融部日常">#REF!</definedName>
    <definedName name="安居金融部营销">#REF!</definedName>
    <definedName name="安居金融部运营">#REF!</definedName>
    <definedName name="安居金融部征信">#REF!</definedName>
    <definedName name="安居金融部职场">#REF!</definedName>
    <definedName name="安居金融存款">#REF!</definedName>
    <definedName name="安居金融贷款">#REF!</definedName>
    <definedName name="安居金融流动性备付">#REF!</definedName>
    <definedName name="办公室">#REF!</definedName>
    <definedName name="办公室IT">#REF!</definedName>
    <definedName name="办公室人力">#REF!</definedName>
    <definedName name="办公室日常">#REF!</definedName>
    <definedName name="办公室营销">#REF!</definedName>
    <definedName name="办公室运营">#REF!</definedName>
    <definedName name="办公室征信">#REF!</definedName>
    <definedName name="办公室职场">#REF!</definedName>
    <definedName name="办公物资领取地点2">#REF!</definedName>
    <definedName name="办公物资领取地点3">#REF!</definedName>
    <definedName name="保函">#REF!</definedName>
    <definedName name="保险公司资金归集户">#REF!</definedName>
    <definedName name="报表日期">#REF!</definedName>
    <definedName name="报告期">#REF!</definedName>
    <definedName name="本外币">#REF!</definedName>
    <definedName name="财富贷">#REF!</definedName>
    <definedName name="财务会计部IT">#REF!</definedName>
    <definedName name="财务会计部人力">#REF!</definedName>
    <definedName name="财务会计部日常">#REF!</definedName>
    <definedName name="财务会计部营销">#REF!</definedName>
    <definedName name="财务会计部运营">#REF!</definedName>
    <definedName name="财务会计部征信">#REF!</definedName>
    <definedName name="财务会计部职场">#REF!</definedName>
    <definedName name="拆放同业">#REF!</definedName>
    <definedName name="产品归属">#REF!</definedName>
    <definedName name="产业金融部IT">#REF!</definedName>
    <definedName name="产业金融部人力">#REF!</definedName>
    <definedName name="产业金融部日常">#REF!</definedName>
    <definedName name="产业金融部营销">#REF!</definedName>
    <definedName name="产业金融部运营">#REF!</definedName>
    <definedName name="产业金融部职场">#REF!</definedName>
    <definedName name="创新孵化项目组IT">#REF!</definedName>
    <definedName name="创新孵化项目组人力">#REF!</definedName>
    <definedName name="创新孵化项目组日常">#REF!</definedName>
    <definedName name="创新孵化项目组营销">#REF!</definedName>
    <definedName name="创新孵化项目组运营">#REF!</definedName>
    <definedName name="创新孵化项目组职场">#REF!</definedName>
    <definedName name="创新支付其他">#REF!</definedName>
    <definedName name="纯科技金融">#REF!</definedName>
    <definedName name="存放同业">#REF!</definedName>
    <definedName name="存放央行">#REF!</definedName>
    <definedName name="代微动力_资产">#REF!</definedName>
    <definedName name="代销交易所产品资金归集户">#REF!</definedName>
    <definedName name="代销理财">#REF!</definedName>
    <definedName name="代销理财_微动力">#REF!</definedName>
    <definedName name="代销理财_微动力_负债">#REF!</definedName>
    <definedName name="代销理财_微动力_资产">#REF!</definedName>
    <definedName name="代销理财存款">#REF!</definedName>
    <definedName name="代销理财单位活期存款">#REF!</definedName>
    <definedName name="代销理财流动性备付">#REF!</definedName>
    <definedName name="代销理财同业存放">#REF!</definedName>
    <definedName name="代销理财同业透支">#REF!</definedName>
    <definedName name="代销理财应付货基申购款">#REF!</definedName>
    <definedName name="待定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当月">#REF!</definedName>
    <definedName name="电商平台存款">#REF!</definedName>
    <definedName name="电商平台贷款">#REF!</definedName>
    <definedName name="电商平台归集款">#REF!</definedName>
    <definedName name="调节专用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定期加活期存款沉淀">#REF!</definedName>
    <definedName name="动态条件">#REF!</definedName>
    <definedName name="对平台存款">#REF!</definedName>
    <definedName name="对平台贷款">#REF!</definedName>
    <definedName name="非标资产">#REF!</definedName>
    <definedName name="费用类型">#REF!</definedName>
    <definedName name="分析决策及新项目部IT">#REF!</definedName>
    <definedName name="分析决策及新项目部人力">#REF!</definedName>
    <definedName name="分析决策及新项目部日常">#REF!</definedName>
    <definedName name="分析决策及新项目部营销">#REF!</definedName>
    <definedName name="分析决策及新项目部运营">#REF!</definedName>
    <definedName name="分析决策及新项目部征信">#REF!</definedName>
    <definedName name="分析决策及新项目部职场">#REF!</definedName>
    <definedName name="风险管理部IT">#REF!</definedName>
    <definedName name="风险管理部人力">#REF!</definedName>
    <definedName name="风险管理部日常">#REF!</definedName>
    <definedName name="风险管理部营销">#REF!</definedName>
    <definedName name="风险管理部运营">#REF!</definedName>
    <definedName name="风险管理部征信">#REF!</definedName>
    <definedName name="风险管理部职场">#REF!</definedName>
    <definedName name="孵化产品贷款">#REF!</definedName>
    <definedName name="个人存本取息定期存款">#REF!</definedName>
    <definedName name="个人定期存款">#REF!</definedName>
    <definedName name="个人活期存款">#REF!</definedName>
    <definedName name="个人经营贷存款">#REF!</definedName>
    <definedName name="个人经营贷贷款">#REF!</definedName>
    <definedName name="个人经营贷款">#REF!</definedName>
    <definedName name="个人经营贷资产流转">#REF!</definedName>
    <definedName name="个人直通">#REF!</definedName>
    <definedName name="个人直通贷款">#REF!</definedName>
    <definedName name="个人直通银行部IT">#REF!</definedName>
    <definedName name="个人直通银行部人力">#REF!</definedName>
    <definedName name="个人直通银行部日常">#REF!</definedName>
    <definedName name="个人直通银行部营销">#REF!</definedName>
    <definedName name="个人直通银行部运营">#REF!</definedName>
    <definedName name="个人直通银行部征信">#REF!</definedName>
    <definedName name="个人直通银行部职场">#REF!</definedName>
    <definedName name="个体工商金融项目组IT">#REF!</definedName>
    <definedName name="个体工商金融项目组人力">#REF!</definedName>
    <definedName name="个体工商金融项目组日常">#REF!</definedName>
    <definedName name="个体工商金融项目组营销">#REF!</definedName>
    <definedName name="个体工商金融项目组运营">#REF!</definedName>
    <definedName name="个体工商金融项目组职场">#REF!</definedName>
    <definedName name="供应链金融">#REF!</definedName>
    <definedName name="供应链金融存款">#REF!</definedName>
    <definedName name="供应链金融贷款">#REF!</definedName>
    <definedName name="供应链金融贷款全">#REF!</definedName>
    <definedName name="供应链金融流动性备付">#REF!</definedName>
    <definedName name="供应链金融上游">#REF!</definedName>
    <definedName name="供应链金融上游存款">#REF!</definedName>
    <definedName name="供应链金融上游贷款">#REF!</definedName>
    <definedName name="供应链金融下游">#REF!</definedName>
    <definedName name="供应链金融下游存款">#REF!</definedName>
    <definedName name="供应链金融下游贷款">#REF!</definedName>
    <definedName name="供应链金融下游流动性备付">#REF!</definedName>
    <definedName name="共享平台部IT">#REF!</definedName>
    <definedName name="共享平台部人力">#REF!</definedName>
    <definedName name="共享平台部日常">#REF!</definedName>
    <definedName name="共享平台部营销">#REF!</definedName>
    <definedName name="共享平台部运营">#REF!</definedName>
    <definedName name="共享平台部征信">#REF!</definedName>
    <definedName name="共享平台部职场">#REF!</definedName>
    <definedName name="合约金服">#REF!</definedName>
    <definedName name="合作金融">#REF!</definedName>
    <definedName name="合作金融部">#REF!</definedName>
    <definedName name="合作金融部IT">#REF!</definedName>
    <definedName name="合作金融部人力">#REF!</definedName>
    <definedName name="合作金融部日常">#REF!</definedName>
    <definedName name="合作金融部营销">#REF!</definedName>
    <definedName name="合作金融部运营">#REF!</definedName>
    <definedName name="合作金融部征信">#REF!</definedName>
    <definedName name="合作金融部职场">#REF!</definedName>
    <definedName name="核心是否增设">#REF!</definedName>
    <definedName name="核心新增">#REF!</definedName>
    <definedName name="汇通达">#REF!</definedName>
    <definedName name="汇通达保证金">#REF!</definedName>
    <definedName name="汇通达存款">#REF!</definedName>
    <definedName name="汇通达贷款">#REF!</definedName>
    <definedName name="汇通达结算户存款">#REF!</definedName>
    <definedName name="汇通达流动性备付">#REF!</definedName>
    <definedName name="会员卡">#REF!</definedName>
    <definedName name="活期加">#REF!</definedName>
    <definedName name="活期加_微动力">#REF!</definedName>
    <definedName name="货币符">#REF!</definedName>
    <definedName name="机构号">#REF!</definedName>
    <definedName name="机构拓展项目组IT">#REF!</definedName>
    <definedName name="机构拓展项目组人力">#REF!</definedName>
    <definedName name="机构拓展项目组日常">#REF!</definedName>
    <definedName name="机构拓展项目组营销">#REF!</definedName>
    <definedName name="机构拓展项目组运营">#REF!</definedName>
    <definedName name="机构拓展项目组征信">#REF!</definedName>
    <definedName name="机构拓展项目组职场">#REF!</definedName>
    <definedName name="基金投资">#REF!</definedName>
    <definedName name="计划财务部IT">#REF!</definedName>
    <definedName name="计划财务部人力">#REF!</definedName>
    <definedName name="计划财务部日常">#REF!</definedName>
    <definedName name="计划财务部营销">#REF!</definedName>
    <definedName name="计划财务部运营">#REF!</definedName>
    <definedName name="计划财务部征信">#REF!</definedName>
    <definedName name="计划财务部职场">#REF!</definedName>
    <definedName name="监管保证金存款">#REF!</definedName>
    <definedName name="健康金融">#REF!</definedName>
    <definedName name="交易银行部IT">#REF!</definedName>
    <definedName name="交易银行部人力">#REF!</definedName>
    <definedName name="交易银行部日常">#REF!</definedName>
    <definedName name="交易银行部营销">#REF!</definedName>
    <definedName name="交易银行部运营">#REF!</definedName>
    <definedName name="交易银行部职场">#REF!</definedName>
    <definedName name="结构性存款">#REF!</definedName>
    <definedName name="结算">#REF!</definedName>
    <definedName name="结算新零售">#REF!</definedName>
    <definedName name="结算业务部">#REF!</definedName>
    <definedName name="金融服务">#REF!</definedName>
    <definedName name="金融服务_创新">#REF!</definedName>
    <definedName name="金融服务_其他">#REF!</definedName>
    <definedName name="金融市场">#REF!</definedName>
    <definedName name="金融市场及同业">#REF!</definedName>
    <definedName name="金融市场及同业部">#REF!</definedName>
    <definedName name="金融市场及同业部IT">#REF!</definedName>
    <definedName name="金融市场及同业部人力">#REF!</definedName>
    <definedName name="金融市场及同业部日常">#REF!</definedName>
    <definedName name="金融市场及同业部营销">#REF!</definedName>
    <definedName name="金融市场及同业部运营">#REF!</definedName>
    <definedName name="金融市场及同业部征信">#REF!</definedName>
    <definedName name="金融市场及同业部职场">#REF!</definedName>
    <definedName name="经营企划部IT">#REF!</definedName>
    <definedName name="经营企划部人力">#REF!</definedName>
    <definedName name="经营企划部日常">#REF!</definedName>
    <definedName name="经营企划部营销">#REF!</definedName>
    <definedName name="经营企划部运营">#REF!</definedName>
    <definedName name="经营企划部征信">#REF!</definedName>
    <definedName name="经营企划部职场">#REF!</definedName>
    <definedName name="精准营销">#REF!</definedName>
    <definedName name="科创贷">#REF!</definedName>
    <definedName name="科创贷存款">#REF!</definedName>
    <definedName name="科创贷贷款">#REF!</definedName>
    <definedName name="科技创新">#REF!</definedName>
    <definedName name="科技创新产品部">#REF!</definedName>
    <definedName name="科技发展及创新条线IT">#REF!</definedName>
    <definedName name="科技发展及创新条线人力">#REF!</definedName>
    <definedName name="科技发展及创新条线日常">#REF!</definedName>
    <definedName name="科技发展及创新条线营销">#REF!</definedName>
    <definedName name="科技发展及创新条线运营">#REF!</definedName>
    <definedName name="科技发展及创新条线征信">#REF!</definedName>
    <definedName name="科技发展及创新条线职场">#REF!</definedName>
    <definedName name="科技赋能服务">#REF!</definedName>
    <definedName name="科技管理部">#REF!</definedName>
    <definedName name="科技金融">#REF!</definedName>
    <definedName name="科技金融_微动力">#REF!</definedName>
    <definedName name="科技金融其他存款">#REF!</definedName>
    <definedName name="科技金融其他贷款">#REF!</definedName>
    <definedName name="科技金融下微动力">#REF!</definedName>
    <definedName name="科技其他">#REF!</definedName>
    <definedName name="跨境钱包">#REF!</definedName>
    <definedName name="乐观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礼品卡">#REF!</definedName>
    <definedName name="礼品卡存款">#REF!</definedName>
    <definedName name="礼品卡归集款">#REF!</definedName>
    <definedName name="礼品卡业务存款">#REF!</definedName>
    <definedName name="理财投资">#REF!</definedName>
    <definedName name="联合贷款合作行备付金">#REF!</definedName>
    <definedName name="联名账户">#REF!</definedName>
    <definedName name="零钱合作同业存放">#REF!</definedName>
    <definedName name="零钱加">#REF!</definedName>
    <definedName name="零钱加存款">#REF!</definedName>
    <definedName name="零钱加流动性备付">#REF!</definedName>
    <definedName name="零钱通">#REF!</definedName>
    <definedName name="零钱通净申购">#REF!</definedName>
    <definedName name="零钱通流动性备付">#REF!</definedName>
    <definedName name="零售we2000贷款">#REF!</definedName>
    <definedName name="零售存款部">#REF!</definedName>
    <definedName name="零售存款部IT">#REF!</definedName>
    <definedName name="零售存款部人力">#REF!</definedName>
    <definedName name="零售存款部日常">#REF!</definedName>
    <definedName name="零售存款部营销">#REF!</definedName>
    <definedName name="零售存款部运营">#REF!</definedName>
    <definedName name="零售存款部征信">#REF!</definedName>
    <definedName name="零售存款部职场">#REF!</definedName>
    <definedName name="零售风险部IT">#REF!</definedName>
    <definedName name="零售风险部人力">#REF!</definedName>
    <definedName name="零售风险部日常">#REF!</definedName>
    <definedName name="零售风险部营销">#REF!</definedName>
    <definedName name="零售风险部运营">#REF!</definedName>
    <definedName name="零售风险部征信">#REF!</definedName>
    <definedName name="零售风险部职场">#REF!</definedName>
    <definedName name="零售互联网产品部IT">#REF!</definedName>
    <definedName name="零售互联网产品部人力">#REF!</definedName>
    <definedName name="零售互联网产品部日常">#REF!</definedName>
    <definedName name="零售互联网产品部营销">#REF!</definedName>
    <definedName name="零售互联网产品部运营">#REF!</definedName>
    <definedName name="零售互联网产品部征信">#REF!</definedName>
    <definedName name="零售互联网产品部职场">#REF!</definedName>
    <definedName name="零售金融">#REF!</definedName>
    <definedName name="零售金融存出保证金">#REF!</definedName>
    <definedName name="零售金融存款">#REF!</definedName>
    <definedName name="零售金融归集款">#REF!</definedName>
    <definedName name="零售市场部">#REF!</definedName>
    <definedName name="零售市场部IT">#REF!</definedName>
    <definedName name="零售市场部人力">#REF!</definedName>
    <definedName name="零售市场部日常">#REF!</definedName>
    <definedName name="零售市场部营销">#REF!</definedName>
    <definedName name="零售市场部运营">#REF!</definedName>
    <definedName name="零售市场部征信">#REF!</definedName>
    <definedName name="零售市场部职场">#REF!</definedName>
    <definedName name="零售新业务部IT">#REF!</definedName>
    <definedName name="零售新业务部人力">#REF!</definedName>
    <definedName name="零售新业务部日常">#REF!</definedName>
    <definedName name="零售新业务部营销">#REF!</definedName>
    <definedName name="零售新业务部运营">#REF!</definedName>
    <definedName name="零售新业务部征信">#REF!</definedName>
    <definedName name="零售新业务部职场">#REF!</definedName>
    <definedName name="零售信贷部IT">#REF!</definedName>
    <definedName name="零售信贷部人力">#REF!</definedName>
    <definedName name="零售信贷部日常">#REF!</definedName>
    <definedName name="零售信贷部营销">#REF!</definedName>
    <definedName name="零售信贷部运营">#REF!</definedName>
    <definedName name="零售信贷部征信">#REF!</definedName>
    <definedName name="零售信贷部职场">#REF!</definedName>
    <definedName name="零售银行">#REF!</definedName>
    <definedName name="买入返售">#REF!</definedName>
    <definedName name="卖出回购">#REF!</definedName>
    <definedName name="年轻客群">#REF!</definedName>
    <definedName name="票据贴现">#REF!</definedName>
    <definedName name="票据再贴现">#REF!</definedName>
    <definedName name="平台法人性质">#REF!</definedName>
    <definedName name="平台非车_汇通达_负债">#REF!</definedName>
    <definedName name="平台非车_汇通达_资产">#REF!</definedName>
    <definedName name="平台非车_微路贷_负债">#REF!</definedName>
    <definedName name="平台非车_微路贷_资产">#REF!</definedName>
    <definedName name="平台非车_微租贷_负债">#REF!</definedName>
    <definedName name="平台非车_微租贷_资产">#REF!</definedName>
    <definedName name="平台非车存款">#REF!</definedName>
    <definedName name="平台非车贷款">#REF!</definedName>
    <definedName name="平台非车流动性备付">#REF!</definedName>
    <definedName name="平台非出_微路贷_资产">#REF!</definedName>
    <definedName name="平台类型">#REF!</definedName>
    <definedName name="其他">#REF!</definedName>
    <definedName name="其他_科技">#REF!</definedName>
    <definedName name="其他存出保证金">#REF!</definedName>
    <definedName name="其他存款">#REF!</definedName>
    <definedName name="其他大类">#REF!</definedName>
    <definedName name="其他服务">#REF!</definedName>
    <definedName name="其他负债">#REF!</definedName>
    <definedName name="其他合作金融_保险公司协议存款">#REF!</definedName>
    <definedName name="其他合作金融_存款">#REF!</definedName>
    <definedName name="其他科技金融">#REF!</definedName>
    <definedName name="其他企金贷款">#REF!</definedName>
    <definedName name="其他投资">#REF!</definedName>
    <definedName name="其他新零售">#REF!</definedName>
    <definedName name="其他资产">#REF!</definedName>
    <definedName name="企金存放同业">#REF!</definedName>
    <definedName name="企金其他">#REF!</definedName>
    <definedName name="企金其他存款">#REF!</definedName>
    <definedName name="企金其他贷款">#REF!</definedName>
    <definedName name="企金其他流动性备付">#REF!</definedName>
    <definedName name="企金同业拆借">#REF!</definedName>
    <definedName name="企业APP">#REF!</definedName>
    <definedName name="企业代收付存款">#REF!</definedName>
    <definedName name="企业代收付流动性备付">#REF!</definedName>
    <definedName name="企业代收付同业存放">#REF!</definedName>
    <definedName name="企业风险部IT">#REF!</definedName>
    <definedName name="企业风险部人力">#REF!</definedName>
    <definedName name="企业风险部日常">#REF!</definedName>
    <definedName name="企业风险部营销">#REF!</definedName>
    <definedName name="企业风险部运营">#REF!</definedName>
    <definedName name="企业风险部职场">#REF!</definedName>
    <definedName name="企业金融">#REF!</definedName>
    <definedName name="企业金融部">#REF!</definedName>
    <definedName name="企业金融部IT">#REF!</definedName>
    <definedName name="企业金融部人力">#REF!</definedName>
    <definedName name="企业金融部日常">#REF!</definedName>
    <definedName name="企业金融部营销">#REF!</definedName>
    <definedName name="企业金融部运营">#REF!</definedName>
    <definedName name="企业金融部征信">#REF!</definedName>
    <definedName name="企业金融部职场">#REF!</definedName>
    <definedName name="企业金融非个人">#REF!</definedName>
    <definedName name="企业经营贷款">#REF!</definedName>
    <definedName name="企业经营管理部IT">#REF!</definedName>
    <definedName name="企业经营管理部人力">#REF!</definedName>
    <definedName name="企业经营管理部日常">#REF!</definedName>
    <definedName name="企业经营管理部营销">#REF!</definedName>
    <definedName name="企业经营管理部运营">#REF!</definedName>
    <definedName name="企业经营管理部职场">#REF!</definedName>
    <definedName name="企业市场及创新业务部IT">#REF!</definedName>
    <definedName name="企业市场及创新业务部人力">#REF!</definedName>
    <definedName name="企业市场及创新业务部日常">#REF!</definedName>
    <definedName name="企业市场及创新业务部营销">#REF!</definedName>
    <definedName name="企业市场及创新业务部运营">#REF!</definedName>
    <definedName name="企业市场及创新业务部职场">#REF!</definedName>
    <definedName name="企业直通">#REF!</definedName>
    <definedName name="企业直通银行部IT">#REF!</definedName>
    <definedName name="企业直通银行部人力">#REF!</definedName>
    <definedName name="企业直通银行部日常">#REF!</definedName>
    <definedName name="企业直通银行部营销">#REF!</definedName>
    <definedName name="企业直通银行部运营">#REF!</definedName>
    <definedName name="企业直通银行部征信">#REF!</definedName>
    <definedName name="企业直通银行部职场">#REF!</definedName>
    <definedName name="企业直通资产流转">#REF!</definedName>
    <definedName name="汽车金融">#REF!</definedName>
    <definedName name="汽车金融部">#REF!</definedName>
    <definedName name="汽车金融部IT">#REF!</definedName>
    <definedName name="汽车金融部人力">#REF!</definedName>
    <definedName name="汽车金融部日常">#REF!</definedName>
    <definedName name="汽车金融部营销">#REF!</definedName>
    <definedName name="汽车金融部运营">#REF!</definedName>
    <definedName name="汽车金融部征信">#REF!</definedName>
    <definedName name="汽车金融部职场">#REF!</definedName>
    <definedName name="汽车金融其他存款">#REF!</definedName>
    <definedName name="汽车金融其他贷款">#REF!</definedName>
    <definedName name="汽金其他存款">#REF!</definedName>
    <definedName name="汽金其他贷款">#REF!</definedName>
    <definedName name="钱包">#REF!</definedName>
    <definedName name="钱包_ARRAY">#REF!</definedName>
    <definedName name="钱包存款">#REF!</definedName>
    <definedName name="钱包归集款">#REF!</definedName>
    <definedName name="清结算管理部IT">#REF!</definedName>
    <definedName name="清结算管理部人力">#REF!</definedName>
    <definedName name="清结算管理部日常">#REF!</definedName>
    <definedName name="清结算管理部营销">#REF!</definedName>
    <definedName name="清结算管理部运营">#REF!</definedName>
    <definedName name="清结算管理部征信">#REF!</definedName>
    <definedName name="清结算管理部职场">#REF!</definedName>
    <definedName name="区块链物业透明化管理">#REF!</definedName>
    <definedName name="全行其他存款">#REF!</definedName>
    <definedName name="人工智能">#REF!</definedName>
    <definedName name="入职岗位">#REF!</definedName>
    <definedName name="入职岗位1">#REF!</definedName>
    <definedName name="生活金融">#REF!</definedName>
    <definedName name="生活金融部IT">#REF!</definedName>
    <definedName name="生活金融部人力">#REF!</definedName>
    <definedName name="生活金融部日常">#REF!</definedName>
    <definedName name="生活金融部营销">#REF!</definedName>
    <definedName name="生活金融部运营">#REF!</definedName>
    <definedName name="生活金融部征信">#REF!</definedName>
    <definedName name="生活金融部职场">#REF!</definedName>
    <definedName name="生活金融其他存款">#REF!</definedName>
    <definedName name="生活金融其他归集款">#REF!</definedName>
    <definedName name="生活金融同业存放">#REF!</definedName>
    <definedName name="是">#REF!</definedName>
    <definedName name="收银台">#REF!</definedName>
    <definedName name="收银台_ARRAY">#REF!</definedName>
    <definedName name="收银台存款">#REF!</definedName>
    <definedName name="收银台代收付备付">#REF!</definedName>
    <definedName name="收银台代收付垫款">#REF!</definedName>
    <definedName name="收银台代收付圈存垫款">#REF!</definedName>
    <definedName name="收银台归集款">#REF!</definedName>
    <definedName name="收银台流动性备付">#REF!</definedName>
    <definedName name="收银台同业存放">#REF!</definedName>
    <definedName name="手Q加权系数">#REF!</definedName>
    <definedName name="手管加权系数">#REF!</definedName>
    <definedName name="数据结算业务部IT">#REF!</definedName>
    <definedName name="数据结算业务部人力">#REF!</definedName>
    <definedName name="数据结算业务部日常">#REF!</definedName>
    <definedName name="数据结算业务部营销">#REF!</definedName>
    <definedName name="数据结算业务部运营">#REF!</definedName>
    <definedName name="数据结算业务部征信">#REF!</definedName>
    <definedName name="数据结算业务部职场">#REF!</definedName>
    <definedName name="数据科学与智能应用部">#REF!</definedName>
    <definedName name="数据科学与智能应用部IT">#REF!</definedName>
    <definedName name="数据科学与智能应用部人力">#REF!</definedName>
    <definedName name="数据科学与智能应用部日常">#REF!</definedName>
    <definedName name="数据科学与智能应用部营销">#REF!</definedName>
    <definedName name="数据科学与智能应用部运营">#REF!</definedName>
    <definedName name="数据科学与智能应用部征信">#REF!</definedName>
    <definedName name="数据科学与智能应用部职场">#REF!</definedName>
    <definedName name="数字营销">#REF!</definedName>
    <definedName name="税银存款">#REF!</definedName>
    <definedName name="司库">#REF!</definedName>
    <definedName name="司库轧差">#REF!</definedName>
    <definedName name="他行ABS投资">#REF!</definedName>
    <definedName name="泰隆经营贷">#REF!</definedName>
    <definedName name="泰隆消费贷">#REF!</definedName>
    <definedName name="同业拆入">#REF!</definedName>
    <definedName name="同业存单">#REF!</definedName>
    <definedName name="同业存单投资">#REF!</definedName>
    <definedName name="同业存放">#REF!</definedName>
    <definedName name="同业存放_存款类">#REF!</definedName>
    <definedName name="同业存放_非存款类">#REF!</definedName>
    <definedName name="同业借款">#REF!</definedName>
    <definedName name="微2000">#REF!</definedName>
    <definedName name="微车贷">#REF!</definedName>
    <definedName name="微车贷_ARRAY">#REF!</definedName>
    <definedName name="微车贷_优信_负债">#REF!</definedName>
    <definedName name="微车贷_优信_资产">#REF!</definedName>
    <definedName name="微车贷存款">#REF!</definedName>
    <definedName name="微车贷贷款">#REF!</definedName>
    <definedName name="微车贷单位存款">#REF!</definedName>
    <definedName name="微车贷合作行备付金">#REF!</definedName>
    <definedName name="微车贷联合">#REF!</definedName>
    <definedName name="微车贷联合贷款">#REF!</definedName>
    <definedName name="微车贷流动性备付">#REF!</definedName>
    <definedName name="微车贷同业存放">#REF!</definedName>
    <definedName name="微车贷信托产品投资">#REF!</definedName>
    <definedName name="微车贷业务暂收款">#REF!</definedName>
    <definedName name="微车贷应付同业资产转让款">#REF!</definedName>
    <definedName name="微车贷应付同业资产转让款项">#REF!</definedName>
    <definedName name="微车贷资产流转">#REF!</definedName>
    <definedName name="微车贷资产流转贷款">#REF!</definedName>
    <definedName name="微车贷资产流转同业存放">#REF!</definedName>
    <definedName name="微动力">#REF!</definedName>
    <definedName name="微动力_ARRAY">#REF!</definedName>
    <definedName name="微动力_负债">#REF!</definedName>
    <definedName name="微动力_资产">#REF!</definedName>
    <definedName name="微动力存放合作行活期">#REF!</definedName>
    <definedName name="微动力调整">#REF!</definedName>
    <definedName name="微动力合作行存放备付">#REF!</definedName>
    <definedName name="微理财同业存放">#REF!</definedName>
    <definedName name="微立享">#REF!</definedName>
    <definedName name="微粒存">#REF!</definedName>
    <definedName name="微粒存同业备付金">#REF!</definedName>
    <definedName name="微粒贷">#REF!</definedName>
    <definedName name="微粒贷_ARRAY">#REF!</definedName>
    <definedName name="微粒贷_贷款">#REF!</definedName>
    <definedName name="微粒贷存放同业">#REF!</definedName>
    <definedName name="微粒贷存放同业活期">#REF!</definedName>
    <definedName name="微粒贷存款">#REF!</definedName>
    <definedName name="微粒贷贷款">#REF!</definedName>
    <definedName name="微粒贷联合">#REF!</definedName>
    <definedName name="微粒贷联合贷款">#REF!</definedName>
    <definedName name="微粒贷联合贷款备付金">#REF!</definedName>
    <definedName name="微粒贷流动性备付">#REF!</definedName>
    <definedName name="微粒贷银联备付金">#REF!</definedName>
    <definedName name="微粒贷资产流转">#REF!</definedName>
    <definedName name="微粒贷自持">#REF!</definedName>
    <definedName name="微粒卡">#REF!</definedName>
    <definedName name="微路贷">#REF!</definedName>
    <definedName name="微路贷存款">#REF!</definedName>
    <definedName name="微路贷贷款">#REF!</definedName>
    <definedName name="微路贷流动性备付">#REF!</definedName>
    <definedName name="微闪贴">#REF!</definedName>
    <definedName name="微闪贴存款">#REF!</definedName>
    <definedName name="微闪贴贷款">#REF!</definedName>
    <definedName name="微信加权系数">#REF!</definedName>
    <definedName name="微信客户数预测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微信客户数预测1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微业贷">#REF!</definedName>
    <definedName name="微业贷_ARRAY">#REF!</definedName>
    <definedName name="微业贷存款">#REF!</definedName>
    <definedName name="微业贷贷款">#REF!</definedName>
    <definedName name="微业贷和个人经营贷">#REF!</definedName>
    <definedName name="微业贷流动性备付">#REF!</definedName>
    <definedName name="微账户">#REF!</definedName>
    <definedName name="微账户_零钱">#REF!</definedName>
    <definedName name="微账户存款">#REF!</definedName>
    <definedName name="微账户理财">#REF!</definedName>
    <definedName name="微账户其他">#REF!</definedName>
    <definedName name="微众APP_ARRAY">#REF!</definedName>
    <definedName name="微众存">#REF!</definedName>
    <definedName name="微众金">#REF!</definedName>
    <definedName name="微众金_ARRAY">#REF!</definedName>
    <definedName name="微众金_微动力">#REF!</definedName>
    <definedName name="微众金含微动力">#REF!</definedName>
    <definedName name="微众卡">#REF!</definedName>
    <definedName name="微众有折">#REF!</definedName>
    <definedName name="微众有折_ARRAY">#REF!</definedName>
    <definedName name="微众有折存出保证金">#REF!</definedName>
    <definedName name="微众有折存出备付金">#REF!</definedName>
    <definedName name="微众有折存款">#REF!</definedName>
    <definedName name="微众有折单位活期存款">#REF!</definedName>
    <definedName name="微众有折个人活期存款">#REF!</definedName>
    <definedName name="微众有折客户归集款">#REF!</definedName>
    <definedName name="微租贷">#REF!</definedName>
    <definedName name="微租贷_房租贷_存款">#REF!</definedName>
    <definedName name="微租贷_房租贷_贷款">#REF!</definedName>
    <definedName name="微租贷保证金">#REF!</definedName>
    <definedName name="微租贷结算户存款">#REF!</definedName>
    <definedName name="微租贷流动性备付">#REF!</definedName>
    <definedName name="现金管理">#REF!</definedName>
    <definedName name="向中央银行借款">#REF!</definedName>
    <definedName name="消费者权益保护部IT">#REF!</definedName>
    <definedName name="消费者权益保护部人力">#REF!</definedName>
    <definedName name="消费者权益保护部日常">#REF!</definedName>
    <definedName name="消费者权益保护部营销">#REF!</definedName>
    <definedName name="消费者权益保护部运营">#REF!</definedName>
    <definedName name="消费者权益保护部职场">#REF!</definedName>
    <definedName name="消金条线其他IT">#REF!</definedName>
    <definedName name="消金条线其他人力">#REF!</definedName>
    <definedName name="消金条线其他日常">#REF!</definedName>
    <definedName name="消金条线其他营销">#REF!</definedName>
    <definedName name="消金条线其他运营">#REF!</definedName>
    <definedName name="消金条线其他征信">#REF!</definedName>
    <definedName name="消金条线其他职场">#REF!</definedName>
    <definedName name="小微企业贷">#REF!</definedName>
    <definedName name="小微企业金融部IT">#REF!</definedName>
    <definedName name="小微企业金融部人力">#REF!</definedName>
    <definedName name="小微企业金融部日常">#REF!</definedName>
    <definedName name="小微企业金融部营销">#REF!</definedName>
    <definedName name="小微企业金融部运营">#REF!</definedName>
    <definedName name="小微企业金融部职场">#REF!</definedName>
    <definedName name="小微银银2.0">#REF!</definedName>
    <definedName name="新零售">#REF!</definedName>
    <definedName name="新零售_负债">#REF!</definedName>
    <definedName name="新零售业务项目组IT">#REF!</definedName>
    <definedName name="新零售业务项目组人力">#REF!</definedName>
    <definedName name="新零售业务项目组日常">#REF!</definedName>
    <definedName name="新零售业务项目组营销">#REF!</definedName>
    <definedName name="新零售业务项目组运营">#REF!</definedName>
    <definedName name="新零售业务项目组征信">#REF!</definedName>
    <definedName name="新零售业务项目组职场">#REF!</definedName>
    <definedName name="信贷平台服务">#REF!</definedName>
    <definedName name="信托产品投资">#REF!</definedName>
    <definedName name="性别">#REF!</definedName>
    <definedName name="要素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一码付">#REF!</definedName>
    <definedName name="一码付存出保证金">#REF!</definedName>
    <definedName name="一码付存款">#REF!</definedName>
    <definedName name="一码付归集款">#REF!</definedName>
    <definedName name="医疗健康存款">#REF!</definedName>
    <definedName name="医疗健康贷款">#REF!</definedName>
    <definedName name="银联备付金">#REF!</definedName>
    <definedName name="银联存出保证金">#REF!</definedName>
    <definedName name="银行理财投资">#REF!</definedName>
    <definedName name="应付货基申购款">#REF!</definedName>
    <definedName name="应收款类理财">#REF!</definedName>
    <definedName name="应收款类其他投资">#REF!</definedName>
    <definedName name="应收款类信托">#REF!</definedName>
    <definedName name="盈利性分析_ARRAY">#REF!</definedName>
    <definedName name="有折单位活期存款">#REF!</definedName>
    <definedName name="有折个人活期存款">#REF!</definedName>
    <definedName name="有折客户归集款">#REF!</definedName>
    <definedName name="有折其他">#REF!</definedName>
    <definedName name="预算2018E分月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预算部门">#REF!</definedName>
    <definedName name="云KYC">#REF!</definedName>
    <definedName name="云服务">#REF!</definedName>
    <definedName name="云服务存放同业">#REF!</definedName>
    <definedName name="云服务同业存放">#REF!</definedName>
    <definedName name="运营管理部IT">#REF!</definedName>
    <definedName name="运营管理部人力">#REF!</definedName>
    <definedName name="运营管理部日常">#REF!</definedName>
    <definedName name="运营管理部营销">#REF!</definedName>
    <definedName name="运营管理部运营">#REF!</definedName>
    <definedName name="运营管理部征信">#REF!</definedName>
    <definedName name="运营管理部职场">#REF!</definedName>
    <definedName name="债券">#REF!</definedName>
    <definedName name="债券借贷卖空">#REF!</definedName>
    <definedName name="债券投资">#REF!</definedName>
    <definedName name="战略发展部IT">#REF!</definedName>
    <definedName name="战略发展部人力">#REF!</definedName>
    <definedName name="战略发展部日常">#REF!</definedName>
    <definedName name="战略发展部营销">#REF!</definedName>
    <definedName name="战略发展部运营">#REF!</definedName>
    <definedName name="战略发展部征信">#REF!</definedName>
    <definedName name="战略发展部职场">#REF!</definedName>
    <definedName name="账户加">#REF!</definedName>
    <definedName name="账户加_单位存款">#REF!</definedName>
    <definedName name="账户加_个人存款">#REF!</definedName>
    <definedName name="账户加_同业存款">#REF!</definedName>
    <definedName name="账户加2.0">#REF!</definedName>
    <definedName name="账户加2.0存款">#REF!</definedName>
    <definedName name="账户加2.0贷款">#REF!</definedName>
    <definedName name="账户加2.0同业存放">#REF!</definedName>
    <definedName name="账户加存款">#REF!</definedName>
    <definedName name="证件类型">#REF!</definedName>
    <definedName name="直通车">#REF!</definedName>
    <definedName name="直通定期存款">#REF!</definedName>
    <definedName name="直通个人存款">#REF!</definedName>
    <definedName name="直通个人贷款">#REF!</definedName>
    <definedName name="直通个人活期存款">#REF!</definedName>
    <definedName name="直通活期存款">#REF!</definedName>
    <definedName name="直通流动性备付">#REF!</definedName>
    <definedName name="直通普通定期">#REF!</definedName>
    <definedName name="直通其他">#REF!</definedName>
    <definedName name="直通其他存款">#REF!</definedName>
    <definedName name="直通其他贷款">#REF!</definedName>
    <definedName name="直通其他单位存款">#REF!</definedName>
    <definedName name="直通其他个人存款">#REF!</definedName>
    <definedName name="直通其他流动性备付">#REF!</definedName>
    <definedName name="直通其他同业存放">#REF!</definedName>
    <definedName name="直通银行">#REF!</definedName>
    <definedName name="直通银行_微动力">#REF!</definedName>
    <definedName name="直通银行部">#REF!</definedName>
    <definedName name="直通银行部IT">#REF!</definedName>
    <definedName name="直通银行部人力">#REF!</definedName>
    <definedName name="直通银行部日常">#REF!</definedName>
    <definedName name="直通银行部营销">#REF!</definedName>
    <definedName name="直通银行部运营">#REF!</definedName>
    <definedName name="直通银行部征信">#REF!</definedName>
    <definedName name="直通银行部职场">#REF!</definedName>
    <definedName name="直通银行含微动力">#REF!</definedName>
    <definedName name="直通运营部IT">#REF!</definedName>
    <definedName name="直通运营部人力">#REF!</definedName>
    <definedName name="直通运营部日常">#REF!</definedName>
    <definedName name="直通运营部营销">#REF!</definedName>
    <definedName name="直通运营部运营">#REF!</definedName>
    <definedName name="直通运营部征信">#REF!</definedName>
    <definedName name="直通运营部职场">#REF!</definedName>
    <definedName name="直通智能存款">#REF!</definedName>
    <definedName name="智慧出行">#REF!</definedName>
    <definedName name="智能个人定期存款">#REF!</definedName>
    <definedName name="智能投资">#REF!</definedName>
    <definedName name="智能推券">#REF!</definedName>
    <definedName name="周转金">#REF!</definedName>
    <definedName name="资本金">#REF!</definedName>
    <definedName name="资本金及司库">#REF!</definedName>
    <definedName name="资产管理计划投资">#REF!</definedName>
    <definedName name="资产证券化投资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C1179" i="1" l="1"/>
  <c r="BA1179" i="1"/>
  <c r="AZ1179" i="1"/>
  <c r="BB1179" i="1" s="1"/>
  <c r="BA1178" i="1"/>
  <c r="AZ1178" i="1"/>
  <c r="BC1178" i="1" s="1"/>
  <c r="BA1177" i="1"/>
  <c r="AZ1177" i="1"/>
  <c r="BC1177" i="1" s="1"/>
  <c r="BA1176" i="1"/>
  <c r="AZ1176" i="1"/>
  <c r="BC1176" i="1" s="1"/>
  <c r="BA1175" i="1"/>
  <c r="AZ1175" i="1"/>
  <c r="BA1174" i="1"/>
  <c r="AZ1174" i="1"/>
  <c r="BC1174" i="1" s="1"/>
  <c r="BA1173" i="1"/>
  <c r="AZ1173" i="1"/>
  <c r="BA1172" i="1"/>
  <c r="AZ1172" i="1"/>
  <c r="BA1171" i="1"/>
  <c r="AZ1171" i="1"/>
  <c r="BA1170" i="1"/>
  <c r="AZ1170" i="1"/>
  <c r="BC1170" i="1" s="1"/>
  <c r="BA1169" i="1"/>
  <c r="BC1169" i="1" s="1"/>
  <c r="AZ1169" i="1"/>
  <c r="BA1168" i="1"/>
  <c r="AZ1168" i="1"/>
  <c r="BC1168" i="1" s="1"/>
  <c r="BC1167" i="1"/>
  <c r="BB1167" i="1"/>
  <c r="BA1167" i="1"/>
  <c r="AZ1167" i="1"/>
  <c r="AW1167" i="1"/>
  <c r="AX1167" i="1" s="1"/>
  <c r="AT1167" i="1" s="1"/>
  <c r="AY1167" i="1" s="1"/>
  <c r="AV1167" i="1"/>
  <c r="AV1168" i="1" s="1"/>
  <c r="BC1166" i="1"/>
  <c r="BA1166" i="1"/>
  <c r="BB1166" i="1" s="1"/>
  <c r="AZ1166" i="1"/>
  <c r="AW1166" i="1"/>
  <c r="AX1166" i="1" s="1"/>
  <c r="AT1166" i="1" s="1"/>
  <c r="AY1166" i="1" s="1"/>
  <c r="AV1166" i="1"/>
  <c r="AU1166" i="1"/>
  <c r="AU1167" i="1" s="1"/>
  <c r="AU1168" i="1" s="1"/>
  <c r="AU1169" i="1" s="1"/>
  <c r="AU1170" i="1" s="1"/>
  <c r="AU1171" i="1" s="1"/>
  <c r="AU1172" i="1" s="1"/>
  <c r="AU1173" i="1" s="1"/>
  <c r="AU1174" i="1" s="1"/>
  <c r="AU1175" i="1" s="1"/>
  <c r="AU1176" i="1" s="1"/>
  <c r="AU1177" i="1" s="1"/>
  <c r="AU1178" i="1" s="1"/>
  <c r="AU1179" i="1" s="1"/>
  <c r="BA1165" i="1"/>
  <c r="AZ1165" i="1"/>
  <c r="BA1164" i="1"/>
  <c r="AZ1164" i="1"/>
  <c r="BA1163" i="1"/>
  <c r="BC1163" i="1" s="1"/>
  <c r="AZ1163" i="1"/>
  <c r="BA1162" i="1"/>
  <c r="AZ1162" i="1"/>
  <c r="BA1161" i="1"/>
  <c r="BC1161" i="1" s="1"/>
  <c r="AZ1161" i="1"/>
  <c r="BA1160" i="1"/>
  <c r="BB1160" i="1" s="1"/>
  <c r="AZ1160" i="1"/>
  <c r="AU1160" i="1"/>
  <c r="AU1161" i="1" s="1"/>
  <c r="AU1162" i="1" s="1"/>
  <c r="AU1163" i="1" s="1"/>
  <c r="AU1164" i="1" s="1"/>
  <c r="AU1165" i="1" s="1"/>
  <c r="BA1159" i="1"/>
  <c r="AZ1159" i="1"/>
  <c r="BC1159" i="1" s="1"/>
  <c r="AU1159" i="1"/>
  <c r="BC1158" i="1"/>
  <c r="BA1158" i="1"/>
  <c r="AZ1158" i="1"/>
  <c r="AV1158" i="1"/>
  <c r="AW1158" i="1" s="1"/>
  <c r="AX1158" i="1" s="1"/>
  <c r="AT1158" i="1" s="1"/>
  <c r="AY1158" i="1" s="1"/>
  <c r="BC1157" i="1"/>
  <c r="BA1157" i="1"/>
  <c r="AZ1157" i="1"/>
  <c r="BB1157" i="1" s="1"/>
  <c r="AW1157" i="1"/>
  <c r="AX1157" i="1" s="1"/>
  <c r="AT1157" i="1" s="1"/>
  <c r="AY1157" i="1" s="1"/>
  <c r="AV1157" i="1"/>
  <c r="AU1157" i="1"/>
  <c r="AU1158" i="1" s="1"/>
  <c r="BA1156" i="1"/>
  <c r="AZ1156" i="1"/>
  <c r="BA1155" i="1"/>
  <c r="AZ1155" i="1"/>
  <c r="BA1154" i="1"/>
  <c r="AZ1154" i="1"/>
  <c r="BB1154" i="1" s="1"/>
  <c r="BA1153" i="1"/>
  <c r="AZ1153" i="1"/>
  <c r="BA1152" i="1"/>
  <c r="BC1152" i="1" s="1"/>
  <c r="AZ1152" i="1"/>
  <c r="BA1151" i="1"/>
  <c r="AZ1151" i="1"/>
  <c r="BB1151" i="1" s="1"/>
  <c r="BA1150" i="1"/>
  <c r="AZ1150" i="1"/>
  <c r="AU1150" i="1"/>
  <c r="AU1151" i="1" s="1"/>
  <c r="AU1152" i="1" s="1"/>
  <c r="AU1153" i="1" s="1"/>
  <c r="AU1154" i="1" s="1"/>
  <c r="AU1155" i="1" s="1"/>
  <c r="AU1156" i="1" s="1"/>
  <c r="BC1149" i="1"/>
  <c r="BA1149" i="1"/>
  <c r="AZ1149" i="1"/>
  <c r="BB1149" i="1" s="1"/>
  <c r="AY1149" i="1"/>
  <c r="AW1149" i="1"/>
  <c r="AX1149" i="1" s="1"/>
  <c r="AT1149" i="1" s="1"/>
  <c r="AV1149" i="1"/>
  <c r="AV1150" i="1" s="1"/>
  <c r="BC1148" i="1"/>
  <c r="BA1148" i="1"/>
  <c r="BB1148" i="1" s="1"/>
  <c r="AZ1148" i="1"/>
  <c r="AW1148" i="1"/>
  <c r="AX1148" i="1" s="1"/>
  <c r="AT1148" i="1" s="1"/>
  <c r="AY1148" i="1" s="1"/>
  <c r="AV1148" i="1"/>
  <c r="AU1148" i="1"/>
  <c r="AU1149" i="1" s="1"/>
  <c r="BA1147" i="1"/>
  <c r="AZ1147" i="1"/>
  <c r="BC1146" i="1"/>
  <c r="BA1146" i="1"/>
  <c r="AZ1146" i="1"/>
  <c r="BA1145" i="1"/>
  <c r="AZ1145" i="1"/>
  <c r="BC1145" i="1" s="1"/>
  <c r="BA1144" i="1"/>
  <c r="AZ1144" i="1"/>
  <c r="BA1143" i="1"/>
  <c r="BC1143" i="1" s="1"/>
  <c r="AZ1143" i="1"/>
  <c r="BA1142" i="1"/>
  <c r="BC1142" i="1" s="1"/>
  <c r="AZ1142" i="1"/>
  <c r="BA1141" i="1"/>
  <c r="AZ1141" i="1"/>
  <c r="BA1140" i="1"/>
  <c r="AZ1140" i="1"/>
  <c r="BA1139" i="1"/>
  <c r="AZ1139" i="1"/>
  <c r="BA1138" i="1"/>
  <c r="AZ1138" i="1"/>
  <c r="AU1138" i="1"/>
  <c r="AU1139" i="1" s="1"/>
  <c r="AU1140" i="1" s="1"/>
  <c r="AU1141" i="1" s="1"/>
  <c r="AU1142" i="1" s="1"/>
  <c r="AU1143" i="1" s="1"/>
  <c r="AU1144" i="1" s="1"/>
  <c r="AU1145" i="1" s="1"/>
  <c r="AU1146" i="1" s="1"/>
  <c r="AU1147" i="1" s="1"/>
  <c r="BC1137" i="1"/>
  <c r="BA1137" i="1"/>
  <c r="AZ1137" i="1"/>
  <c r="BB1137" i="1" s="1"/>
  <c r="AY1137" i="1"/>
  <c r="AW1137" i="1"/>
  <c r="AX1137" i="1" s="1"/>
  <c r="AT1137" i="1" s="1"/>
  <c r="AV1137" i="1"/>
  <c r="AV1138" i="1" s="1"/>
  <c r="BC1136" i="1"/>
  <c r="BA1136" i="1"/>
  <c r="AZ1136" i="1"/>
  <c r="BB1136" i="1" s="1"/>
  <c r="AW1136" i="1"/>
  <c r="AX1136" i="1" s="1"/>
  <c r="AT1136" i="1" s="1"/>
  <c r="AY1136" i="1" s="1"/>
  <c r="AV1136" i="1"/>
  <c r="AU1136" i="1"/>
  <c r="AU1137" i="1" s="1"/>
  <c r="BA1135" i="1"/>
  <c r="AZ1135" i="1"/>
  <c r="BC1134" i="1"/>
  <c r="BA1134" i="1"/>
  <c r="AZ1134" i="1"/>
  <c r="BA1133" i="1"/>
  <c r="BC1133" i="1" s="1"/>
  <c r="AZ1133" i="1"/>
  <c r="BA1132" i="1"/>
  <c r="AZ1132" i="1"/>
  <c r="BA1131" i="1"/>
  <c r="BC1131" i="1" s="1"/>
  <c r="AZ1131" i="1"/>
  <c r="BA1130" i="1"/>
  <c r="AZ1130" i="1"/>
  <c r="BA1129" i="1"/>
  <c r="AZ1129" i="1"/>
  <c r="BC1128" i="1"/>
  <c r="BA1128" i="1"/>
  <c r="AZ1128" i="1"/>
  <c r="AW1128" i="1"/>
  <c r="AX1128" i="1" s="1"/>
  <c r="AT1128" i="1" s="1"/>
  <c r="AY1128" i="1" s="1"/>
  <c r="AV1128" i="1"/>
  <c r="AV1129" i="1" s="1"/>
  <c r="BC1127" i="1"/>
  <c r="BA1127" i="1"/>
  <c r="AZ1127" i="1"/>
  <c r="AW1127" i="1"/>
  <c r="AX1127" i="1" s="1"/>
  <c r="AT1127" i="1" s="1"/>
  <c r="AY1127" i="1" s="1"/>
  <c r="AV1127" i="1"/>
  <c r="AU1127" i="1"/>
  <c r="AU1128" i="1" s="1"/>
  <c r="AU1129" i="1" s="1"/>
  <c r="AU1130" i="1" s="1"/>
  <c r="AU1131" i="1" s="1"/>
  <c r="AU1132" i="1" s="1"/>
  <c r="AU1133" i="1" s="1"/>
  <c r="AU1134" i="1" s="1"/>
  <c r="AU1135" i="1" s="1"/>
  <c r="BA1126" i="1"/>
  <c r="AZ1126" i="1"/>
  <c r="BA1125" i="1"/>
  <c r="AZ1125" i="1"/>
  <c r="BC1124" i="1"/>
  <c r="BA1124" i="1"/>
  <c r="BB1124" i="1" s="1"/>
  <c r="AZ1124" i="1"/>
  <c r="BA1123" i="1"/>
  <c r="AZ1123" i="1"/>
  <c r="BC1123" i="1" s="1"/>
  <c r="BC1122" i="1"/>
  <c r="BA1122" i="1"/>
  <c r="AZ1122" i="1"/>
  <c r="AW1122" i="1"/>
  <c r="AX1122" i="1" s="1"/>
  <c r="AT1122" i="1" s="1"/>
  <c r="AY1122" i="1" s="1"/>
  <c r="BA1121" i="1"/>
  <c r="AZ1121" i="1"/>
  <c r="AW1121" i="1"/>
  <c r="AX1121" i="1" s="1"/>
  <c r="AT1121" i="1" s="1"/>
  <c r="AY1121" i="1" s="1"/>
  <c r="AV1121" i="1"/>
  <c r="AV1122" i="1" s="1"/>
  <c r="AV1123" i="1" s="1"/>
  <c r="BC1120" i="1"/>
  <c r="BA1120" i="1"/>
  <c r="AZ1120" i="1"/>
  <c r="AW1120" i="1"/>
  <c r="AX1120" i="1" s="1"/>
  <c r="AT1120" i="1" s="1"/>
  <c r="AY1120" i="1" s="1"/>
  <c r="AV1120" i="1"/>
  <c r="BC1119" i="1"/>
  <c r="BA1119" i="1"/>
  <c r="AZ1119" i="1"/>
  <c r="BC1118" i="1"/>
  <c r="BA1118" i="1"/>
  <c r="BB1118" i="1" s="1"/>
  <c r="AZ1118" i="1"/>
  <c r="AW1118" i="1"/>
  <c r="AX1118" i="1" s="1"/>
  <c r="AT1118" i="1" s="1"/>
  <c r="AY1118" i="1" s="1"/>
  <c r="AV1118" i="1"/>
  <c r="AV1119" i="1" s="1"/>
  <c r="AW1119" i="1" s="1"/>
  <c r="AX1119" i="1" s="1"/>
  <c r="AT1119" i="1" s="1"/>
  <c r="AY1119" i="1" s="1"/>
  <c r="BA1117" i="1"/>
  <c r="AZ1117" i="1"/>
  <c r="BB1117" i="1" s="1"/>
  <c r="BC1116" i="1"/>
  <c r="BA1116" i="1"/>
  <c r="AZ1116" i="1"/>
  <c r="BA1115" i="1"/>
  <c r="AZ1115" i="1"/>
  <c r="BB1115" i="1" s="1"/>
  <c r="BA1114" i="1"/>
  <c r="AZ1114" i="1"/>
  <c r="BA1113" i="1"/>
  <c r="AZ1113" i="1"/>
  <c r="BB1113" i="1" s="1"/>
  <c r="BA1112" i="1"/>
  <c r="AZ1112" i="1"/>
  <c r="BA1111" i="1"/>
  <c r="BC1111" i="1" s="1"/>
  <c r="AZ1111" i="1"/>
  <c r="BA1110" i="1"/>
  <c r="BB1110" i="1" s="1"/>
  <c r="AZ1110" i="1"/>
  <c r="BA1109" i="1"/>
  <c r="AZ1109" i="1"/>
  <c r="AY1109" i="1"/>
  <c r="AW1109" i="1"/>
  <c r="AX1109" i="1" s="1"/>
  <c r="AT1109" i="1" s="1"/>
  <c r="BA1108" i="1"/>
  <c r="AZ1108" i="1"/>
  <c r="AY1108" i="1"/>
  <c r="AW1108" i="1"/>
  <c r="AX1108" i="1" s="1"/>
  <c r="AT1108" i="1" s="1"/>
  <c r="BC1107" i="1"/>
  <c r="BA1107" i="1"/>
  <c r="AZ1107" i="1"/>
  <c r="BB1107" i="1" s="1"/>
  <c r="AY1107" i="1"/>
  <c r="AW1107" i="1"/>
  <c r="AX1107" i="1" s="1"/>
  <c r="AT1107" i="1" s="1"/>
  <c r="AV1107" i="1"/>
  <c r="AV1108" i="1" s="1"/>
  <c r="AV1109" i="1" s="1"/>
  <c r="AV1110" i="1" s="1"/>
  <c r="AV1111" i="1" s="1"/>
  <c r="BA1106" i="1"/>
  <c r="AZ1106" i="1"/>
  <c r="BA1105" i="1"/>
  <c r="AZ1105" i="1"/>
  <c r="BB1105" i="1" s="1"/>
  <c r="BC1104" i="1"/>
  <c r="BA1104" i="1"/>
  <c r="BB1104" i="1" s="1"/>
  <c r="AZ1104" i="1"/>
  <c r="AY1104" i="1"/>
  <c r="AW1104" i="1"/>
  <c r="AX1104" i="1" s="1"/>
  <c r="AT1104" i="1" s="1"/>
  <c r="AV1104" i="1"/>
  <c r="AV1105" i="1" s="1"/>
  <c r="BA1103" i="1"/>
  <c r="BC1103" i="1" s="1"/>
  <c r="AZ1103" i="1"/>
  <c r="AW1103" i="1"/>
  <c r="AX1103" i="1" s="1"/>
  <c r="AT1103" i="1" s="1"/>
  <c r="AY1103" i="1" s="1"/>
  <c r="AV1103" i="1"/>
  <c r="BC1102" i="1"/>
  <c r="BA1102" i="1"/>
  <c r="AZ1102" i="1"/>
  <c r="AW1102" i="1"/>
  <c r="AX1102" i="1" s="1"/>
  <c r="AT1102" i="1" s="1"/>
  <c r="AY1102" i="1" s="1"/>
  <c r="AV1102" i="1"/>
  <c r="BA1101" i="1"/>
  <c r="AZ1101" i="1"/>
  <c r="BA1100" i="1"/>
  <c r="BB1100" i="1" s="1"/>
  <c r="AZ1100" i="1"/>
  <c r="BA1099" i="1"/>
  <c r="AZ1099" i="1"/>
  <c r="BB1099" i="1" s="1"/>
  <c r="BC1098" i="1"/>
  <c r="BA1098" i="1"/>
  <c r="BB1098" i="1" s="1"/>
  <c r="AZ1098" i="1"/>
  <c r="BA1097" i="1"/>
  <c r="AZ1097" i="1"/>
  <c r="BA1096" i="1"/>
  <c r="AZ1096" i="1"/>
  <c r="BC1095" i="1"/>
  <c r="BB1095" i="1"/>
  <c r="BA1095" i="1"/>
  <c r="AZ1095" i="1"/>
  <c r="BA1094" i="1"/>
  <c r="AZ1094" i="1"/>
  <c r="BC1093" i="1"/>
  <c r="BA1093" i="1"/>
  <c r="AZ1093" i="1"/>
  <c r="BA1092" i="1"/>
  <c r="BB1092" i="1" s="1"/>
  <c r="AZ1092" i="1"/>
  <c r="BC1092" i="1" s="1"/>
  <c r="AY1092" i="1"/>
  <c r="AW1092" i="1"/>
  <c r="AX1092" i="1" s="1"/>
  <c r="AT1092" i="1" s="1"/>
  <c r="BA1091" i="1"/>
  <c r="AZ1091" i="1"/>
  <c r="BB1091" i="1" s="1"/>
  <c r="AW1091" i="1"/>
  <c r="AX1091" i="1" s="1"/>
  <c r="AT1091" i="1" s="1"/>
  <c r="AY1091" i="1" s="1"/>
  <c r="BA1090" i="1"/>
  <c r="AZ1090" i="1"/>
  <c r="AY1090" i="1"/>
  <c r="AW1090" i="1"/>
  <c r="AX1090" i="1" s="1"/>
  <c r="AT1090" i="1" s="1"/>
  <c r="BA1089" i="1"/>
  <c r="AZ1089" i="1"/>
  <c r="AW1089" i="1"/>
  <c r="AX1089" i="1" s="1"/>
  <c r="AT1089" i="1" s="1"/>
  <c r="AY1089" i="1" s="1"/>
  <c r="AV1089" i="1"/>
  <c r="AV1090" i="1" s="1"/>
  <c r="AV1091" i="1" s="1"/>
  <c r="AV1092" i="1" s="1"/>
  <c r="AV1093" i="1" s="1"/>
  <c r="BC1088" i="1"/>
  <c r="BA1088" i="1"/>
  <c r="AZ1088" i="1"/>
  <c r="AW1088" i="1"/>
  <c r="AX1088" i="1" s="1"/>
  <c r="AT1088" i="1" s="1"/>
  <c r="AY1088" i="1" s="1"/>
  <c r="AV1088" i="1"/>
  <c r="BC1087" i="1"/>
  <c r="BA1087" i="1"/>
  <c r="AZ1087" i="1"/>
  <c r="AY1087" i="1"/>
  <c r="AV1087" i="1"/>
  <c r="AW1087" i="1" s="1"/>
  <c r="AX1087" i="1" s="1"/>
  <c r="AT1087" i="1" s="1"/>
  <c r="AU1087" i="1"/>
  <c r="AU1088" i="1" s="1"/>
  <c r="AU1089" i="1" s="1"/>
  <c r="AU1090" i="1" s="1"/>
  <c r="AU1091" i="1" s="1"/>
  <c r="AU1092" i="1" s="1"/>
  <c r="AU1093" i="1" s="1"/>
  <c r="AU1094" i="1" s="1"/>
  <c r="AU1095" i="1" s="1"/>
  <c r="AU1096" i="1" s="1"/>
  <c r="AU1097" i="1" s="1"/>
  <c r="AU1098" i="1" s="1"/>
  <c r="AU1099" i="1" s="1"/>
  <c r="AU1100" i="1" s="1"/>
  <c r="AU1101" i="1" s="1"/>
  <c r="AU1102" i="1" s="1"/>
  <c r="AU1103" i="1" s="1"/>
  <c r="AU1104" i="1" s="1"/>
  <c r="AU1105" i="1" s="1"/>
  <c r="AU1106" i="1" s="1"/>
  <c r="AU1107" i="1" s="1"/>
  <c r="AU1108" i="1" s="1"/>
  <c r="AU1109" i="1" s="1"/>
  <c r="AU1110" i="1" s="1"/>
  <c r="AU1111" i="1" s="1"/>
  <c r="AU1112" i="1" s="1"/>
  <c r="AU1113" i="1" s="1"/>
  <c r="AU1114" i="1" s="1"/>
  <c r="AU1115" i="1" s="1"/>
  <c r="AU1116" i="1" s="1"/>
  <c r="AU1117" i="1" s="1"/>
  <c r="AU1118" i="1" s="1"/>
  <c r="AU1119" i="1" s="1"/>
  <c r="AU1120" i="1" s="1"/>
  <c r="AU1121" i="1" s="1"/>
  <c r="AU1122" i="1" s="1"/>
  <c r="AU1123" i="1" s="1"/>
  <c r="AU1124" i="1" s="1"/>
  <c r="AU1125" i="1" s="1"/>
  <c r="AU1126" i="1" s="1"/>
  <c r="BA1086" i="1"/>
  <c r="AZ1086" i="1"/>
  <c r="BC1086" i="1" s="1"/>
  <c r="AY1086" i="1"/>
  <c r="AW1086" i="1"/>
  <c r="AX1086" i="1" s="1"/>
  <c r="AT1086" i="1" s="1"/>
  <c r="BA1085" i="1"/>
  <c r="BC1085" i="1" s="1"/>
  <c r="AZ1085" i="1"/>
  <c r="AW1085" i="1"/>
  <c r="AX1085" i="1" s="1"/>
  <c r="AT1085" i="1" s="1"/>
  <c r="AY1085" i="1" s="1"/>
  <c r="BA1084" i="1"/>
  <c r="AZ1084" i="1"/>
  <c r="AY1084" i="1"/>
  <c r="AW1084" i="1"/>
  <c r="AX1084" i="1" s="1"/>
  <c r="AT1084" i="1" s="1"/>
  <c r="BC1083" i="1"/>
  <c r="BA1083" i="1"/>
  <c r="AZ1083" i="1"/>
  <c r="BB1083" i="1" s="1"/>
  <c r="AW1083" i="1"/>
  <c r="AX1083" i="1" s="1"/>
  <c r="AT1083" i="1" s="1"/>
  <c r="AY1083" i="1" s="1"/>
  <c r="AV1083" i="1"/>
  <c r="AV1084" i="1" s="1"/>
  <c r="AV1085" i="1" s="1"/>
  <c r="AV1086" i="1" s="1"/>
  <c r="BA1082" i="1"/>
  <c r="AZ1082" i="1"/>
  <c r="BC1082" i="1" s="1"/>
  <c r="BA1081" i="1"/>
  <c r="AZ1081" i="1"/>
  <c r="BC1080" i="1"/>
  <c r="BA1080" i="1"/>
  <c r="AZ1080" i="1"/>
  <c r="AY1080" i="1"/>
  <c r="AW1080" i="1"/>
  <c r="AX1080" i="1" s="1"/>
  <c r="AT1080" i="1" s="1"/>
  <c r="AV1080" i="1"/>
  <c r="AV1081" i="1" s="1"/>
  <c r="BA1079" i="1"/>
  <c r="BC1079" i="1" s="1"/>
  <c r="AZ1079" i="1"/>
  <c r="BA1078" i="1"/>
  <c r="AZ1078" i="1"/>
  <c r="BC1078" i="1" s="1"/>
  <c r="BA1077" i="1"/>
  <c r="BC1077" i="1" s="1"/>
  <c r="AZ1077" i="1"/>
  <c r="BA1076" i="1"/>
  <c r="AZ1076" i="1"/>
  <c r="BC1075" i="1"/>
  <c r="BA1075" i="1"/>
  <c r="AZ1075" i="1"/>
  <c r="BA1074" i="1"/>
  <c r="AZ1074" i="1"/>
  <c r="AW1074" i="1"/>
  <c r="AX1074" i="1" s="1"/>
  <c r="AT1074" i="1" s="1"/>
  <c r="AY1074" i="1" s="1"/>
  <c r="BA1073" i="1"/>
  <c r="AZ1073" i="1"/>
  <c r="BA1072" i="1"/>
  <c r="AZ1072" i="1"/>
  <c r="BC1071" i="1"/>
  <c r="BB1071" i="1"/>
  <c r="BA1071" i="1"/>
  <c r="AZ1071" i="1"/>
  <c r="AW1071" i="1"/>
  <c r="AX1071" i="1" s="1"/>
  <c r="AT1071" i="1" s="1"/>
  <c r="AY1071" i="1" s="1"/>
  <c r="AV1071" i="1"/>
  <c r="AV1072" i="1" s="1"/>
  <c r="AV1073" i="1" s="1"/>
  <c r="AV1074" i="1" s="1"/>
  <c r="AV1075" i="1" s="1"/>
  <c r="BC1070" i="1"/>
  <c r="BA1070" i="1"/>
  <c r="AZ1070" i="1"/>
  <c r="AW1070" i="1"/>
  <c r="AX1070" i="1" s="1"/>
  <c r="AT1070" i="1" s="1"/>
  <c r="AY1070" i="1" s="1"/>
  <c r="AV1070" i="1"/>
  <c r="BA1069" i="1"/>
  <c r="AZ1069" i="1"/>
  <c r="BC1068" i="1"/>
  <c r="BA1068" i="1"/>
  <c r="BB1068" i="1" s="1"/>
  <c r="AZ1068" i="1"/>
  <c r="AW1068" i="1"/>
  <c r="AX1068" i="1" s="1"/>
  <c r="AT1068" i="1" s="1"/>
  <c r="AY1068" i="1" s="1"/>
  <c r="AV1068" i="1"/>
  <c r="AV1069" i="1" s="1"/>
  <c r="AW1069" i="1" s="1"/>
  <c r="AX1069" i="1" s="1"/>
  <c r="AT1069" i="1" s="1"/>
  <c r="AY1069" i="1" s="1"/>
  <c r="BA1067" i="1"/>
  <c r="AZ1067" i="1"/>
  <c r="BA1066" i="1"/>
  <c r="AZ1066" i="1"/>
  <c r="BC1065" i="1"/>
  <c r="BA1065" i="1"/>
  <c r="BB1065" i="1" s="1"/>
  <c r="AZ1065" i="1"/>
  <c r="AW1065" i="1"/>
  <c r="AX1065" i="1" s="1"/>
  <c r="AT1065" i="1" s="1"/>
  <c r="AY1065" i="1" s="1"/>
  <c r="AV1065" i="1"/>
  <c r="AV1066" i="1" s="1"/>
  <c r="AV1067" i="1" s="1"/>
  <c r="AW1067" i="1" s="1"/>
  <c r="AX1067" i="1" s="1"/>
  <c r="AT1067" i="1" s="1"/>
  <c r="AY1067" i="1" s="1"/>
  <c r="BA1064" i="1"/>
  <c r="AZ1064" i="1"/>
  <c r="BA1063" i="1"/>
  <c r="AZ1063" i="1"/>
  <c r="BA1062" i="1"/>
  <c r="AZ1062" i="1"/>
  <c r="BA1061" i="1"/>
  <c r="BC1061" i="1" s="1"/>
  <c r="AZ1061" i="1"/>
  <c r="BA1060" i="1"/>
  <c r="AZ1060" i="1"/>
  <c r="BA1059" i="1"/>
  <c r="AZ1059" i="1"/>
  <c r="BA1058" i="1"/>
  <c r="AZ1058" i="1"/>
  <c r="BA1057" i="1"/>
  <c r="AZ1057" i="1"/>
  <c r="BC1056" i="1"/>
  <c r="BA1056" i="1"/>
  <c r="BB1056" i="1" s="1"/>
  <c r="AZ1056" i="1"/>
  <c r="BA1055" i="1"/>
  <c r="AZ1055" i="1"/>
  <c r="AU1055" i="1"/>
  <c r="AU1056" i="1" s="1"/>
  <c r="AU1057" i="1" s="1"/>
  <c r="AU1058" i="1" s="1"/>
  <c r="AU1059" i="1" s="1"/>
  <c r="AU1060" i="1" s="1"/>
  <c r="AU1061" i="1" s="1"/>
  <c r="AU1062" i="1" s="1"/>
  <c r="AU1063" i="1" s="1"/>
  <c r="AU1064" i="1" s="1"/>
  <c r="AU1065" i="1" s="1"/>
  <c r="AU1066" i="1" s="1"/>
  <c r="AU1067" i="1" s="1"/>
  <c r="AU1068" i="1" s="1"/>
  <c r="AU1069" i="1" s="1"/>
  <c r="AU1070" i="1" s="1"/>
  <c r="AU1071" i="1" s="1"/>
  <c r="AU1072" i="1" s="1"/>
  <c r="AU1073" i="1" s="1"/>
  <c r="AU1074" i="1" s="1"/>
  <c r="AU1075" i="1" s="1"/>
  <c r="AU1076" i="1" s="1"/>
  <c r="AU1077" i="1" s="1"/>
  <c r="AU1078" i="1" s="1"/>
  <c r="AU1079" i="1" s="1"/>
  <c r="AU1080" i="1" s="1"/>
  <c r="AU1081" i="1" s="1"/>
  <c r="AU1082" i="1" s="1"/>
  <c r="AU1083" i="1" s="1"/>
  <c r="AU1084" i="1" s="1"/>
  <c r="AU1085" i="1" s="1"/>
  <c r="AU1086" i="1" s="1"/>
  <c r="BA1054" i="1"/>
  <c r="AZ1054" i="1"/>
  <c r="BC1054" i="1" s="1"/>
  <c r="BC1053" i="1"/>
  <c r="BA1053" i="1"/>
  <c r="AZ1053" i="1"/>
  <c r="BB1053" i="1" s="1"/>
  <c r="AY1053" i="1"/>
  <c r="AW1053" i="1"/>
  <c r="AX1053" i="1" s="1"/>
  <c r="AT1053" i="1" s="1"/>
  <c r="AV1053" i="1"/>
  <c r="AV1054" i="1" s="1"/>
  <c r="BA1052" i="1"/>
  <c r="AZ1052" i="1"/>
  <c r="BC1052" i="1" s="1"/>
  <c r="AW1052" i="1"/>
  <c r="AX1052" i="1" s="1"/>
  <c r="AT1052" i="1" s="1"/>
  <c r="AY1052" i="1" s="1"/>
  <c r="AV1052" i="1"/>
  <c r="BC1051" i="1"/>
  <c r="BA1051" i="1"/>
  <c r="AZ1051" i="1"/>
  <c r="BB1051" i="1" s="1"/>
  <c r="AV1051" i="1"/>
  <c r="AW1051" i="1" s="1"/>
  <c r="AX1051" i="1" s="1"/>
  <c r="AT1051" i="1" s="1"/>
  <c r="AY1051" i="1" s="1"/>
  <c r="AU1051" i="1"/>
  <c r="AU1052" i="1" s="1"/>
  <c r="AU1053" i="1" s="1"/>
  <c r="AU1054" i="1" s="1"/>
  <c r="BC1050" i="1"/>
  <c r="BA1050" i="1"/>
  <c r="BB1050" i="1" s="1"/>
  <c r="AZ1050" i="1"/>
  <c r="AW1050" i="1"/>
  <c r="AX1050" i="1" s="1"/>
  <c r="AT1050" i="1" s="1"/>
  <c r="AY1050" i="1" s="1"/>
  <c r="AV1050" i="1"/>
  <c r="AU1050" i="1"/>
  <c r="BA1049" i="1"/>
  <c r="BC1049" i="1" s="1"/>
  <c r="AZ1049" i="1"/>
  <c r="BA1048" i="1"/>
  <c r="AZ1048" i="1"/>
  <c r="BC1048" i="1" s="1"/>
  <c r="BA1047" i="1"/>
  <c r="BC1047" i="1" s="1"/>
  <c r="AZ1047" i="1"/>
  <c r="AW1047" i="1"/>
  <c r="AX1047" i="1" s="1"/>
  <c r="AT1047" i="1" s="1"/>
  <c r="AY1047" i="1" s="1"/>
  <c r="BA1046" i="1"/>
  <c r="AZ1046" i="1"/>
  <c r="BC1046" i="1" s="1"/>
  <c r="AW1046" i="1"/>
  <c r="AX1046" i="1" s="1"/>
  <c r="AT1046" i="1" s="1"/>
  <c r="AY1046" i="1" s="1"/>
  <c r="BC1045" i="1"/>
  <c r="BA1045" i="1"/>
  <c r="BB1045" i="1" s="1"/>
  <c r="AZ1045" i="1"/>
  <c r="AW1045" i="1"/>
  <c r="AX1045" i="1" s="1"/>
  <c r="AT1045" i="1" s="1"/>
  <c r="AY1045" i="1" s="1"/>
  <c r="AV1045" i="1"/>
  <c r="AV1046" i="1" s="1"/>
  <c r="AV1047" i="1" s="1"/>
  <c r="AV1048" i="1" s="1"/>
  <c r="BA1044" i="1"/>
  <c r="AZ1044" i="1"/>
  <c r="AY1044" i="1"/>
  <c r="AW1044" i="1"/>
  <c r="AX1044" i="1" s="1"/>
  <c r="AT1044" i="1" s="1"/>
  <c r="AV1044" i="1"/>
  <c r="BC1043" i="1"/>
  <c r="BA1043" i="1"/>
  <c r="AZ1043" i="1"/>
  <c r="BB1043" i="1" s="1"/>
  <c r="AX1043" i="1"/>
  <c r="AT1043" i="1" s="1"/>
  <c r="AY1043" i="1" s="1"/>
  <c r="AW1043" i="1"/>
  <c r="AV1043" i="1"/>
  <c r="BA1042" i="1"/>
  <c r="AZ1042" i="1"/>
  <c r="AV1042" i="1"/>
  <c r="AW1042" i="1" s="1"/>
  <c r="AX1042" i="1" s="1"/>
  <c r="AT1042" i="1" s="1"/>
  <c r="AY1042" i="1" s="1"/>
  <c r="BC1041" i="1"/>
  <c r="BA1041" i="1"/>
  <c r="AZ1041" i="1"/>
  <c r="BB1041" i="1" s="1"/>
  <c r="AX1041" i="1"/>
  <c r="AT1041" i="1" s="1"/>
  <c r="AY1041" i="1" s="1"/>
  <c r="AW1041" i="1"/>
  <c r="AV1041" i="1"/>
  <c r="BA1040" i="1"/>
  <c r="BC1040" i="1" s="1"/>
  <c r="AZ1040" i="1"/>
  <c r="BA1039" i="1"/>
  <c r="BB1039" i="1" s="1"/>
  <c r="AZ1039" i="1"/>
  <c r="BA1038" i="1"/>
  <c r="BC1038" i="1" s="1"/>
  <c r="AZ1038" i="1"/>
  <c r="BA1037" i="1"/>
  <c r="AZ1037" i="1"/>
  <c r="BB1036" i="1"/>
  <c r="BA1036" i="1"/>
  <c r="AZ1036" i="1"/>
  <c r="BC1036" i="1" s="1"/>
  <c r="BA1035" i="1"/>
  <c r="BC1035" i="1" s="1"/>
  <c r="AZ1035" i="1"/>
  <c r="BA1034" i="1"/>
  <c r="AZ1034" i="1"/>
  <c r="BA1033" i="1"/>
  <c r="AZ1033" i="1"/>
  <c r="BA1032" i="1"/>
  <c r="AZ1032" i="1"/>
  <c r="BA1031" i="1"/>
  <c r="AZ1031" i="1"/>
  <c r="BA1030" i="1"/>
  <c r="AZ1030" i="1"/>
  <c r="BA1029" i="1"/>
  <c r="AZ1029" i="1"/>
  <c r="AU1029" i="1"/>
  <c r="AU1030" i="1" s="1"/>
  <c r="AU1031" i="1" s="1"/>
  <c r="AU1032" i="1" s="1"/>
  <c r="AU1033" i="1" s="1"/>
  <c r="AU1034" i="1" s="1"/>
  <c r="AU1035" i="1" s="1"/>
  <c r="AU1036" i="1" s="1"/>
  <c r="AU1037" i="1" s="1"/>
  <c r="AU1038" i="1" s="1"/>
  <c r="AU1039" i="1" s="1"/>
  <c r="AU1040" i="1" s="1"/>
  <c r="AU1041" i="1" s="1"/>
  <c r="AU1042" i="1" s="1"/>
  <c r="AU1043" i="1" s="1"/>
  <c r="AU1044" i="1" s="1"/>
  <c r="AU1045" i="1" s="1"/>
  <c r="AU1046" i="1" s="1"/>
  <c r="AU1047" i="1" s="1"/>
  <c r="AU1048" i="1" s="1"/>
  <c r="AU1049" i="1" s="1"/>
  <c r="BA1028" i="1"/>
  <c r="AZ1028" i="1"/>
  <c r="AW1028" i="1"/>
  <c r="AX1028" i="1" s="1"/>
  <c r="AT1028" i="1" s="1"/>
  <c r="AY1028" i="1" s="1"/>
  <c r="AV1028" i="1"/>
  <c r="AV1029" i="1" s="1"/>
  <c r="AV1030" i="1" s="1"/>
  <c r="AU1028" i="1"/>
  <c r="BC1027" i="1"/>
  <c r="BA1027" i="1"/>
  <c r="AZ1027" i="1"/>
  <c r="BB1027" i="1" s="1"/>
  <c r="AV1027" i="1"/>
  <c r="AW1027" i="1" s="1"/>
  <c r="AX1027" i="1" s="1"/>
  <c r="AT1027" i="1" s="1"/>
  <c r="AY1027" i="1" s="1"/>
  <c r="AU1027" i="1"/>
  <c r="BC1026" i="1"/>
  <c r="BA1026" i="1"/>
  <c r="AZ1026" i="1"/>
  <c r="BB1026" i="1" s="1"/>
  <c r="AW1026" i="1"/>
  <c r="AX1026" i="1" s="1"/>
  <c r="AT1026" i="1" s="1"/>
  <c r="AY1026" i="1" s="1"/>
  <c r="AV1026" i="1"/>
  <c r="AU1026" i="1"/>
  <c r="BA1025" i="1"/>
  <c r="AZ1025" i="1"/>
  <c r="BA1024" i="1"/>
  <c r="AZ1024" i="1"/>
  <c r="BC1023" i="1"/>
  <c r="BA1023" i="1"/>
  <c r="AZ1023" i="1"/>
  <c r="AV1023" i="1"/>
  <c r="BA1022" i="1"/>
  <c r="AZ1022" i="1"/>
  <c r="BA1021" i="1"/>
  <c r="AZ1021" i="1"/>
  <c r="AV1021" i="1"/>
  <c r="BC1020" i="1"/>
  <c r="BA1020" i="1"/>
  <c r="AZ1020" i="1"/>
  <c r="BB1020" i="1" s="1"/>
  <c r="AW1020" i="1"/>
  <c r="AX1020" i="1" s="1"/>
  <c r="AV1020" i="1"/>
  <c r="AT1020" i="1"/>
  <c r="AY1020" i="1" s="1"/>
  <c r="BC1019" i="1"/>
  <c r="BA1019" i="1"/>
  <c r="AZ1019" i="1"/>
  <c r="BB1019" i="1" s="1"/>
  <c r="BA1018" i="1"/>
  <c r="AZ1018" i="1"/>
  <c r="AV1018" i="1"/>
  <c r="BC1017" i="1"/>
  <c r="BA1017" i="1"/>
  <c r="AZ1017" i="1"/>
  <c r="AX1017" i="1"/>
  <c r="AT1017" i="1" s="1"/>
  <c r="AY1017" i="1" s="1"/>
  <c r="AW1017" i="1"/>
  <c r="AV1017" i="1"/>
  <c r="BC1016" i="1"/>
  <c r="BA1016" i="1"/>
  <c r="AZ1016" i="1"/>
  <c r="BB1016" i="1" s="1"/>
  <c r="BA1015" i="1"/>
  <c r="AZ1015" i="1"/>
  <c r="BC1014" i="1"/>
  <c r="BA1014" i="1"/>
  <c r="AZ1014" i="1"/>
  <c r="BB1014" i="1" s="1"/>
  <c r="BA1013" i="1"/>
  <c r="AZ1013" i="1"/>
  <c r="BB1013" i="1" s="1"/>
  <c r="BC1012" i="1"/>
  <c r="BA1012" i="1"/>
  <c r="AZ1012" i="1"/>
  <c r="BB1012" i="1" s="1"/>
  <c r="BA1011" i="1"/>
  <c r="AZ1011" i="1"/>
  <c r="BA1010" i="1"/>
  <c r="AZ1010" i="1"/>
  <c r="BC1010" i="1" s="1"/>
  <c r="BA1009" i="1"/>
  <c r="AZ1009" i="1"/>
  <c r="BA1008" i="1"/>
  <c r="BC1008" i="1" s="1"/>
  <c r="AZ1008" i="1"/>
  <c r="BA1007" i="1"/>
  <c r="AZ1007" i="1"/>
  <c r="BB1007" i="1" s="1"/>
  <c r="BC1006" i="1"/>
  <c r="BA1006" i="1"/>
  <c r="AZ1006" i="1"/>
  <c r="BA1005" i="1"/>
  <c r="BB1005" i="1" s="1"/>
  <c r="AZ1005" i="1"/>
  <c r="BC1005" i="1" s="1"/>
  <c r="BA1004" i="1"/>
  <c r="BC1004" i="1" s="1"/>
  <c r="AZ1004" i="1"/>
  <c r="AV1004" i="1"/>
  <c r="AU1004" i="1"/>
  <c r="AU1005" i="1" s="1"/>
  <c r="AU1006" i="1" s="1"/>
  <c r="AU1007" i="1" s="1"/>
  <c r="AU1008" i="1" s="1"/>
  <c r="AU1009" i="1" s="1"/>
  <c r="AU1010" i="1" s="1"/>
  <c r="AU1011" i="1" s="1"/>
  <c r="AU1012" i="1" s="1"/>
  <c r="AU1013" i="1" s="1"/>
  <c r="AU1014" i="1" s="1"/>
  <c r="AU1015" i="1" s="1"/>
  <c r="AU1016" i="1" s="1"/>
  <c r="AU1017" i="1" s="1"/>
  <c r="AU1018" i="1" s="1"/>
  <c r="AU1019" i="1" s="1"/>
  <c r="AU1020" i="1" s="1"/>
  <c r="AU1021" i="1" s="1"/>
  <c r="AU1022" i="1" s="1"/>
  <c r="AU1023" i="1" s="1"/>
  <c r="AU1024" i="1" s="1"/>
  <c r="AU1025" i="1" s="1"/>
  <c r="BC1003" i="1"/>
  <c r="BA1003" i="1"/>
  <c r="AZ1003" i="1"/>
  <c r="AY1003" i="1"/>
  <c r="AX1003" i="1"/>
  <c r="AW1003" i="1"/>
  <c r="AV1003" i="1"/>
  <c r="AT1003" i="1"/>
  <c r="BC1002" i="1"/>
  <c r="BA1002" i="1"/>
  <c r="AZ1002" i="1"/>
  <c r="AY1002" i="1"/>
  <c r="AW1002" i="1"/>
  <c r="AX1002" i="1" s="1"/>
  <c r="AT1002" i="1" s="1"/>
  <c r="AV1002" i="1"/>
  <c r="AU1002" i="1"/>
  <c r="AU1003" i="1" s="1"/>
  <c r="BB1001" i="1"/>
  <c r="BA1001" i="1"/>
  <c r="AZ1001" i="1"/>
  <c r="BA1000" i="1"/>
  <c r="AZ1000" i="1"/>
  <c r="BA999" i="1"/>
  <c r="AZ999" i="1"/>
  <c r="BA998" i="1"/>
  <c r="AZ998" i="1"/>
  <c r="AV998" i="1"/>
  <c r="BC997" i="1"/>
  <c r="BA997" i="1"/>
  <c r="AZ997" i="1"/>
  <c r="BB997" i="1" s="1"/>
  <c r="BA996" i="1"/>
  <c r="AZ996" i="1"/>
  <c r="AV996" i="1"/>
  <c r="AV997" i="1" s="1"/>
  <c r="AW997" i="1" s="1"/>
  <c r="AX997" i="1" s="1"/>
  <c r="AT997" i="1" s="1"/>
  <c r="AY997" i="1" s="1"/>
  <c r="BC995" i="1"/>
  <c r="BA995" i="1"/>
  <c r="AZ995" i="1"/>
  <c r="AW995" i="1"/>
  <c r="AX995" i="1" s="1"/>
  <c r="AT995" i="1" s="1"/>
  <c r="AY995" i="1" s="1"/>
  <c r="AV995" i="1"/>
  <c r="BA994" i="1"/>
  <c r="BC994" i="1" s="1"/>
  <c r="AZ994" i="1"/>
  <c r="BA993" i="1"/>
  <c r="AZ993" i="1"/>
  <c r="AW993" i="1"/>
  <c r="AX993" i="1" s="1"/>
  <c r="AT993" i="1" s="1"/>
  <c r="AY993" i="1" s="1"/>
  <c r="BA992" i="1"/>
  <c r="AZ992" i="1"/>
  <c r="AY992" i="1"/>
  <c r="AW992" i="1"/>
  <c r="AX992" i="1" s="1"/>
  <c r="AT992" i="1" s="1"/>
  <c r="BC991" i="1"/>
  <c r="BA991" i="1"/>
  <c r="AZ991" i="1"/>
  <c r="AW991" i="1"/>
  <c r="AX991" i="1" s="1"/>
  <c r="AT991" i="1" s="1"/>
  <c r="AY991" i="1" s="1"/>
  <c r="AV991" i="1"/>
  <c r="AV992" i="1" s="1"/>
  <c r="AV993" i="1" s="1"/>
  <c r="AV994" i="1" s="1"/>
  <c r="AW994" i="1" s="1"/>
  <c r="AX994" i="1" s="1"/>
  <c r="AT994" i="1" s="1"/>
  <c r="AY994" i="1" s="1"/>
  <c r="BA990" i="1"/>
  <c r="AZ990" i="1"/>
  <c r="BC989" i="1"/>
  <c r="BB989" i="1"/>
  <c r="BA989" i="1"/>
  <c r="AZ989" i="1"/>
  <c r="AW989" i="1"/>
  <c r="AX989" i="1" s="1"/>
  <c r="AT989" i="1" s="1"/>
  <c r="AY989" i="1" s="1"/>
  <c r="AV989" i="1"/>
  <c r="AV990" i="1" s="1"/>
  <c r="AW990" i="1" s="1"/>
  <c r="AX990" i="1" s="1"/>
  <c r="AT990" i="1" s="1"/>
  <c r="AY990" i="1" s="1"/>
  <c r="BA988" i="1"/>
  <c r="AZ988" i="1"/>
  <c r="BC988" i="1" s="1"/>
  <c r="AY988" i="1"/>
  <c r="AW988" i="1"/>
  <c r="AX988" i="1" s="1"/>
  <c r="AT988" i="1" s="1"/>
  <c r="BA987" i="1"/>
  <c r="AZ987" i="1"/>
  <c r="AW987" i="1"/>
  <c r="AX987" i="1" s="1"/>
  <c r="AT987" i="1" s="1"/>
  <c r="AY987" i="1" s="1"/>
  <c r="BA986" i="1"/>
  <c r="BB986" i="1" s="1"/>
  <c r="AZ986" i="1"/>
  <c r="AW986" i="1"/>
  <c r="AX986" i="1" s="1"/>
  <c r="AT986" i="1" s="1"/>
  <c r="AY986" i="1" s="1"/>
  <c r="AV986" i="1"/>
  <c r="AV987" i="1" s="1"/>
  <c r="AV988" i="1" s="1"/>
  <c r="BC985" i="1"/>
  <c r="BA985" i="1"/>
  <c r="AZ985" i="1"/>
  <c r="AW985" i="1"/>
  <c r="AX985" i="1" s="1"/>
  <c r="AT985" i="1" s="1"/>
  <c r="AY985" i="1" s="1"/>
  <c r="AV985" i="1"/>
  <c r="BA984" i="1"/>
  <c r="AZ984" i="1"/>
  <c r="BC984" i="1" s="1"/>
  <c r="AV984" i="1"/>
  <c r="AW984" i="1" s="1"/>
  <c r="AX984" i="1" s="1"/>
  <c r="AT984" i="1" s="1"/>
  <c r="AY984" i="1" s="1"/>
  <c r="BA983" i="1"/>
  <c r="AZ983" i="1"/>
  <c r="AV983" i="1"/>
  <c r="AW983" i="1" s="1"/>
  <c r="AX983" i="1" s="1"/>
  <c r="AT983" i="1" s="1"/>
  <c r="AY983" i="1" s="1"/>
  <c r="BB982" i="1"/>
  <c r="BA982" i="1"/>
  <c r="AZ982" i="1"/>
  <c r="BC982" i="1" s="1"/>
  <c r="AW982" i="1"/>
  <c r="AX982" i="1" s="1"/>
  <c r="AT982" i="1" s="1"/>
  <c r="AY982" i="1" s="1"/>
  <c r="AV982" i="1"/>
  <c r="BC981" i="1"/>
  <c r="BA981" i="1"/>
  <c r="AZ981" i="1"/>
  <c r="AW981" i="1"/>
  <c r="AX981" i="1" s="1"/>
  <c r="AT981" i="1" s="1"/>
  <c r="AY981" i="1" s="1"/>
  <c r="AV981" i="1"/>
  <c r="BA980" i="1"/>
  <c r="AZ980" i="1"/>
  <c r="BC979" i="1"/>
  <c r="BA979" i="1"/>
  <c r="BB979" i="1" s="1"/>
  <c r="AZ979" i="1"/>
  <c r="BA978" i="1"/>
  <c r="AZ978" i="1"/>
  <c r="BA977" i="1"/>
  <c r="AZ977" i="1"/>
  <c r="BC976" i="1"/>
  <c r="BA976" i="1"/>
  <c r="AZ976" i="1"/>
  <c r="BA975" i="1"/>
  <c r="AZ975" i="1"/>
  <c r="BA974" i="1"/>
  <c r="AZ974" i="1"/>
  <c r="BA973" i="1"/>
  <c r="AZ973" i="1"/>
  <c r="BC973" i="1" s="1"/>
  <c r="BA972" i="1"/>
  <c r="AZ972" i="1"/>
  <c r="BA971" i="1"/>
  <c r="AZ971" i="1"/>
  <c r="BA970" i="1"/>
  <c r="AZ970" i="1"/>
  <c r="BB969" i="1"/>
  <c r="BA969" i="1"/>
  <c r="AZ969" i="1"/>
  <c r="BC969" i="1" s="1"/>
  <c r="AU969" i="1"/>
  <c r="AU970" i="1" s="1"/>
  <c r="AU971" i="1" s="1"/>
  <c r="AU972" i="1" s="1"/>
  <c r="AU973" i="1" s="1"/>
  <c r="AU974" i="1" s="1"/>
  <c r="AU975" i="1" s="1"/>
  <c r="AU976" i="1" s="1"/>
  <c r="AU977" i="1" s="1"/>
  <c r="AU978" i="1" s="1"/>
  <c r="AU979" i="1" s="1"/>
  <c r="AU980" i="1" s="1"/>
  <c r="AU981" i="1" s="1"/>
  <c r="AU982" i="1" s="1"/>
  <c r="AU983" i="1" s="1"/>
  <c r="AU984" i="1" s="1"/>
  <c r="AU985" i="1" s="1"/>
  <c r="AU986" i="1" s="1"/>
  <c r="AU987" i="1" s="1"/>
  <c r="AU988" i="1" s="1"/>
  <c r="AU989" i="1" s="1"/>
  <c r="AU990" i="1" s="1"/>
  <c r="AU991" i="1" s="1"/>
  <c r="AU992" i="1" s="1"/>
  <c r="AU993" i="1" s="1"/>
  <c r="AU994" i="1" s="1"/>
  <c r="AU995" i="1" s="1"/>
  <c r="AU996" i="1" s="1"/>
  <c r="AU997" i="1" s="1"/>
  <c r="AU998" i="1" s="1"/>
  <c r="AU999" i="1" s="1"/>
  <c r="AU1000" i="1" s="1"/>
  <c r="AU1001" i="1" s="1"/>
  <c r="BA968" i="1"/>
  <c r="AZ968" i="1"/>
  <c r="BC967" i="1"/>
  <c r="BA967" i="1"/>
  <c r="AZ967" i="1"/>
  <c r="BB967" i="1" s="1"/>
  <c r="AV967" i="1"/>
  <c r="AU967" i="1"/>
  <c r="AU968" i="1" s="1"/>
  <c r="BC966" i="1"/>
  <c r="BA966" i="1"/>
  <c r="AZ966" i="1"/>
  <c r="BB966" i="1" s="1"/>
  <c r="AX966" i="1"/>
  <c r="AT966" i="1" s="1"/>
  <c r="AY966" i="1" s="1"/>
  <c r="AW966" i="1"/>
  <c r="AV966" i="1"/>
  <c r="AU966" i="1"/>
  <c r="BA965" i="1"/>
  <c r="AZ965" i="1"/>
  <c r="BC965" i="1" s="1"/>
  <c r="AV965" i="1"/>
  <c r="AW965" i="1" s="1"/>
  <c r="AX965" i="1" s="1"/>
  <c r="AT965" i="1" s="1"/>
  <c r="AY965" i="1" s="1"/>
  <c r="BA964" i="1"/>
  <c r="AZ964" i="1"/>
  <c r="AT964" i="1"/>
  <c r="AY964" i="1" s="1"/>
  <c r="BA963" i="1"/>
  <c r="AZ963" i="1"/>
  <c r="BC963" i="1" s="1"/>
  <c r="AW963" i="1"/>
  <c r="AX963" i="1" s="1"/>
  <c r="AT963" i="1" s="1"/>
  <c r="AY963" i="1" s="1"/>
  <c r="BA962" i="1"/>
  <c r="AZ962" i="1"/>
  <c r="AY962" i="1"/>
  <c r="AW962" i="1"/>
  <c r="AX962" i="1" s="1"/>
  <c r="AT962" i="1" s="1"/>
  <c r="BC961" i="1"/>
  <c r="BB961" i="1"/>
  <c r="BA961" i="1"/>
  <c r="AZ961" i="1"/>
  <c r="AW961" i="1"/>
  <c r="AX961" i="1" s="1"/>
  <c r="AT961" i="1" s="1"/>
  <c r="AY961" i="1" s="1"/>
  <c r="AV961" i="1"/>
  <c r="AV962" i="1" s="1"/>
  <c r="AV963" i="1" s="1"/>
  <c r="AV964" i="1" s="1"/>
  <c r="AW964" i="1" s="1"/>
  <c r="AX964" i="1" s="1"/>
  <c r="BA960" i="1"/>
  <c r="AZ960" i="1"/>
  <c r="AT960" i="1"/>
  <c r="AY960" i="1" s="1"/>
  <c r="BC959" i="1"/>
  <c r="BA959" i="1"/>
  <c r="AZ959" i="1"/>
  <c r="AX959" i="1"/>
  <c r="AT959" i="1" s="1"/>
  <c r="AY959" i="1" s="1"/>
  <c r="AW959" i="1"/>
  <c r="AV959" i="1"/>
  <c r="AV960" i="1" s="1"/>
  <c r="AW960" i="1" s="1"/>
  <c r="AX960" i="1" s="1"/>
  <c r="BA958" i="1"/>
  <c r="AZ958" i="1"/>
  <c r="BC958" i="1" s="1"/>
  <c r="BA957" i="1"/>
  <c r="AZ957" i="1"/>
  <c r="BC956" i="1"/>
  <c r="BA956" i="1"/>
  <c r="AZ956" i="1"/>
  <c r="BB956" i="1" s="1"/>
  <c r="BC955" i="1"/>
  <c r="BA955" i="1"/>
  <c r="AZ955" i="1"/>
  <c r="BB955" i="1" s="1"/>
  <c r="AV955" i="1"/>
  <c r="AW955" i="1" s="1"/>
  <c r="AX955" i="1" s="1"/>
  <c r="AT955" i="1"/>
  <c r="AY955" i="1" s="1"/>
  <c r="BA954" i="1"/>
  <c r="AZ954" i="1"/>
  <c r="BC953" i="1"/>
  <c r="BB953" i="1"/>
  <c r="BA953" i="1"/>
  <c r="AZ953" i="1"/>
  <c r="BA952" i="1"/>
  <c r="AZ952" i="1"/>
  <c r="BC951" i="1"/>
  <c r="BA951" i="1"/>
  <c r="AZ951" i="1"/>
  <c r="AV951" i="1"/>
  <c r="AW951" i="1" s="1"/>
  <c r="AX951" i="1" s="1"/>
  <c r="AT951" i="1" s="1"/>
  <c r="AY951" i="1" s="1"/>
  <c r="BA950" i="1"/>
  <c r="AZ950" i="1"/>
  <c r="BA949" i="1"/>
  <c r="AZ949" i="1"/>
  <c r="BC949" i="1" s="1"/>
  <c r="BA948" i="1"/>
  <c r="AZ948" i="1"/>
  <c r="BA947" i="1"/>
  <c r="AZ947" i="1"/>
  <c r="BA946" i="1"/>
  <c r="AZ946" i="1"/>
  <c r="BA945" i="1"/>
  <c r="AZ945" i="1"/>
  <c r="BC944" i="1"/>
  <c r="BA944" i="1"/>
  <c r="AZ944" i="1"/>
  <c r="BB944" i="1" s="1"/>
  <c r="BA943" i="1"/>
  <c r="BB943" i="1" s="1"/>
  <c r="AZ943" i="1"/>
  <c r="BA942" i="1"/>
  <c r="AZ942" i="1"/>
  <c r="BA941" i="1"/>
  <c r="AZ941" i="1"/>
  <c r="BA940" i="1"/>
  <c r="AZ940" i="1"/>
  <c r="BA939" i="1"/>
  <c r="AZ939" i="1"/>
  <c r="BC938" i="1"/>
  <c r="BB938" i="1"/>
  <c r="BA938" i="1"/>
  <c r="AZ938" i="1"/>
  <c r="BC937" i="1"/>
  <c r="BA937" i="1"/>
  <c r="AZ937" i="1"/>
  <c r="BB937" i="1" s="1"/>
  <c r="AV937" i="1"/>
  <c r="AW937" i="1" s="1"/>
  <c r="AX937" i="1" s="1"/>
  <c r="AT937" i="1" s="1"/>
  <c r="AY937" i="1" s="1"/>
  <c r="AU937" i="1"/>
  <c r="AU938" i="1" s="1"/>
  <c r="AU939" i="1" s="1"/>
  <c r="AU940" i="1" s="1"/>
  <c r="AU941" i="1" s="1"/>
  <c r="AU942" i="1" s="1"/>
  <c r="AU943" i="1" s="1"/>
  <c r="AU944" i="1" s="1"/>
  <c r="AU945" i="1" s="1"/>
  <c r="AU946" i="1" s="1"/>
  <c r="AU947" i="1" s="1"/>
  <c r="AU948" i="1" s="1"/>
  <c r="AU949" i="1" s="1"/>
  <c r="AU950" i="1" s="1"/>
  <c r="AU951" i="1" s="1"/>
  <c r="AU952" i="1" s="1"/>
  <c r="AU953" i="1" s="1"/>
  <c r="AU954" i="1" s="1"/>
  <c r="AU955" i="1" s="1"/>
  <c r="AU956" i="1" s="1"/>
  <c r="AU957" i="1" s="1"/>
  <c r="AU958" i="1" s="1"/>
  <c r="AU959" i="1" s="1"/>
  <c r="AU960" i="1" s="1"/>
  <c r="AU961" i="1" s="1"/>
  <c r="AU962" i="1" s="1"/>
  <c r="AU963" i="1" s="1"/>
  <c r="AU964" i="1" s="1"/>
  <c r="AU965" i="1" s="1"/>
  <c r="BC936" i="1"/>
  <c r="BA936" i="1"/>
  <c r="AZ936" i="1"/>
  <c r="BB936" i="1" s="1"/>
  <c r="AX936" i="1"/>
  <c r="AT936" i="1" s="1"/>
  <c r="AY936" i="1" s="1"/>
  <c r="AW936" i="1"/>
  <c r="AV936" i="1"/>
  <c r="AU936" i="1"/>
  <c r="BA935" i="1"/>
  <c r="AZ935" i="1"/>
  <c r="BC934" i="1"/>
  <c r="BA934" i="1"/>
  <c r="AZ934" i="1"/>
  <c r="BB934" i="1" s="1"/>
  <c r="AX934" i="1"/>
  <c r="AV934" i="1"/>
  <c r="AW934" i="1" s="1"/>
  <c r="AT934" i="1"/>
  <c r="AY934" i="1" s="1"/>
  <c r="BA933" i="1"/>
  <c r="AZ933" i="1"/>
  <c r="BA932" i="1"/>
  <c r="BC932" i="1" s="1"/>
  <c r="AZ932" i="1"/>
  <c r="BA931" i="1"/>
  <c r="AZ931" i="1"/>
  <c r="BC931" i="1" s="1"/>
  <c r="BB930" i="1"/>
  <c r="BA930" i="1"/>
  <c r="AZ930" i="1"/>
  <c r="BC930" i="1" s="1"/>
  <c r="BA929" i="1"/>
  <c r="AZ929" i="1"/>
  <c r="BC929" i="1" s="1"/>
  <c r="BA928" i="1"/>
  <c r="AZ928" i="1"/>
  <c r="BA927" i="1"/>
  <c r="AZ927" i="1"/>
  <c r="BA926" i="1"/>
  <c r="AZ926" i="1"/>
  <c r="BA925" i="1"/>
  <c r="AZ925" i="1"/>
  <c r="BC925" i="1" s="1"/>
  <c r="BA924" i="1"/>
  <c r="AZ924" i="1"/>
  <c r="BC924" i="1" s="1"/>
  <c r="BA923" i="1"/>
  <c r="AZ923" i="1"/>
  <c r="BC923" i="1" s="1"/>
  <c r="BB922" i="1"/>
  <c r="BA922" i="1"/>
  <c r="AZ922" i="1"/>
  <c r="BC922" i="1" s="1"/>
  <c r="BA921" i="1"/>
  <c r="AZ921" i="1"/>
  <c r="BC920" i="1"/>
  <c r="BB920" i="1"/>
  <c r="BA920" i="1"/>
  <c r="AZ920" i="1"/>
  <c r="AU920" i="1"/>
  <c r="AU921" i="1" s="1"/>
  <c r="AU922" i="1" s="1"/>
  <c r="AU923" i="1" s="1"/>
  <c r="AU924" i="1" s="1"/>
  <c r="AU925" i="1" s="1"/>
  <c r="AU926" i="1" s="1"/>
  <c r="AU927" i="1" s="1"/>
  <c r="AU928" i="1" s="1"/>
  <c r="AU929" i="1" s="1"/>
  <c r="AU930" i="1" s="1"/>
  <c r="AU931" i="1" s="1"/>
  <c r="AU932" i="1" s="1"/>
  <c r="AU933" i="1" s="1"/>
  <c r="AU934" i="1" s="1"/>
  <c r="AU935" i="1" s="1"/>
  <c r="BC919" i="1"/>
  <c r="BA919" i="1"/>
  <c r="AZ919" i="1"/>
  <c r="AV919" i="1"/>
  <c r="AW919" i="1" s="1"/>
  <c r="AX919" i="1" s="1"/>
  <c r="AT919" i="1" s="1"/>
  <c r="AY919" i="1" s="1"/>
  <c r="AU919" i="1"/>
  <c r="BC918" i="1"/>
  <c r="BA918" i="1"/>
  <c r="AZ918" i="1"/>
  <c r="AX918" i="1"/>
  <c r="AT918" i="1" s="1"/>
  <c r="AY918" i="1" s="1"/>
  <c r="AW918" i="1"/>
  <c r="AV918" i="1"/>
  <c r="AU918" i="1"/>
  <c r="BA917" i="1"/>
  <c r="AZ917" i="1"/>
  <c r="BC917" i="1" s="1"/>
  <c r="BB916" i="1"/>
  <c r="BA916" i="1"/>
  <c r="AZ916" i="1"/>
  <c r="BC916" i="1" s="1"/>
  <c r="BA915" i="1"/>
  <c r="AZ915" i="1"/>
  <c r="AW915" i="1"/>
  <c r="AX915" i="1" s="1"/>
  <c r="AT915" i="1" s="1"/>
  <c r="AY915" i="1" s="1"/>
  <c r="BA914" i="1"/>
  <c r="AZ914" i="1"/>
  <c r="BC914" i="1" s="1"/>
  <c r="AX914" i="1"/>
  <c r="AT914" i="1" s="1"/>
  <c r="AY914" i="1" s="1"/>
  <c r="AW914" i="1"/>
  <c r="AV914" i="1"/>
  <c r="AV915" i="1" s="1"/>
  <c r="AV916" i="1" s="1"/>
  <c r="AU914" i="1"/>
  <c r="AU915" i="1" s="1"/>
  <c r="AU916" i="1" s="1"/>
  <c r="AU917" i="1" s="1"/>
  <c r="BC913" i="1"/>
  <c r="BA913" i="1"/>
  <c r="AZ913" i="1"/>
  <c r="BB913" i="1" s="1"/>
  <c r="AV913" i="1"/>
  <c r="AW913" i="1" s="1"/>
  <c r="AX913" i="1" s="1"/>
  <c r="AT913" i="1"/>
  <c r="AY913" i="1" s="1"/>
  <c r="BA912" i="1"/>
  <c r="AZ912" i="1"/>
  <c r="BC912" i="1" s="1"/>
  <c r="BC911" i="1"/>
  <c r="BA911" i="1"/>
  <c r="AZ911" i="1"/>
  <c r="AV911" i="1"/>
  <c r="BA910" i="1"/>
  <c r="BB910" i="1" s="1"/>
  <c r="AZ910" i="1"/>
  <c r="BA909" i="1"/>
  <c r="AZ909" i="1"/>
  <c r="BA908" i="1"/>
  <c r="BB908" i="1" s="1"/>
  <c r="AZ908" i="1"/>
  <c r="BC908" i="1" s="1"/>
  <c r="BA907" i="1"/>
  <c r="AZ907" i="1"/>
  <c r="BA906" i="1"/>
  <c r="AZ906" i="1"/>
  <c r="BA905" i="1"/>
  <c r="AZ905" i="1"/>
  <c r="BC905" i="1" s="1"/>
  <c r="BA904" i="1"/>
  <c r="AZ904" i="1"/>
  <c r="BC904" i="1" s="1"/>
  <c r="BA903" i="1"/>
  <c r="AZ903" i="1"/>
  <c r="BC902" i="1"/>
  <c r="BA902" i="1"/>
  <c r="AZ902" i="1"/>
  <c r="BA901" i="1"/>
  <c r="AZ901" i="1"/>
  <c r="BC900" i="1"/>
  <c r="BB900" i="1"/>
  <c r="BA900" i="1"/>
  <c r="AZ900" i="1"/>
  <c r="BA899" i="1"/>
  <c r="AZ899" i="1"/>
  <c r="BA898" i="1"/>
  <c r="BB898" i="1" s="1"/>
  <c r="AZ898" i="1"/>
  <c r="AU898" i="1"/>
  <c r="AU899" i="1" s="1"/>
  <c r="AU900" i="1" s="1"/>
  <c r="AU901" i="1" s="1"/>
  <c r="AU902" i="1" s="1"/>
  <c r="AU903" i="1" s="1"/>
  <c r="AU904" i="1" s="1"/>
  <c r="AU905" i="1" s="1"/>
  <c r="AU906" i="1" s="1"/>
  <c r="AU907" i="1" s="1"/>
  <c r="AU908" i="1" s="1"/>
  <c r="AU909" i="1" s="1"/>
  <c r="AU910" i="1" s="1"/>
  <c r="AU911" i="1" s="1"/>
  <c r="AU912" i="1" s="1"/>
  <c r="AU913" i="1" s="1"/>
  <c r="BC897" i="1"/>
  <c r="BA897" i="1"/>
  <c r="AZ897" i="1"/>
  <c r="AX897" i="1"/>
  <c r="AT897" i="1" s="1"/>
  <c r="AY897" i="1" s="1"/>
  <c r="AV897" i="1"/>
  <c r="AW897" i="1" s="1"/>
  <c r="BC896" i="1"/>
  <c r="BA896" i="1"/>
  <c r="BB896" i="1" s="1"/>
  <c r="AZ896" i="1"/>
  <c r="AV896" i="1"/>
  <c r="AW896" i="1" s="1"/>
  <c r="AX896" i="1" s="1"/>
  <c r="AT896" i="1" s="1"/>
  <c r="AY896" i="1" s="1"/>
  <c r="AU896" i="1"/>
  <c r="AU897" i="1" s="1"/>
  <c r="BA895" i="1"/>
  <c r="AZ895" i="1"/>
  <c r="AT895" i="1"/>
  <c r="AY895" i="1" s="1"/>
  <c r="BC894" i="1"/>
  <c r="BA894" i="1"/>
  <c r="BB894" i="1" s="1"/>
  <c r="AZ894" i="1"/>
  <c r="BA893" i="1"/>
  <c r="AZ893" i="1"/>
  <c r="BC892" i="1"/>
  <c r="BA892" i="1"/>
  <c r="BB892" i="1" s="1"/>
  <c r="AZ892" i="1"/>
  <c r="AW892" i="1"/>
  <c r="AX892" i="1" s="1"/>
  <c r="AT892" i="1" s="1"/>
  <c r="AY892" i="1" s="1"/>
  <c r="AV892" i="1"/>
  <c r="AV893" i="1" s="1"/>
  <c r="AV894" i="1" s="1"/>
  <c r="AV895" i="1" s="1"/>
  <c r="AW895" i="1" s="1"/>
  <c r="AX895" i="1" s="1"/>
  <c r="BA891" i="1"/>
  <c r="AZ891" i="1"/>
  <c r="BC890" i="1"/>
  <c r="BA890" i="1"/>
  <c r="AZ890" i="1"/>
  <c r="AV890" i="1"/>
  <c r="BA889" i="1"/>
  <c r="AZ889" i="1"/>
  <c r="BC889" i="1" s="1"/>
  <c r="BA888" i="1"/>
  <c r="BB888" i="1" s="1"/>
  <c r="AZ888" i="1"/>
  <c r="BA887" i="1"/>
  <c r="AZ887" i="1"/>
  <c r="BB887" i="1" s="1"/>
  <c r="BC886" i="1"/>
  <c r="BA886" i="1"/>
  <c r="AZ886" i="1"/>
  <c r="BB886" i="1" s="1"/>
  <c r="BA885" i="1"/>
  <c r="AZ885" i="1"/>
  <c r="BA884" i="1"/>
  <c r="AZ884" i="1"/>
  <c r="AX884" i="1"/>
  <c r="AT884" i="1" s="1"/>
  <c r="AY884" i="1" s="1"/>
  <c r="AW884" i="1"/>
  <c r="AV884" i="1"/>
  <c r="AV885" i="1" s="1"/>
  <c r="AV886" i="1" s="1"/>
  <c r="BC883" i="1"/>
  <c r="BA883" i="1"/>
  <c r="AZ883" i="1"/>
  <c r="AV883" i="1"/>
  <c r="AW883" i="1" s="1"/>
  <c r="AX883" i="1" s="1"/>
  <c r="AT883" i="1" s="1"/>
  <c r="AY883" i="1" s="1"/>
  <c r="BA882" i="1"/>
  <c r="AZ882" i="1"/>
  <c r="BA881" i="1"/>
  <c r="BB881" i="1" s="1"/>
  <c r="AZ881" i="1"/>
  <c r="BA880" i="1"/>
  <c r="AZ880" i="1"/>
  <c r="BA879" i="1"/>
  <c r="AZ879" i="1"/>
  <c r="BA878" i="1"/>
  <c r="AZ878" i="1"/>
  <c r="BA877" i="1"/>
  <c r="AZ877" i="1"/>
  <c r="BB876" i="1"/>
  <c r="BA876" i="1"/>
  <c r="AZ876" i="1"/>
  <c r="BC876" i="1" s="1"/>
  <c r="BA875" i="1"/>
  <c r="AZ875" i="1"/>
  <c r="BC874" i="1"/>
  <c r="BB874" i="1"/>
  <c r="BA874" i="1"/>
  <c r="AZ874" i="1"/>
  <c r="BA873" i="1"/>
  <c r="AZ873" i="1"/>
  <c r="BA872" i="1"/>
  <c r="BC872" i="1" s="1"/>
  <c r="AZ872" i="1"/>
  <c r="BA871" i="1"/>
  <c r="AZ871" i="1"/>
  <c r="BB870" i="1"/>
  <c r="BA870" i="1"/>
  <c r="AZ870" i="1"/>
  <c r="BC870" i="1" s="1"/>
  <c r="BC869" i="1"/>
  <c r="BA869" i="1"/>
  <c r="AZ869" i="1"/>
  <c r="BB869" i="1" s="1"/>
  <c r="AW869" i="1"/>
  <c r="AX869" i="1" s="1"/>
  <c r="AT869" i="1" s="1"/>
  <c r="AY869" i="1" s="1"/>
  <c r="AV869" i="1"/>
  <c r="AV870" i="1" s="1"/>
  <c r="AV871" i="1" s="1"/>
  <c r="BC868" i="1"/>
  <c r="BA868" i="1"/>
  <c r="AZ868" i="1"/>
  <c r="BB868" i="1" s="1"/>
  <c r="AX868" i="1"/>
  <c r="AT868" i="1" s="1"/>
  <c r="AY868" i="1" s="1"/>
  <c r="AW868" i="1"/>
  <c r="AV868" i="1"/>
  <c r="AU868" i="1"/>
  <c r="AU869" i="1" s="1"/>
  <c r="AU870" i="1" s="1"/>
  <c r="AU871" i="1" s="1"/>
  <c r="AU872" i="1" s="1"/>
  <c r="AU873" i="1" s="1"/>
  <c r="AU874" i="1" s="1"/>
  <c r="AU875" i="1" s="1"/>
  <c r="AU876" i="1" s="1"/>
  <c r="AU877" i="1" s="1"/>
  <c r="AU878" i="1" s="1"/>
  <c r="AU879" i="1" s="1"/>
  <c r="AU880" i="1" s="1"/>
  <c r="AU881" i="1" s="1"/>
  <c r="AU882" i="1" s="1"/>
  <c r="AU883" i="1" s="1"/>
  <c r="AU884" i="1" s="1"/>
  <c r="AU885" i="1" s="1"/>
  <c r="AU886" i="1" s="1"/>
  <c r="AU887" i="1" s="1"/>
  <c r="AU888" i="1" s="1"/>
  <c r="AU889" i="1" s="1"/>
  <c r="AU890" i="1" s="1"/>
  <c r="AU891" i="1" s="1"/>
  <c r="AU892" i="1" s="1"/>
  <c r="AU893" i="1" s="1"/>
  <c r="AU894" i="1" s="1"/>
  <c r="AU895" i="1" s="1"/>
  <c r="BA867" i="1"/>
  <c r="AZ867" i="1"/>
  <c r="BA866" i="1"/>
  <c r="BC866" i="1" s="1"/>
  <c r="AZ866" i="1"/>
  <c r="AX866" i="1"/>
  <c r="AT866" i="1"/>
  <c r="AY866" i="1" s="1"/>
  <c r="BC865" i="1"/>
  <c r="BA865" i="1"/>
  <c r="BB865" i="1" s="1"/>
  <c r="AZ865" i="1"/>
  <c r="AW865" i="1"/>
  <c r="AX865" i="1" s="1"/>
  <c r="AT865" i="1" s="1"/>
  <c r="AY865" i="1" s="1"/>
  <c r="AV865" i="1"/>
  <c r="AV866" i="1" s="1"/>
  <c r="AW866" i="1" s="1"/>
  <c r="BA864" i="1"/>
  <c r="AZ864" i="1"/>
  <c r="BA863" i="1"/>
  <c r="AZ863" i="1"/>
  <c r="BA862" i="1"/>
  <c r="AZ862" i="1"/>
  <c r="BC861" i="1"/>
  <c r="BA861" i="1"/>
  <c r="AZ861" i="1"/>
  <c r="AV861" i="1"/>
  <c r="BA860" i="1"/>
  <c r="AZ860" i="1"/>
  <c r="BC860" i="1" s="1"/>
  <c r="BC859" i="1"/>
  <c r="BA859" i="1"/>
  <c r="AZ859" i="1"/>
  <c r="BA858" i="1"/>
  <c r="AZ858" i="1"/>
  <c r="BC858" i="1" s="1"/>
  <c r="BA857" i="1"/>
  <c r="BC857" i="1" s="1"/>
  <c r="AZ857" i="1"/>
  <c r="BA856" i="1"/>
  <c r="BC856" i="1" s="1"/>
  <c r="AZ856" i="1"/>
  <c r="BB856" i="1" s="1"/>
  <c r="BA855" i="1"/>
  <c r="AZ855" i="1"/>
  <c r="BA854" i="1"/>
  <c r="AZ854" i="1"/>
  <c r="BC854" i="1" s="1"/>
  <c r="AY854" i="1"/>
  <c r="AW854" i="1"/>
  <c r="AX854" i="1" s="1"/>
  <c r="AT854" i="1" s="1"/>
  <c r="BA853" i="1"/>
  <c r="BB853" i="1" s="1"/>
  <c r="AZ853" i="1"/>
  <c r="AV853" i="1"/>
  <c r="AV854" i="1" s="1"/>
  <c r="AV855" i="1" s="1"/>
  <c r="BA852" i="1"/>
  <c r="BB852" i="1" s="1"/>
  <c r="AZ852" i="1"/>
  <c r="AY852" i="1"/>
  <c r="AW852" i="1"/>
  <c r="AX852" i="1" s="1"/>
  <c r="AV852" i="1"/>
  <c r="AT852" i="1"/>
  <c r="BC851" i="1"/>
  <c r="BA851" i="1"/>
  <c r="AZ851" i="1"/>
  <c r="AW851" i="1"/>
  <c r="AX851" i="1" s="1"/>
  <c r="AT851" i="1" s="1"/>
  <c r="AY851" i="1" s="1"/>
  <c r="AV851" i="1"/>
  <c r="BA850" i="1"/>
  <c r="AZ850" i="1"/>
  <c r="AV850" i="1"/>
  <c r="AW850" i="1" s="1"/>
  <c r="AX850" i="1" s="1"/>
  <c r="AT850" i="1" s="1"/>
  <c r="AY850" i="1" s="1"/>
  <c r="BC849" i="1"/>
  <c r="BA849" i="1"/>
  <c r="AZ849" i="1"/>
  <c r="AY849" i="1"/>
  <c r="AV849" i="1"/>
  <c r="AW849" i="1" s="1"/>
  <c r="AX849" i="1" s="1"/>
  <c r="AT849" i="1"/>
  <c r="BA848" i="1"/>
  <c r="BC848" i="1" s="1"/>
  <c r="AZ848" i="1"/>
  <c r="BA847" i="1"/>
  <c r="AZ847" i="1"/>
  <c r="BB846" i="1"/>
  <c r="BA846" i="1"/>
  <c r="AZ846" i="1"/>
  <c r="BA845" i="1"/>
  <c r="BC845" i="1" s="1"/>
  <c r="AZ845" i="1"/>
  <c r="BB844" i="1"/>
  <c r="BA844" i="1"/>
  <c r="AZ844" i="1"/>
  <c r="AV844" i="1"/>
  <c r="AV845" i="1" s="1"/>
  <c r="AV846" i="1" s="1"/>
  <c r="AW846" i="1" s="1"/>
  <c r="AX846" i="1" s="1"/>
  <c r="AT846" i="1" s="1"/>
  <c r="AY846" i="1" s="1"/>
  <c r="BA843" i="1"/>
  <c r="AZ843" i="1"/>
  <c r="BB843" i="1" s="1"/>
  <c r="AY843" i="1"/>
  <c r="AV843" i="1"/>
  <c r="AW843" i="1" s="1"/>
  <c r="AX843" i="1" s="1"/>
  <c r="AT843" i="1"/>
  <c r="BC842" i="1"/>
  <c r="BA842" i="1"/>
  <c r="AZ842" i="1"/>
  <c r="AY842" i="1"/>
  <c r="AX842" i="1"/>
  <c r="AW842" i="1"/>
  <c r="AV842" i="1"/>
  <c r="AT842" i="1"/>
  <c r="BA841" i="1"/>
  <c r="AZ841" i="1"/>
  <c r="AV841" i="1"/>
  <c r="AW841" i="1" s="1"/>
  <c r="AX841" i="1" s="1"/>
  <c r="AT841" i="1" s="1"/>
  <c r="AY841" i="1" s="1"/>
  <c r="BC840" i="1"/>
  <c r="BA840" i="1"/>
  <c r="AZ840" i="1"/>
  <c r="BB840" i="1" s="1"/>
  <c r="AW840" i="1"/>
  <c r="AX840" i="1" s="1"/>
  <c r="AV840" i="1"/>
  <c r="AT840" i="1"/>
  <c r="AY840" i="1" s="1"/>
  <c r="BA839" i="1"/>
  <c r="AZ839" i="1"/>
  <c r="BB839" i="1" s="1"/>
  <c r="BA838" i="1"/>
  <c r="AZ838" i="1"/>
  <c r="BA837" i="1"/>
  <c r="AZ837" i="1"/>
  <c r="BA836" i="1"/>
  <c r="AZ836" i="1"/>
  <c r="BB836" i="1" s="1"/>
  <c r="BB835" i="1"/>
  <c r="BA835" i="1"/>
  <c r="AZ835" i="1"/>
  <c r="BA834" i="1"/>
  <c r="AZ834" i="1"/>
  <c r="BC834" i="1" s="1"/>
  <c r="BA833" i="1"/>
  <c r="AZ833" i="1"/>
  <c r="BA832" i="1"/>
  <c r="AZ832" i="1"/>
  <c r="BA831" i="1"/>
  <c r="AZ831" i="1"/>
  <c r="BB831" i="1" s="1"/>
  <c r="AV831" i="1"/>
  <c r="BA830" i="1"/>
  <c r="BC830" i="1" s="1"/>
  <c r="AZ830" i="1"/>
  <c r="BB829" i="1"/>
  <c r="BA829" i="1"/>
  <c r="AZ829" i="1"/>
  <c r="AV829" i="1"/>
  <c r="AV830" i="1" s="1"/>
  <c r="AW830" i="1" s="1"/>
  <c r="AX830" i="1" s="1"/>
  <c r="AT830" i="1" s="1"/>
  <c r="AY830" i="1" s="1"/>
  <c r="BA828" i="1"/>
  <c r="AZ828" i="1"/>
  <c r="BC828" i="1" s="1"/>
  <c r="BA827" i="1"/>
  <c r="BC827" i="1" s="1"/>
  <c r="AZ827" i="1"/>
  <c r="AW827" i="1"/>
  <c r="AX827" i="1" s="1"/>
  <c r="AT827" i="1" s="1"/>
  <c r="AY827" i="1" s="1"/>
  <c r="AV827" i="1"/>
  <c r="AV828" i="1" s="1"/>
  <c r="AW828" i="1" s="1"/>
  <c r="AX828" i="1" s="1"/>
  <c r="AT828" i="1" s="1"/>
  <c r="AY828" i="1" s="1"/>
  <c r="BC826" i="1"/>
  <c r="BA826" i="1"/>
  <c r="AZ826" i="1"/>
  <c r="AX826" i="1"/>
  <c r="AT826" i="1" s="1"/>
  <c r="AY826" i="1" s="1"/>
  <c r="AW826" i="1"/>
  <c r="AV826" i="1"/>
  <c r="BC825" i="1"/>
  <c r="BA825" i="1"/>
  <c r="AZ825" i="1"/>
  <c r="AW825" i="1"/>
  <c r="AX825" i="1" s="1"/>
  <c r="AT825" i="1" s="1"/>
  <c r="AY825" i="1" s="1"/>
  <c r="AV825" i="1"/>
  <c r="BC824" i="1"/>
  <c r="BA824" i="1"/>
  <c r="BB824" i="1" s="1"/>
  <c r="AZ824" i="1"/>
  <c r="AW824" i="1"/>
  <c r="AX824" i="1" s="1"/>
  <c r="AT824" i="1" s="1"/>
  <c r="AY824" i="1" s="1"/>
  <c r="AV824" i="1"/>
  <c r="AU824" i="1"/>
  <c r="AU825" i="1" s="1"/>
  <c r="AU826" i="1" s="1"/>
  <c r="AU827" i="1" s="1"/>
  <c r="AU828" i="1" s="1"/>
  <c r="AU829" i="1" s="1"/>
  <c r="AU830" i="1" s="1"/>
  <c r="AU831" i="1" s="1"/>
  <c r="AU832" i="1" s="1"/>
  <c r="AU833" i="1" s="1"/>
  <c r="AU834" i="1" s="1"/>
  <c r="AU835" i="1" s="1"/>
  <c r="AU836" i="1" s="1"/>
  <c r="AU837" i="1" s="1"/>
  <c r="AU838" i="1" s="1"/>
  <c r="AU839" i="1" s="1"/>
  <c r="AU840" i="1" s="1"/>
  <c r="AU841" i="1" s="1"/>
  <c r="AU842" i="1" s="1"/>
  <c r="AU843" i="1" s="1"/>
  <c r="AU844" i="1" s="1"/>
  <c r="AU845" i="1" s="1"/>
  <c r="AU846" i="1" s="1"/>
  <c r="AU847" i="1" s="1"/>
  <c r="AU848" i="1" s="1"/>
  <c r="AU849" i="1" s="1"/>
  <c r="AU850" i="1" s="1"/>
  <c r="AU851" i="1" s="1"/>
  <c r="AU852" i="1" s="1"/>
  <c r="AU853" i="1" s="1"/>
  <c r="AU854" i="1" s="1"/>
  <c r="AU855" i="1" s="1"/>
  <c r="AU856" i="1" s="1"/>
  <c r="AU857" i="1" s="1"/>
  <c r="AU858" i="1" s="1"/>
  <c r="AU859" i="1" s="1"/>
  <c r="AU860" i="1" s="1"/>
  <c r="AU861" i="1" s="1"/>
  <c r="AU862" i="1" s="1"/>
  <c r="AU863" i="1" s="1"/>
  <c r="AU864" i="1" s="1"/>
  <c r="AU865" i="1" s="1"/>
  <c r="AU866" i="1" s="1"/>
  <c r="AU867" i="1" s="1"/>
  <c r="BA823" i="1"/>
  <c r="AZ823" i="1"/>
  <c r="BA822" i="1"/>
  <c r="AZ822" i="1"/>
  <c r="BC822" i="1" s="1"/>
  <c r="BC821" i="1"/>
  <c r="BA821" i="1"/>
  <c r="AZ821" i="1"/>
  <c r="BB821" i="1" s="1"/>
  <c r="AV821" i="1"/>
  <c r="AV822" i="1" s="1"/>
  <c r="AW822" i="1" s="1"/>
  <c r="AX822" i="1" s="1"/>
  <c r="AT822" i="1" s="1"/>
  <c r="AY822" i="1" s="1"/>
  <c r="BA820" i="1"/>
  <c r="AZ820" i="1"/>
  <c r="BC820" i="1" s="1"/>
  <c r="BA819" i="1"/>
  <c r="AZ819" i="1"/>
  <c r="BC819" i="1" s="1"/>
  <c r="AU819" i="1"/>
  <c r="AU820" i="1" s="1"/>
  <c r="AU821" i="1" s="1"/>
  <c r="AU822" i="1" s="1"/>
  <c r="AU823" i="1" s="1"/>
  <c r="BC818" i="1"/>
  <c r="BA818" i="1"/>
  <c r="AZ818" i="1"/>
  <c r="AV818" i="1"/>
  <c r="AW818" i="1" s="1"/>
  <c r="AX818" i="1" s="1"/>
  <c r="AT818" i="1" s="1"/>
  <c r="AY818" i="1" s="1"/>
  <c r="BC817" i="1"/>
  <c r="BA817" i="1"/>
  <c r="AZ817" i="1"/>
  <c r="BA816" i="1"/>
  <c r="AZ816" i="1"/>
  <c r="BA815" i="1"/>
  <c r="AZ815" i="1"/>
  <c r="BC815" i="1" s="1"/>
  <c r="BA814" i="1"/>
  <c r="AZ814" i="1"/>
  <c r="BA813" i="1"/>
  <c r="AZ813" i="1"/>
  <c r="BC813" i="1" s="1"/>
  <c r="BA812" i="1"/>
  <c r="AZ812" i="1"/>
  <c r="BC812" i="1" s="1"/>
  <c r="BA811" i="1"/>
  <c r="AZ811" i="1"/>
  <c r="BA810" i="1"/>
  <c r="AZ810" i="1"/>
  <c r="BA809" i="1"/>
  <c r="AZ809" i="1"/>
  <c r="BC809" i="1" s="1"/>
  <c r="BC808" i="1"/>
  <c r="BB808" i="1"/>
  <c r="BA808" i="1"/>
  <c r="AZ808" i="1"/>
  <c r="AV808" i="1"/>
  <c r="BA807" i="1"/>
  <c r="AZ807" i="1"/>
  <c r="BC807" i="1" s="1"/>
  <c r="AW807" i="1"/>
  <c r="AX807" i="1" s="1"/>
  <c r="AV807" i="1"/>
  <c r="AT807" i="1"/>
  <c r="AY807" i="1" s="1"/>
  <c r="BC806" i="1"/>
  <c r="BB806" i="1"/>
  <c r="BA806" i="1"/>
  <c r="AZ806" i="1"/>
  <c r="AV806" i="1"/>
  <c r="AW806" i="1" s="1"/>
  <c r="AX806" i="1" s="1"/>
  <c r="AT806" i="1" s="1"/>
  <c r="AY806" i="1" s="1"/>
  <c r="BA805" i="1"/>
  <c r="AZ805" i="1"/>
  <c r="BC804" i="1"/>
  <c r="BA804" i="1"/>
  <c r="AZ804" i="1"/>
  <c r="AV804" i="1"/>
  <c r="AW804" i="1" s="1"/>
  <c r="AX804" i="1" s="1"/>
  <c r="AT804" i="1" s="1"/>
  <c r="AY804" i="1" s="1"/>
  <c r="BA803" i="1"/>
  <c r="AZ803" i="1"/>
  <c r="BC803" i="1" s="1"/>
  <c r="BB802" i="1"/>
  <c r="BA802" i="1"/>
  <c r="AZ802" i="1"/>
  <c r="BC802" i="1" s="1"/>
  <c r="BA801" i="1"/>
  <c r="AZ801" i="1"/>
  <c r="BA800" i="1"/>
  <c r="BB800" i="1" s="1"/>
  <c r="AZ800" i="1"/>
  <c r="BA799" i="1"/>
  <c r="AZ799" i="1"/>
  <c r="BA798" i="1"/>
  <c r="AZ798" i="1"/>
  <c r="BA797" i="1"/>
  <c r="AZ797" i="1"/>
  <c r="BC797" i="1" s="1"/>
  <c r="BA796" i="1"/>
  <c r="AZ796" i="1"/>
  <c r="BA795" i="1"/>
  <c r="AZ795" i="1"/>
  <c r="BC795" i="1" s="1"/>
  <c r="BA794" i="1"/>
  <c r="BB794" i="1" s="1"/>
  <c r="AZ794" i="1"/>
  <c r="BB793" i="1"/>
  <c r="BA793" i="1"/>
  <c r="AZ793" i="1"/>
  <c r="BC793" i="1" s="1"/>
  <c r="BA792" i="1"/>
  <c r="AZ792" i="1"/>
  <c r="BA791" i="1"/>
  <c r="AZ791" i="1"/>
  <c r="BC791" i="1" s="1"/>
  <c r="BA790" i="1"/>
  <c r="AZ790" i="1"/>
  <c r="AV790" i="1"/>
  <c r="BC789" i="1"/>
  <c r="BA789" i="1"/>
  <c r="AZ789" i="1"/>
  <c r="AW789" i="1"/>
  <c r="AX789" i="1" s="1"/>
  <c r="AT789" i="1" s="1"/>
  <c r="AY789" i="1" s="1"/>
  <c r="AV789" i="1"/>
  <c r="BC788" i="1"/>
  <c r="BB788" i="1"/>
  <c r="BA788" i="1"/>
  <c r="AZ788" i="1"/>
  <c r="AY788" i="1"/>
  <c r="AX788" i="1"/>
  <c r="AW788" i="1"/>
  <c r="AV788" i="1"/>
  <c r="AU788" i="1"/>
  <c r="AU789" i="1" s="1"/>
  <c r="AU790" i="1" s="1"/>
  <c r="AU791" i="1" s="1"/>
  <c r="AU792" i="1" s="1"/>
  <c r="AU793" i="1" s="1"/>
  <c r="AU794" i="1" s="1"/>
  <c r="AU795" i="1" s="1"/>
  <c r="AU796" i="1" s="1"/>
  <c r="AU797" i="1" s="1"/>
  <c r="AU798" i="1" s="1"/>
  <c r="AU799" i="1" s="1"/>
  <c r="AU800" i="1" s="1"/>
  <c r="AU801" i="1" s="1"/>
  <c r="AU802" i="1" s="1"/>
  <c r="AU803" i="1" s="1"/>
  <c r="AU804" i="1" s="1"/>
  <c r="AU805" i="1" s="1"/>
  <c r="AU806" i="1" s="1"/>
  <c r="AU807" i="1" s="1"/>
  <c r="AU808" i="1" s="1"/>
  <c r="AU809" i="1" s="1"/>
  <c r="AU810" i="1" s="1"/>
  <c r="AU811" i="1" s="1"/>
  <c r="AU812" i="1" s="1"/>
  <c r="AU813" i="1" s="1"/>
  <c r="AU814" i="1" s="1"/>
  <c r="AU815" i="1" s="1"/>
  <c r="AU816" i="1" s="1"/>
  <c r="AU817" i="1" s="1"/>
  <c r="AU818" i="1" s="1"/>
  <c r="AT788" i="1"/>
  <c r="BA787" i="1"/>
  <c r="AZ787" i="1"/>
  <c r="BA786" i="1"/>
  <c r="AZ786" i="1"/>
  <c r="BA785" i="1"/>
  <c r="AZ785" i="1"/>
  <c r="BC785" i="1" s="1"/>
  <c r="BC784" i="1"/>
  <c r="BA784" i="1"/>
  <c r="BB784" i="1" s="1"/>
  <c r="AZ784" i="1"/>
  <c r="AV784" i="1"/>
  <c r="AW784" i="1" s="1"/>
  <c r="AX784" i="1" s="1"/>
  <c r="AT784" i="1"/>
  <c r="AY784" i="1" s="1"/>
  <c r="BC783" i="1"/>
  <c r="BA783" i="1"/>
  <c r="BB783" i="1" s="1"/>
  <c r="AZ783" i="1"/>
  <c r="AW783" i="1"/>
  <c r="AX783" i="1" s="1"/>
  <c r="AT783" i="1" s="1"/>
  <c r="AY783" i="1" s="1"/>
  <c r="AV783" i="1"/>
  <c r="BA782" i="1"/>
  <c r="BB782" i="1" s="1"/>
  <c r="AZ782" i="1"/>
  <c r="BC781" i="1"/>
  <c r="BA781" i="1"/>
  <c r="AZ781" i="1"/>
  <c r="BB781" i="1" s="1"/>
  <c r="AW781" i="1"/>
  <c r="AX781" i="1" s="1"/>
  <c r="AT781" i="1" s="1"/>
  <c r="AY781" i="1" s="1"/>
  <c r="AV781" i="1"/>
  <c r="AV782" i="1" s="1"/>
  <c r="AW782" i="1" s="1"/>
  <c r="AX782" i="1" s="1"/>
  <c r="AT782" i="1" s="1"/>
  <c r="AY782" i="1" s="1"/>
  <c r="BA780" i="1"/>
  <c r="AZ780" i="1"/>
  <c r="BC779" i="1"/>
  <c r="BA779" i="1"/>
  <c r="AZ779" i="1"/>
  <c r="BB779" i="1" s="1"/>
  <c r="AV779" i="1"/>
  <c r="BC778" i="1"/>
  <c r="BA778" i="1"/>
  <c r="AZ778" i="1"/>
  <c r="BA777" i="1"/>
  <c r="BB777" i="1" s="1"/>
  <c r="AZ777" i="1"/>
  <c r="BA776" i="1"/>
  <c r="BB776" i="1" s="1"/>
  <c r="AZ776" i="1"/>
  <c r="BC775" i="1"/>
  <c r="BA775" i="1"/>
  <c r="AZ775" i="1"/>
  <c r="BB775" i="1" s="1"/>
  <c r="AW775" i="1"/>
  <c r="AX775" i="1" s="1"/>
  <c r="AT775" i="1" s="1"/>
  <c r="AY775" i="1" s="1"/>
  <c r="AV775" i="1"/>
  <c r="AV776" i="1" s="1"/>
  <c r="BA774" i="1"/>
  <c r="AZ774" i="1"/>
  <c r="BA773" i="1"/>
  <c r="AZ773" i="1"/>
  <c r="BA772" i="1"/>
  <c r="BB772" i="1" s="1"/>
  <c r="AZ772" i="1"/>
  <c r="BA771" i="1"/>
  <c r="AZ771" i="1"/>
  <c r="BC771" i="1" s="1"/>
  <c r="BB770" i="1"/>
  <c r="BA770" i="1"/>
  <c r="AZ770" i="1"/>
  <c r="BC770" i="1" s="1"/>
  <c r="BA769" i="1"/>
  <c r="AZ769" i="1"/>
  <c r="BC769" i="1" s="1"/>
  <c r="BA768" i="1"/>
  <c r="AZ768" i="1"/>
  <c r="BA767" i="1"/>
  <c r="AZ767" i="1"/>
  <c r="BA766" i="1"/>
  <c r="AZ766" i="1"/>
  <c r="BB766" i="1" s="1"/>
  <c r="BA765" i="1"/>
  <c r="BB765" i="1" s="1"/>
  <c r="AZ765" i="1"/>
  <c r="BB764" i="1"/>
  <c r="BA764" i="1"/>
  <c r="AZ764" i="1"/>
  <c r="BC764" i="1" s="1"/>
  <c r="BA763" i="1"/>
  <c r="AZ763" i="1"/>
  <c r="BA762" i="1"/>
  <c r="AZ762" i="1"/>
  <c r="BC761" i="1"/>
  <c r="BA761" i="1"/>
  <c r="AZ761" i="1"/>
  <c r="BB761" i="1" s="1"/>
  <c r="AV761" i="1"/>
  <c r="BC760" i="1"/>
  <c r="BB760" i="1"/>
  <c r="BA760" i="1"/>
  <c r="AZ760" i="1"/>
  <c r="AV760" i="1"/>
  <c r="AW760" i="1" s="1"/>
  <c r="AX760" i="1" s="1"/>
  <c r="AT760" i="1" s="1"/>
  <c r="AY760" i="1" s="1"/>
  <c r="AU760" i="1"/>
  <c r="AU761" i="1" s="1"/>
  <c r="AU762" i="1" s="1"/>
  <c r="AU763" i="1" s="1"/>
  <c r="AU764" i="1" s="1"/>
  <c r="AU765" i="1" s="1"/>
  <c r="AU766" i="1" s="1"/>
  <c r="AU767" i="1" s="1"/>
  <c r="AU768" i="1" s="1"/>
  <c r="AU769" i="1" s="1"/>
  <c r="AU770" i="1" s="1"/>
  <c r="AU771" i="1" s="1"/>
  <c r="AU772" i="1" s="1"/>
  <c r="AU773" i="1" s="1"/>
  <c r="AU774" i="1" s="1"/>
  <c r="AU775" i="1" s="1"/>
  <c r="AU776" i="1" s="1"/>
  <c r="AU777" i="1" s="1"/>
  <c r="AU778" i="1" s="1"/>
  <c r="AU779" i="1" s="1"/>
  <c r="AU780" i="1" s="1"/>
  <c r="AU781" i="1" s="1"/>
  <c r="AU782" i="1" s="1"/>
  <c r="AU783" i="1" s="1"/>
  <c r="AU784" i="1" s="1"/>
  <c r="AU785" i="1" s="1"/>
  <c r="AU786" i="1" s="1"/>
  <c r="AU787" i="1" s="1"/>
  <c r="BA759" i="1"/>
  <c r="BB759" i="1" s="1"/>
  <c r="AZ759" i="1"/>
  <c r="BA758" i="1"/>
  <c r="AZ758" i="1"/>
  <c r="BC758" i="1" s="1"/>
  <c r="BB757" i="1"/>
  <c r="BA757" i="1"/>
  <c r="AZ757" i="1"/>
  <c r="BC757" i="1" s="1"/>
  <c r="BA756" i="1"/>
  <c r="AZ756" i="1"/>
  <c r="BC755" i="1"/>
  <c r="BA755" i="1"/>
  <c r="AZ755" i="1"/>
  <c r="AV755" i="1"/>
  <c r="BA754" i="1"/>
  <c r="AZ754" i="1"/>
  <c r="AV754" i="1"/>
  <c r="AW754" i="1" s="1"/>
  <c r="AX754" i="1" s="1"/>
  <c r="AT754" i="1"/>
  <c r="AY754" i="1" s="1"/>
  <c r="BA753" i="1"/>
  <c r="AZ753" i="1"/>
  <c r="BC753" i="1" s="1"/>
  <c r="AW753" i="1"/>
  <c r="AX753" i="1" s="1"/>
  <c r="AV753" i="1"/>
  <c r="AT753" i="1"/>
  <c r="AY753" i="1" s="1"/>
  <c r="BC752" i="1"/>
  <c r="BA752" i="1"/>
  <c r="AZ752" i="1"/>
  <c r="BB752" i="1" s="1"/>
  <c r="AY752" i="1"/>
  <c r="AX752" i="1"/>
  <c r="AW752" i="1"/>
  <c r="AV752" i="1"/>
  <c r="AT752" i="1"/>
  <c r="BA751" i="1"/>
  <c r="AZ751" i="1"/>
  <c r="BC751" i="1" s="1"/>
  <c r="BC750" i="1"/>
  <c r="BA750" i="1"/>
  <c r="AZ750" i="1"/>
  <c r="BB750" i="1" s="1"/>
  <c r="BA749" i="1"/>
  <c r="AZ749" i="1"/>
  <c r="BC749" i="1" s="1"/>
  <c r="BC748" i="1"/>
  <c r="BB748" i="1"/>
  <c r="BA748" i="1"/>
  <c r="AZ748" i="1"/>
  <c r="AV748" i="1"/>
  <c r="AW748" i="1" s="1"/>
  <c r="AX748" i="1" s="1"/>
  <c r="AT748" i="1" s="1"/>
  <c r="AY748" i="1" s="1"/>
  <c r="BA747" i="1"/>
  <c r="AZ747" i="1"/>
  <c r="BB746" i="1"/>
  <c r="BA746" i="1"/>
  <c r="AZ746" i="1"/>
  <c r="BC746" i="1" s="1"/>
  <c r="BA745" i="1"/>
  <c r="AZ745" i="1"/>
  <c r="BC745" i="1" s="1"/>
  <c r="BA744" i="1"/>
  <c r="BB744" i="1" s="1"/>
  <c r="AZ744" i="1"/>
  <c r="BA743" i="1"/>
  <c r="AZ743" i="1"/>
  <c r="BA742" i="1"/>
  <c r="BC742" i="1" s="1"/>
  <c r="AZ742" i="1"/>
  <c r="BA741" i="1"/>
  <c r="AZ741" i="1"/>
  <c r="BC741" i="1" s="1"/>
  <c r="BB740" i="1"/>
  <c r="BA740" i="1"/>
  <c r="AZ740" i="1"/>
  <c r="BC740" i="1" s="1"/>
  <c r="BA739" i="1"/>
  <c r="AZ739" i="1"/>
  <c r="BA738" i="1"/>
  <c r="AZ738" i="1"/>
  <c r="BB738" i="1" s="1"/>
  <c r="BA737" i="1"/>
  <c r="AZ737" i="1"/>
  <c r="BC736" i="1"/>
  <c r="BB736" i="1"/>
  <c r="BA736" i="1"/>
  <c r="AZ736" i="1"/>
  <c r="AV736" i="1"/>
  <c r="BA735" i="1"/>
  <c r="AZ735" i="1"/>
  <c r="AW735" i="1"/>
  <c r="AX735" i="1" s="1"/>
  <c r="AT735" i="1" s="1"/>
  <c r="AY735" i="1" s="1"/>
  <c r="AV735" i="1"/>
  <c r="BC734" i="1"/>
  <c r="BA734" i="1"/>
  <c r="AZ734" i="1"/>
  <c r="BB734" i="1" s="1"/>
  <c r="AX734" i="1"/>
  <c r="AT734" i="1" s="1"/>
  <c r="AY734" i="1" s="1"/>
  <c r="AW734" i="1"/>
  <c r="AV734" i="1"/>
  <c r="AU734" i="1"/>
  <c r="AU735" i="1" s="1"/>
  <c r="AU736" i="1" s="1"/>
  <c r="AU737" i="1" s="1"/>
  <c r="AU738" i="1" s="1"/>
  <c r="AU739" i="1" s="1"/>
  <c r="AU740" i="1" s="1"/>
  <c r="AU741" i="1" s="1"/>
  <c r="AU742" i="1" s="1"/>
  <c r="AU743" i="1" s="1"/>
  <c r="AU744" i="1" s="1"/>
  <c r="AU745" i="1" s="1"/>
  <c r="AU746" i="1" s="1"/>
  <c r="AU747" i="1" s="1"/>
  <c r="AU748" i="1" s="1"/>
  <c r="AU749" i="1" s="1"/>
  <c r="AU750" i="1" s="1"/>
  <c r="AU751" i="1" s="1"/>
  <c r="AU752" i="1" s="1"/>
  <c r="AU753" i="1" s="1"/>
  <c r="AU754" i="1" s="1"/>
  <c r="AU755" i="1" s="1"/>
  <c r="AU756" i="1" s="1"/>
  <c r="AU757" i="1" s="1"/>
  <c r="AU758" i="1" s="1"/>
  <c r="AU759" i="1" s="1"/>
  <c r="BC733" i="1"/>
  <c r="BA733" i="1"/>
  <c r="AZ733" i="1"/>
  <c r="AV733" i="1"/>
  <c r="AW733" i="1" s="1"/>
  <c r="AX733" i="1" s="1"/>
  <c r="AT733" i="1" s="1"/>
  <c r="AY733" i="1" s="1"/>
  <c r="AU733" i="1"/>
  <c r="BA732" i="1"/>
  <c r="AZ732" i="1"/>
  <c r="BA731" i="1"/>
  <c r="AZ731" i="1"/>
  <c r="AV731" i="1"/>
  <c r="BC730" i="1"/>
  <c r="BA730" i="1"/>
  <c r="AZ730" i="1"/>
  <c r="BB730" i="1" s="1"/>
  <c r="AV730" i="1"/>
  <c r="AW730" i="1" s="1"/>
  <c r="AX730" i="1" s="1"/>
  <c r="AT730" i="1" s="1"/>
  <c r="AY730" i="1" s="1"/>
  <c r="BB729" i="1"/>
  <c r="BA729" i="1"/>
  <c r="AZ729" i="1"/>
  <c r="BA728" i="1"/>
  <c r="AZ728" i="1"/>
  <c r="AX728" i="1"/>
  <c r="AT728" i="1" s="1"/>
  <c r="AY728" i="1" s="1"/>
  <c r="BC727" i="1"/>
  <c r="BA727" i="1"/>
  <c r="AZ727" i="1"/>
  <c r="AV727" i="1"/>
  <c r="AV728" i="1" s="1"/>
  <c r="AW728" i="1" s="1"/>
  <c r="BA726" i="1"/>
  <c r="BC726" i="1" s="1"/>
  <c r="AZ726" i="1"/>
  <c r="BA725" i="1"/>
  <c r="AZ725" i="1"/>
  <c r="BA724" i="1"/>
  <c r="AZ724" i="1"/>
  <c r="AU724" i="1"/>
  <c r="AU725" i="1" s="1"/>
  <c r="AU726" i="1" s="1"/>
  <c r="AU727" i="1" s="1"/>
  <c r="AU728" i="1" s="1"/>
  <c r="AU729" i="1" s="1"/>
  <c r="AU730" i="1" s="1"/>
  <c r="AU731" i="1" s="1"/>
  <c r="AU732" i="1" s="1"/>
  <c r="BB723" i="1"/>
  <c r="BA723" i="1"/>
  <c r="AZ723" i="1"/>
  <c r="BC723" i="1" s="1"/>
  <c r="BA722" i="1"/>
  <c r="AZ722" i="1"/>
  <c r="BB722" i="1" s="1"/>
  <c r="BA721" i="1"/>
  <c r="AZ721" i="1"/>
  <c r="BA720" i="1"/>
  <c r="AZ720" i="1"/>
  <c r="BC719" i="1"/>
  <c r="BA719" i="1"/>
  <c r="AZ719" i="1"/>
  <c r="BB719" i="1" s="1"/>
  <c r="BA718" i="1"/>
  <c r="BC718" i="1" s="1"/>
  <c r="AZ718" i="1"/>
  <c r="BA717" i="1"/>
  <c r="AZ717" i="1"/>
  <c r="BA716" i="1"/>
  <c r="BB716" i="1" s="1"/>
  <c r="AZ716" i="1"/>
  <c r="BA715" i="1"/>
  <c r="AZ715" i="1"/>
  <c r="BA714" i="1"/>
  <c r="AZ714" i="1"/>
  <c r="BC713" i="1"/>
  <c r="BB713" i="1"/>
  <c r="BA713" i="1"/>
  <c r="AZ713" i="1"/>
  <c r="AV713" i="1"/>
  <c r="BC712" i="1"/>
  <c r="BA712" i="1"/>
  <c r="AZ712" i="1"/>
  <c r="BB712" i="1" s="1"/>
  <c r="AV712" i="1"/>
  <c r="AW712" i="1" s="1"/>
  <c r="AX712" i="1" s="1"/>
  <c r="AU712" i="1"/>
  <c r="AU713" i="1" s="1"/>
  <c r="AU714" i="1" s="1"/>
  <c r="AU715" i="1" s="1"/>
  <c r="AU716" i="1" s="1"/>
  <c r="AU717" i="1" s="1"/>
  <c r="AU718" i="1" s="1"/>
  <c r="AU719" i="1" s="1"/>
  <c r="AU720" i="1" s="1"/>
  <c r="AU721" i="1" s="1"/>
  <c r="AU722" i="1" s="1"/>
  <c r="AU723" i="1" s="1"/>
  <c r="AT712" i="1"/>
  <c r="AY712" i="1" s="1"/>
  <c r="BA711" i="1"/>
  <c r="AZ711" i="1"/>
  <c r="BB710" i="1"/>
  <c r="BA710" i="1"/>
  <c r="AZ710" i="1"/>
  <c r="BC710" i="1" s="1"/>
  <c r="AV710" i="1"/>
  <c r="BC709" i="1"/>
  <c r="BA709" i="1"/>
  <c r="AZ709" i="1"/>
  <c r="BB709" i="1" s="1"/>
  <c r="AV709" i="1"/>
  <c r="AW709" i="1" s="1"/>
  <c r="AX709" i="1" s="1"/>
  <c r="AT709" i="1" s="1"/>
  <c r="AY709" i="1" s="1"/>
  <c r="BA708" i="1"/>
  <c r="AZ708" i="1"/>
  <c r="BA707" i="1"/>
  <c r="BB707" i="1" s="1"/>
  <c r="AZ707" i="1"/>
  <c r="AV707" i="1"/>
  <c r="BC706" i="1"/>
  <c r="BA706" i="1"/>
  <c r="AZ706" i="1"/>
  <c r="AV706" i="1"/>
  <c r="AW706" i="1" s="1"/>
  <c r="AX706" i="1" s="1"/>
  <c r="AT706" i="1"/>
  <c r="AY706" i="1" s="1"/>
  <c r="BA705" i="1"/>
  <c r="AZ705" i="1"/>
  <c r="BC704" i="1"/>
  <c r="BA704" i="1"/>
  <c r="BB704" i="1" s="1"/>
  <c r="AZ704" i="1"/>
  <c r="AV704" i="1"/>
  <c r="BA703" i="1"/>
  <c r="AZ703" i="1"/>
  <c r="BA702" i="1"/>
  <c r="AZ702" i="1"/>
  <c r="BA701" i="1"/>
  <c r="AZ701" i="1"/>
  <c r="BA700" i="1"/>
  <c r="AZ700" i="1"/>
  <c r="BC700" i="1" s="1"/>
  <c r="BA699" i="1"/>
  <c r="AZ699" i="1"/>
  <c r="BB698" i="1"/>
  <c r="BA698" i="1"/>
  <c r="AZ698" i="1"/>
  <c r="BA697" i="1"/>
  <c r="AZ697" i="1"/>
  <c r="BA696" i="1"/>
  <c r="AZ696" i="1"/>
  <c r="AU696" i="1"/>
  <c r="AU697" i="1" s="1"/>
  <c r="AU698" i="1" s="1"/>
  <c r="AU699" i="1" s="1"/>
  <c r="AU700" i="1" s="1"/>
  <c r="AU701" i="1" s="1"/>
  <c r="AU702" i="1" s="1"/>
  <c r="AU703" i="1" s="1"/>
  <c r="AU704" i="1" s="1"/>
  <c r="AU705" i="1" s="1"/>
  <c r="AU706" i="1" s="1"/>
  <c r="AU707" i="1" s="1"/>
  <c r="AU708" i="1" s="1"/>
  <c r="AU709" i="1" s="1"/>
  <c r="AU710" i="1" s="1"/>
  <c r="AU711" i="1" s="1"/>
  <c r="BB695" i="1"/>
  <c r="BA695" i="1"/>
  <c r="AZ695" i="1"/>
  <c r="BC695" i="1" s="1"/>
  <c r="BA694" i="1"/>
  <c r="AZ694" i="1"/>
  <c r="BA693" i="1"/>
  <c r="AZ693" i="1"/>
  <c r="BB693" i="1" s="1"/>
  <c r="BA692" i="1"/>
  <c r="AZ692" i="1"/>
  <c r="BC692" i="1" s="1"/>
  <c r="BA691" i="1"/>
  <c r="AZ691" i="1"/>
  <c r="AV691" i="1"/>
  <c r="AV692" i="1" s="1"/>
  <c r="BC690" i="1"/>
  <c r="BA690" i="1"/>
  <c r="AZ690" i="1"/>
  <c r="AX690" i="1"/>
  <c r="AV690" i="1"/>
  <c r="AW690" i="1" s="1"/>
  <c r="AU690" i="1"/>
  <c r="AU691" i="1" s="1"/>
  <c r="AU692" i="1" s="1"/>
  <c r="AU693" i="1" s="1"/>
  <c r="AU694" i="1" s="1"/>
  <c r="AU695" i="1" s="1"/>
  <c r="AT690" i="1"/>
  <c r="AY690" i="1" s="1"/>
  <c r="BC689" i="1"/>
  <c r="BA689" i="1"/>
  <c r="AZ689" i="1"/>
  <c r="BB689" i="1" s="1"/>
  <c r="AW689" i="1"/>
  <c r="AX689" i="1" s="1"/>
  <c r="AT689" i="1" s="1"/>
  <c r="AY689" i="1" s="1"/>
  <c r="AV689" i="1"/>
  <c r="AU689" i="1"/>
  <c r="BA688" i="1"/>
  <c r="AZ688" i="1"/>
  <c r="BA687" i="1"/>
  <c r="AZ687" i="1"/>
  <c r="BA686" i="1"/>
  <c r="AZ686" i="1"/>
  <c r="BC686" i="1" s="1"/>
  <c r="AV686" i="1"/>
  <c r="BC685" i="1"/>
  <c r="BA685" i="1"/>
  <c r="AZ685" i="1"/>
  <c r="AX685" i="1"/>
  <c r="AT685" i="1" s="1"/>
  <c r="AY685" i="1" s="1"/>
  <c r="AW685" i="1"/>
  <c r="AV685" i="1"/>
  <c r="BA684" i="1"/>
  <c r="AZ684" i="1"/>
  <c r="AV684" i="1"/>
  <c r="AW684" i="1" s="1"/>
  <c r="AX684" i="1" s="1"/>
  <c r="AT684" i="1" s="1"/>
  <c r="AY684" i="1" s="1"/>
  <c r="BC683" i="1"/>
  <c r="BA683" i="1"/>
  <c r="AZ683" i="1"/>
  <c r="BB683" i="1" s="1"/>
  <c r="AW683" i="1"/>
  <c r="AX683" i="1" s="1"/>
  <c r="AV683" i="1"/>
  <c r="AT683" i="1"/>
  <c r="AY683" i="1" s="1"/>
  <c r="BC682" i="1"/>
  <c r="BA682" i="1"/>
  <c r="AZ682" i="1"/>
  <c r="BB682" i="1" s="1"/>
  <c r="BC681" i="1"/>
  <c r="BA681" i="1"/>
  <c r="AZ681" i="1"/>
  <c r="AV681" i="1"/>
  <c r="AW681" i="1" s="1"/>
  <c r="AX681" i="1" s="1"/>
  <c r="AT681" i="1" s="1"/>
  <c r="AY681" i="1" s="1"/>
  <c r="BC680" i="1"/>
  <c r="BA680" i="1"/>
  <c r="AZ680" i="1"/>
  <c r="BB680" i="1" s="1"/>
  <c r="BA679" i="1"/>
  <c r="AZ679" i="1"/>
  <c r="BA678" i="1"/>
  <c r="AZ678" i="1"/>
  <c r="BA677" i="1"/>
  <c r="AZ677" i="1"/>
  <c r="BC676" i="1"/>
  <c r="BA676" i="1"/>
  <c r="AZ676" i="1"/>
  <c r="BA675" i="1"/>
  <c r="AZ675" i="1"/>
  <c r="BC674" i="1"/>
  <c r="BA674" i="1"/>
  <c r="AZ674" i="1"/>
  <c r="BB674" i="1" s="1"/>
  <c r="BA673" i="1"/>
  <c r="AZ673" i="1"/>
  <c r="BA672" i="1"/>
  <c r="AZ672" i="1"/>
  <c r="BC672" i="1" s="1"/>
  <c r="BB671" i="1"/>
  <c r="BA671" i="1"/>
  <c r="AZ671" i="1"/>
  <c r="BC671" i="1" s="1"/>
  <c r="BA670" i="1"/>
  <c r="BC670" i="1" s="1"/>
  <c r="AZ670" i="1"/>
  <c r="AU670" i="1"/>
  <c r="AU671" i="1" s="1"/>
  <c r="AU672" i="1" s="1"/>
  <c r="AU673" i="1" s="1"/>
  <c r="AU674" i="1" s="1"/>
  <c r="AU675" i="1" s="1"/>
  <c r="AU676" i="1" s="1"/>
  <c r="AU677" i="1" s="1"/>
  <c r="AU678" i="1" s="1"/>
  <c r="AU679" i="1" s="1"/>
  <c r="AU680" i="1" s="1"/>
  <c r="AU681" i="1" s="1"/>
  <c r="AU682" i="1" s="1"/>
  <c r="AU683" i="1" s="1"/>
  <c r="AU684" i="1" s="1"/>
  <c r="AU685" i="1" s="1"/>
  <c r="AU686" i="1" s="1"/>
  <c r="AU687" i="1" s="1"/>
  <c r="AU688" i="1" s="1"/>
  <c r="BA669" i="1"/>
  <c r="AZ669" i="1"/>
  <c r="BA668" i="1"/>
  <c r="BC668" i="1" s="1"/>
  <c r="AZ668" i="1"/>
  <c r="BC667" i="1"/>
  <c r="BA667" i="1"/>
  <c r="AZ667" i="1"/>
  <c r="BB667" i="1" s="1"/>
  <c r="AV667" i="1"/>
  <c r="BC666" i="1"/>
  <c r="BB666" i="1"/>
  <c r="BA666" i="1"/>
  <c r="AZ666" i="1"/>
  <c r="AV666" i="1"/>
  <c r="AW666" i="1" s="1"/>
  <c r="AX666" i="1" s="1"/>
  <c r="AT666" i="1" s="1"/>
  <c r="AY666" i="1" s="1"/>
  <c r="AU666" i="1"/>
  <c r="AU667" i="1" s="1"/>
  <c r="AU668" i="1" s="1"/>
  <c r="AU669" i="1" s="1"/>
  <c r="BB665" i="1"/>
  <c r="BA665" i="1"/>
  <c r="AZ665" i="1"/>
  <c r="BB664" i="1"/>
  <c r="BA664" i="1"/>
  <c r="BC664" i="1" s="1"/>
  <c r="AZ664" i="1"/>
  <c r="BA663" i="1"/>
  <c r="AZ663" i="1"/>
  <c r="BC662" i="1"/>
  <c r="BA662" i="1"/>
  <c r="AZ662" i="1"/>
  <c r="BB662" i="1" s="1"/>
  <c r="AV662" i="1"/>
  <c r="AW662" i="1" s="1"/>
  <c r="AX662" i="1" s="1"/>
  <c r="AT662" i="1"/>
  <c r="AY662" i="1" s="1"/>
  <c r="BA661" i="1"/>
  <c r="AZ661" i="1"/>
  <c r="BB660" i="1"/>
  <c r="BA660" i="1"/>
  <c r="AZ660" i="1"/>
  <c r="BC660" i="1" s="1"/>
  <c r="AV660" i="1"/>
  <c r="BA659" i="1"/>
  <c r="AZ659" i="1"/>
  <c r="BC659" i="1" s="1"/>
  <c r="AW659" i="1"/>
  <c r="AX659" i="1" s="1"/>
  <c r="AT659" i="1" s="1"/>
  <c r="AY659" i="1" s="1"/>
  <c r="AV659" i="1"/>
  <c r="BC658" i="1"/>
  <c r="BA658" i="1"/>
  <c r="AZ658" i="1"/>
  <c r="BB658" i="1" s="1"/>
  <c r="AV658" i="1"/>
  <c r="AW658" i="1" s="1"/>
  <c r="AX658" i="1" s="1"/>
  <c r="AT658" i="1" s="1"/>
  <c r="AY658" i="1" s="1"/>
  <c r="BB657" i="1"/>
  <c r="BA657" i="1"/>
  <c r="AZ657" i="1"/>
  <c r="BA656" i="1"/>
  <c r="AZ656" i="1"/>
  <c r="BC655" i="1"/>
  <c r="BA655" i="1"/>
  <c r="AZ655" i="1"/>
  <c r="AV655" i="1"/>
  <c r="AV656" i="1" s="1"/>
  <c r="BA654" i="1"/>
  <c r="AZ654" i="1"/>
  <c r="AX654" i="1"/>
  <c r="AT654" i="1" s="1"/>
  <c r="AY654" i="1" s="1"/>
  <c r="AV654" i="1"/>
  <c r="AW654" i="1" s="1"/>
  <c r="BC653" i="1"/>
  <c r="BA653" i="1"/>
  <c r="AZ653" i="1"/>
  <c r="BB653" i="1" s="1"/>
  <c r="AX653" i="1"/>
  <c r="AT653" i="1" s="1"/>
  <c r="AY653" i="1" s="1"/>
  <c r="AW653" i="1"/>
  <c r="AV653" i="1"/>
  <c r="BC652" i="1"/>
  <c r="BA652" i="1"/>
  <c r="AZ652" i="1"/>
  <c r="BB652" i="1" s="1"/>
  <c r="BA651" i="1"/>
  <c r="BB651" i="1" s="1"/>
  <c r="AZ651" i="1"/>
  <c r="BA650" i="1"/>
  <c r="AZ650" i="1"/>
  <c r="BA649" i="1"/>
  <c r="AZ649" i="1"/>
  <c r="BC649" i="1" s="1"/>
  <c r="BA648" i="1"/>
  <c r="AZ648" i="1"/>
  <c r="BB647" i="1"/>
  <c r="BA647" i="1"/>
  <c r="AZ647" i="1"/>
  <c r="BC647" i="1" s="1"/>
  <c r="BC646" i="1"/>
  <c r="BB646" i="1"/>
  <c r="BA646" i="1"/>
  <c r="AZ646" i="1"/>
  <c r="BA645" i="1"/>
  <c r="AZ645" i="1"/>
  <c r="BC645" i="1" s="1"/>
  <c r="BA644" i="1"/>
  <c r="AZ644" i="1"/>
  <c r="BA643" i="1"/>
  <c r="AZ643" i="1"/>
  <c r="BA642" i="1"/>
  <c r="AZ642" i="1"/>
  <c r="BB641" i="1"/>
  <c r="BA641" i="1"/>
  <c r="AZ641" i="1"/>
  <c r="BC641" i="1" s="1"/>
  <c r="BA640" i="1"/>
  <c r="AZ640" i="1"/>
  <c r="BC639" i="1"/>
  <c r="BA639" i="1"/>
  <c r="AZ639" i="1"/>
  <c r="BB639" i="1" s="1"/>
  <c r="AV639" i="1"/>
  <c r="AU639" i="1"/>
  <c r="AU640" i="1" s="1"/>
  <c r="AU641" i="1" s="1"/>
  <c r="AU642" i="1" s="1"/>
  <c r="AU643" i="1" s="1"/>
  <c r="AU644" i="1" s="1"/>
  <c r="AU645" i="1" s="1"/>
  <c r="AU646" i="1" s="1"/>
  <c r="AU647" i="1" s="1"/>
  <c r="AU648" i="1" s="1"/>
  <c r="AU649" i="1" s="1"/>
  <c r="AU650" i="1" s="1"/>
  <c r="AU651" i="1" s="1"/>
  <c r="AU652" i="1" s="1"/>
  <c r="AU653" i="1" s="1"/>
  <c r="AU654" i="1" s="1"/>
  <c r="AU655" i="1" s="1"/>
  <c r="AU656" i="1" s="1"/>
  <c r="AU657" i="1" s="1"/>
  <c r="AU658" i="1" s="1"/>
  <c r="AU659" i="1" s="1"/>
  <c r="AU660" i="1" s="1"/>
  <c r="AU661" i="1" s="1"/>
  <c r="AU662" i="1" s="1"/>
  <c r="AU663" i="1" s="1"/>
  <c r="AU664" i="1" s="1"/>
  <c r="AU665" i="1" s="1"/>
  <c r="BC638" i="1"/>
  <c r="BA638" i="1"/>
  <c r="AZ638" i="1"/>
  <c r="AV638" i="1"/>
  <c r="AW638" i="1" s="1"/>
  <c r="AX638" i="1" s="1"/>
  <c r="AT638" i="1" s="1"/>
  <c r="AY638" i="1" s="1"/>
  <c r="AU638" i="1"/>
  <c r="BA637" i="1"/>
  <c r="AZ637" i="1"/>
  <c r="BA636" i="1"/>
  <c r="AZ636" i="1"/>
  <c r="BA635" i="1"/>
  <c r="AZ635" i="1"/>
  <c r="BA634" i="1"/>
  <c r="AZ634" i="1"/>
  <c r="BA633" i="1"/>
  <c r="AZ633" i="1"/>
  <c r="AV633" i="1"/>
  <c r="BC632" i="1"/>
  <c r="BA632" i="1"/>
  <c r="AZ632" i="1"/>
  <c r="BB632" i="1" s="1"/>
  <c r="AX632" i="1"/>
  <c r="AT632" i="1" s="1"/>
  <c r="AY632" i="1" s="1"/>
  <c r="AV632" i="1"/>
  <c r="AW632" i="1" s="1"/>
  <c r="BC631" i="1"/>
  <c r="BA631" i="1"/>
  <c r="BB631" i="1" s="1"/>
  <c r="AZ631" i="1"/>
  <c r="BA630" i="1"/>
  <c r="AZ630" i="1"/>
  <c r="BA629" i="1"/>
  <c r="AZ629" i="1"/>
  <c r="BC629" i="1" s="1"/>
  <c r="BB628" i="1"/>
  <c r="BA628" i="1"/>
  <c r="BC628" i="1" s="1"/>
  <c r="AZ628" i="1"/>
  <c r="BC627" i="1"/>
  <c r="BA627" i="1"/>
  <c r="AZ627" i="1"/>
  <c r="BB627" i="1" s="1"/>
  <c r="AV627" i="1"/>
  <c r="BA626" i="1"/>
  <c r="AZ626" i="1"/>
  <c r="BB625" i="1"/>
  <c r="BA625" i="1"/>
  <c r="BC625" i="1" s="1"/>
  <c r="AZ625" i="1"/>
  <c r="BC624" i="1"/>
  <c r="BA624" i="1"/>
  <c r="AZ624" i="1"/>
  <c r="AY624" i="1"/>
  <c r="AX624" i="1"/>
  <c r="AT624" i="1" s="1"/>
  <c r="AV624" i="1"/>
  <c r="AW624" i="1" s="1"/>
  <c r="BA623" i="1"/>
  <c r="AZ623" i="1"/>
  <c r="BA622" i="1"/>
  <c r="BC622" i="1" s="1"/>
  <c r="AZ622" i="1"/>
  <c r="BA621" i="1"/>
  <c r="AZ621" i="1"/>
  <c r="BA620" i="1"/>
  <c r="AZ620" i="1"/>
  <c r="BC619" i="1"/>
  <c r="BA619" i="1"/>
  <c r="AZ619" i="1"/>
  <c r="BB619" i="1" s="1"/>
  <c r="BA618" i="1"/>
  <c r="AZ618" i="1"/>
  <c r="BC617" i="1"/>
  <c r="BA617" i="1"/>
  <c r="AZ617" i="1"/>
  <c r="AX617" i="1"/>
  <c r="AT617" i="1" s="1"/>
  <c r="AY617" i="1" s="1"/>
  <c r="AW617" i="1"/>
  <c r="AV617" i="1"/>
  <c r="AV618" i="1" s="1"/>
  <c r="BB616" i="1"/>
  <c r="BA616" i="1"/>
  <c r="AZ616" i="1"/>
  <c r="BC616" i="1" s="1"/>
  <c r="BC615" i="1"/>
  <c r="BA615" i="1"/>
  <c r="AZ615" i="1"/>
  <c r="BB615" i="1" s="1"/>
  <c r="BA614" i="1"/>
  <c r="AZ614" i="1"/>
  <c r="BA613" i="1"/>
  <c r="AZ613" i="1"/>
  <c r="BA612" i="1"/>
  <c r="AZ612" i="1"/>
  <c r="BB611" i="1"/>
  <c r="BA611" i="1"/>
  <c r="AZ611" i="1"/>
  <c r="BC611" i="1" s="1"/>
  <c r="BA610" i="1"/>
  <c r="AZ610" i="1"/>
  <c r="BA609" i="1"/>
  <c r="AZ609" i="1"/>
  <c r="BA608" i="1"/>
  <c r="AZ608" i="1"/>
  <c r="BA607" i="1"/>
  <c r="AZ607" i="1"/>
  <c r="BA606" i="1"/>
  <c r="AZ606" i="1"/>
  <c r="AU606" i="1"/>
  <c r="AU607" i="1" s="1"/>
  <c r="AU608" i="1" s="1"/>
  <c r="AU609" i="1" s="1"/>
  <c r="AU610" i="1" s="1"/>
  <c r="AU611" i="1" s="1"/>
  <c r="AU612" i="1" s="1"/>
  <c r="AU613" i="1" s="1"/>
  <c r="AU614" i="1" s="1"/>
  <c r="AU615" i="1" s="1"/>
  <c r="AU616" i="1" s="1"/>
  <c r="AU617" i="1" s="1"/>
  <c r="AU618" i="1" s="1"/>
  <c r="AU619" i="1" s="1"/>
  <c r="AU620" i="1" s="1"/>
  <c r="AU621" i="1" s="1"/>
  <c r="AU622" i="1" s="1"/>
  <c r="AU623" i="1" s="1"/>
  <c r="AU624" i="1" s="1"/>
  <c r="AU625" i="1" s="1"/>
  <c r="AU626" i="1" s="1"/>
  <c r="AU627" i="1" s="1"/>
  <c r="AU628" i="1" s="1"/>
  <c r="AU629" i="1" s="1"/>
  <c r="AU630" i="1" s="1"/>
  <c r="AU631" i="1" s="1"/>
  <c r="AU632" i="1" s="1"/>
  <c r="AU633" i="1" s="1"/>
  <c r="AU634" i="1" s="1"/>
  <c r="AU635" i="1" s="1"/>
  <c r="AU636" i="1" s="1"/>
  <c r="AU637" i="1" s="1"/>
  <c r="BA605" i="1"/>
  <c r="AZ605" i="1"/>
  <c r="AU605" i="1"/>
  <c r="BA604" i="1"/>
  <c r="AZ604" i="1"/>
  <c r="BB604" i="1" s="1"/>
  <c r="AU604" i="1"/>
  <c r="BA603" i="1"/>
  <c r="AZ603" i="1"/>
  <c r="AU603" i="1"/>
  <c r="BC602" i="1"/>
  <c r="BA602" i="1"/>
  <c r="AZ602" i="1"/>
  <c r="AV602" i="1"/>
  <c r="BC601" i="1"/>
  <c r="BA601" i="1"/>
  <c r="AZ601" i="1"/>
  <c r="BB601" i="1" s="1"/>
  <c r="AV601" i="1"/>
  <c r="AW601" i="1" s="1"/>
  <c r="AX601" i="1" s="1"/>
  <c r="AT601" i="1" s="1"/>
  <c r="AY601" i="1" s="1"/>
  <c r="AU601" i="1"/>
  <c r="AU602" i="1" s="1"/>
  <c r="BA600" i="1"/>
  <c r="AZ600" i="1"/>
  <c r="BA599" i="1"/>
  <c r="AZ599" i="1"/>
  <c r="BC598" i="1"/>
  <c r="BA598" i="1"/>
  <c r="AZ598" i="1"/>
  <c r="AV598" i="1"/>
  <c r="BA597" i="1"/>
  <c r="AZ597" i="1"/>
  <c r="BC597" i="1" s="1"/>
  <c r="BC596" i="1"/>
  <c r="BA596" i="1"/>
  <c r="BB596" i="1" s="1"/>
  <c r="AZ596" i="1"/>
  <c r="AW596" i="1"/>
  <c r="AX596" i="1" s="1"/>
  <c r="AT596" i="1" s="1"/>
  <c r="AY596" i="1" s="1"/>
  <c r="AV596" i="1"/>
  <c r="AV597" i="1" s="1"/>
  <c r="AW597" i="1" s="1"/>
  <c r="AX597" i="1" s="1"/>
  <c r="AT597" i="1" s="1"/>
  <c r="AY597" i="1" s="1"/>
  <c r="BA595" i="1"/>
  <c r="AZ595" i="1"/>
  <c r="BA594" i="1"/>
  <c r="AZ594" i="1"/>
  <c r="BA593" i="1"/>
  <c r="AZ593" i="1"/>
  <c r="BC592" i="1"/>
  <c r="BA592" i="1"/>
  <c r="AZ592" i="1"/>
  <c r="BB592" i="1" s="1"/>
  <c r="BA591" i="1"/>
  <c r="AZ591" i="1"/>
  <c r="BA590" i="1"/>
  <c r="AZ590" i="1"/>
  <c r="BB590" i="1" s="1"/>
  <c r="BA589" i="1"/>
  <c r="BB589" i="1" s="1"/>
  <c r="AZ589" i="1"/>
  <c r="BB588" i="1"/>
  <c r="BA588" i="1"/>
  <c r="AZ588" i="1"/>
  <c r="BC588" i="1" s="1"/>
  <c r="BA587" i="1"/>
  <c r="AZ587" i="1"/>
  <c r="BC586" i="1"/>
  <c r="BB586" i="1"/>
  <c r="BA586" i="1"/>
  <c r="AZ586" i="1"/>
  <c r="BA585" i="1"/>
  <c r="BB585" i="1" s="1"/>
  <c r="AZ585" i="1"/>
  <c r="BA584" i="1"/>
  <c r="AZ584" i="1"/>
  <c r="BA583" i="1"/>
  <c r="AZ583" i="1"/>
  <c r="BC582" i="1"/>
  <c r="BA582" i="1"/>
  <c r="BB582" i="1" s="1"/>
  <c r="AZ582" i="1"/>
  <c r="AV582" i="1"/>
  <c r="AW582" i="1" s="1"/>
  <c r="AX582" i="1" s="1"/>
  <c r="AU582" i="1"/>
  <c r="AU583" i="1" s="1"/>
  <c r="AU584" i="1" s="1"/>
  <c r="AU585" i="1" s="1"/>
  <c r="AU586" i="1" s="1"/>
  <c r="AU587" i="1" s="1"/>
  <c r="AU588" i="1" s="1"/>
  <c r="AU589" i="1" s="1"/>
  <c r="AU590" i="1" s="1"/>
  <c r="AU591" i="1" s="1"/>
  <c r="AU592" i="1" s="1"/>
  <c r="AU593" i="1" s="1"/>
  <c r="AU594" i="1" s="1"/>
  <c r="AU595" i="1" s="1"/>
  <c r="AU596" i="1" s="1"/>
  <c r="AU597" i="1" s="1"/>
  <c r="AU598" i="1" s="1"/>
  <c r="AU599" i="1" s="1"/>
  <c r="AU600" i="1" s="1"/>
  <c r="AT582" i="1"/>
  <c r="AY582" i="1" s="1"/>
  <c r="BC581" i="1"/>
  <c r="BA581" i="1"/>
  <c r="AZ581" i="1"/>
  <c r="AW581" i="1"/>
  <c r="AX581" i="1" s="1"/>
  <c r="AV581" i="1"/>
  <c r="AU581" i="1"/>
  <c r="AT581" i="1"/>
  <c r="AY581" i="1" s="1"/>
  <c r="BC580" i="1"/>
  <c r="BA580" i="1"/>
  <c r="AZ580" i="1"/>
  <c r="BB580" i="1" s="1"/>
  <c r="BA579" i="1"/>
  <c r="AZ579" i="1"/>
  <c r="BC579" i="1" s="1"/>
  <c r="BA578" i="1"/>
  <c r="AZ578" i="1"/>
  <c r="BB578" i="1" s="1"/>
  <c r="BA577" i="1"/>
  <c r="BB577" i="1" s="1"/>
  <c r="AZ577" i="1"/>
  <c r="BC576" i="1"/>
  <c r="BB576" i="1"/>
  <c r="BA576" i="1"/>
  <c r="AZ576" i="1"/>
  <c r="AV576" i="1"/>
  <c r="AW576" i="1" s="1"/>
  <c r="AX576" i="1" s="1"/>
  <c r="AT576" i="1"/>
  <c r="AY576" i="1" s="1"/>
  <c r="BC575" i="1"/>
  <c r="BA575" i="1"/>
  <c r="AZ575" i="1"/>
  <c r="AW575" i="1"/>
  <c r="AX575" i="1" s="1"/>
  <c r="AT575" i="1" s="1"/>
  <c r="AY575" i="1" s="1"/>
  <c r="AV575" i="1"/>
  <c r="BA574" i="1"/>
  <c r="BC574" i="1" s="1"/>
  <c r="AZ574" i="1"/>
  <c r="AY574" i="1"/>
  <c r="BC573" i="1"/>
  <c r="BA573" i="1"/>
  <c r="AZ573" i="1"/>
  <c r="BB573" i="1" s="1"/>
  <c r="AW573" i="1"/>
  <c r="AX573" i="1" s="1"/>
  <c r="AT573" i="1" s="1"/>
  <c r="AY573" i="1" s="1"/>
  <c r="AV573" i="1"/>
  <c r="AV574" i="1" s="1"/>
  <c r="AW574" i="1" s="1"/>
  <c r="AX574" i="1" s="1"/>
  <c r="AT574" i="1" s="1"/>
  <c r="BA572" i="1"/>
  <c r="AZ572" i="1"/>
  <c r="BB572" i="1" s="1"/>
  <c r="BA571" i="1"/>
  <c r="BB571" i="1" s="1"/>
  <c r="AZ571" i="1"/>
  <c r="BB570" i="1"/>
  <c r="BA570" i="1"/>
  <c r="BC570" i="1" s="1"/>
  <c r="AZ570" i="1"/>
  <c r="BA569" i="1"/>
  <c r="AZ569" i="1"/>
  <c r="BA568" i="1"/>
  <c r="AZ568" i="1"/>
  <c r="BC568" i="1" s="1"/>
  <c r="BC567" i="1"/>
  <c r="BA567" i="1"/>
  <c r="AZ567" i="1"/>
  <c r="BB567" i="1" s="1"/>
  <c r="AW567" i="1"/>
  <c r="AX567" i="1" s="1"/>
  <c r="AT567" i="1" s="1"/>
  <c r="AY567" i="1" s="1"/>
  <c r="AV567" i="1"/>
  <c r="AV568" i="1" s="1"/>
  <c r="BA566" i="1"/>
  <c r="AZ566" i="1"/>
  <c r="BC565" i="1"/>
  <c r="BA565" i="1"/>
  <c r="BB565" i="1" s="1"/>
  <c r="AZ565" i="1"/>
  <c r="AV565" i="1"/>
  <c r="AV566" i="1" s="1"/>
  <c r="AW566" i="1" s="1"/>
  <c r="AX566" i="1" s="1"/>
  <c r="AT566" i="1" s="1"/>
  <c r="AY566" i="1" s="1"/>
  <c r="BA564" i="1"/>
  <c r="AZ564" i="1"/>
  <c r="BB564" i="1" s="1"/>
  <c r="BA563" i="1"/>
  <c r="AZ563" i="1"/>
  <c r="BC562" i="1"/>
  <c r="BA562" i="1"/>
  <c r="AZ562" i="1"/>
  <c r="BB562" i="1" s="1"/>
  <c r="BA561" i="1"/>
  <c r="AZ561" i="1"/>
  <c r="BC561" i="1" s="1"/>
  <c r="BC560" i="1"/>
  <c r="BA560" i="1"/>
  <c r="AZ560" i="1"/>
  <c r="BB560" i="1" s="1"/>
  <c r="BA559" i="1"/>
  <c r="AZ559" i="1"/>
  <c r="BB558" i="1"/>
  <c r="BA558" i="1"/>
  <c r="AZ558" i="1"/>
  <c r="BC558" i="1" s="1"/>
  <c r="BA557" i="1"/>
  <c r="AZ557" i="1"/>
  <c r="BC556" i="1"/>
  <c r="BB556" i="1"/>
  <c r="BA556" i="1"/>
  <c r="AZ556" i="1"/>
  <c r="BA555" i="1"/>
  <c r="BC555" i="1" s="1"/>
  <c r="AZ555" i="1"/>
  <c r="BA554" i="1"/>
  <c r="AZ554" i="1"/>
  <c r="BA553" i="1"/>
  <c r="BB553" i="1" s="1"/>
  <c r="AZ553" i="1"/>
  <c r="BC552" i="1"/>
  <c r="BA552" i="1"/>
  <c r="AZ552" i="1"/>
  <c r="BA551" i="1"/>
  <c r="AZ551" i="1"/>
  <c r="AU551" i="1"/>
  <c r="AU552" i="1" s="1"/>
  <c r="AU553" i="1" s="1"/>
  <c r="AU554" i="1" s="1"/>
  <c r="AU555" i="1" s="1"/>
  <c r="AU556" i="1" s="1"/>
  <c r="AU557" i="1" s="1"/>
  <c r="AU558" i="1" s="1"/>
  <c r="AU559" i="1" s="1"/>
  <c r="AU560" i="1" s="1"/>
  <c r="AU561" i="1" s="1"/>
  <c r="AU562" i="1" s="1"/>
  <c r="AU563" i="1" s="1"/>
  <c r="AU564" i="1" s="1"/>
  <c r="AU565" i="1" s="1"/>
  <c r="AU566" i="1" s="1"/>
  <c r="AU567" i="1" s="1"/>
  <c r="AU568" i="1" s="1"/>
  <c r="AU569" i="1" s="1"/>
  <c r="AU570" i="1" s="1"/>
  <c r="AU571" i="1" s="1"/>
  <c r="AU572" i="1" s="1"/>
  <c r="AU573" i="1" s="1"/>
  <c r="AU574" i="1" s="1"/>
  <c r="AU575" i="1" s="1"/>
  <c r="AU576" i="1" s="1"/>
  <c r="AU577" i="1" s="1"/>
  <c r="AU578" i="1" s="1"/>
  <c r="AU579" i="1" s="1"/>
  <c r="AU580" i="1" s="1"/>
  <c r="BC550" i="1"/>
  <c r="BA550" i="1"/>
  <c r="AZ550" i="1"/>
  <c r="BB550" i="1" s="1"/>
  <c r="AV550" i="1"/>
  <c r="AW550" i="1" s="1"/>
  <c r="AX550" i="1" s="1"/>
  <c r="AT550" i="1" s="1"/>
  <c r="AY550" i="1" s="1"/>
  <c r="AU550" i="1"/>
  <c r="BC549" i="1"/>
  <c r="BA549" i="1"/>
  <c r="AZ549" i="1"/>
  <c r="AW549" i="1"/>
  <c r="AX549" i="1" s="1"/>
  <c r="AT549" i="1" s="1"/>
  <c r="AY549" i="1" s="1"/>
  <c r="AV549" i="1"/>
  <c r="AU549" i="1"/>
  <c r="BC548" i="1"/>
  <c r="BA548" i="1"/>
  <c r="AZ548" i="1"/>
  <c r="BA547" i="1"/>
  <c r="BB547" i="1" s="1"/>
  <c r="AZ547" i="1"/>
  <c r="BA546" i="1"/>
  <c r="AZ546" i="1"/>
  <c r="BA545" i="1"/>
  <c r="AZ545" i="1"/>
  <c r="BC545" i="1" s="1"/>
  <c r="BC544" i="1"/>
  <c r="BA544" i="1"/>
  <c r="AZ544" i="1"/>
  <c r="BB544" i="1" s="1"/>
  <c r="AV544" i="1"/>
  <c r="AW544" i="1" s="1"/>
  <c r="AX544" i="1" s="1"/>
  <c r="AT544" i="1" s="1"/>
  <c r="AY544" i="1" s="1"/>
  <c r="BA543" i="1"/>
  <c r="AZ543" i="1"/>
  <c r="AW543" i="1"/>
  <c r="AX543" i="1" s="1"/>
  <c r="AT543" i="1" s="1"/>
  <c r="AY543" i="1" s="1"/>
  <c r="AV543" i="1"/>
  <c r="BC542" i="1"/>
  <c r="BA542" i="1"/>
  <c r="AZ542" i="1"/>
  <c r="BB542" i="1" s="1"/>
  <c r="AX542" i="1"/>
  <c r="AT542" i="1" s="1"/>
  <c r="AY542" i="1" s="1"/>
  <c r="AW542" i="1"/>
  <c r="AV542" i="1"/>
  <c r="BA541" i="1"/>
  <c r="AZ541" i="1"/>
  <c r="AY541" i="1"/>
  <c r="BB540" i="1"/>
  <c r="BA540" i="1"/>
  <c r="BC540" i="1" s="1"/>
  <c r="AZ540" i="1"/>
  <c r="AW540" i="1"/>
  <c r="AX540" i="1" s="1"/>
  <c r="AT540" i="1" s="1"/>
  <c r="AY540" i="1" s="1"/>
  <c r="AV540" i="1"/>
  <c r="AV541" i="1" s="1"/>
  <c r="AW541" i="1" s="1"/>
  <c r="AX541" i="1" s="1"/>
  <c r="AT541" i="1" s="1"/>
  <c r="BC539" i="1"/>
  <c r="BA539" i="1"/>
  <c r="AZ539" i="1"/>
  <c r="BB539" i="1" s="1"/>
  <c r="AW539" i="1"/>
  <c r="AX539" i="1" s="1"/>
  <c r="AT539" i="1" s="1"/>
  <c r="AY539" i="1" s="1"/>
  <c r="AV539" i="1"/>
  <c r="BA538" i="1"/>
  <c r="AZ538" i="1"/>
  <c r="BB538" i="1" s="1"/>
  <c r="AY538" i="1"/>
  <c r="BC537" i="1"/>
  <c r="BA537" i="1"/>
  <c r="BB537" i="1" s="1"/>
  <c r="AZ537" i="1"/>
  <c r="AW537" i="1"/>
  <c r="AX537" i="1" s="1"/>
  <c r="AT537" i="1" s="1"/>
  <c r="AY537" i="1" s="1"/>
  <c r="AV537" i="1"/>
  <c r="AV538" i="1" s="1"/>
  <c r="AW538" i="1" s="1"/>
  <c r="AX538" i="1" s="1"/>
  <c r="AT538" i="1" s="1"/>
  <c r="BA536" i="1"/>
  <c r="AZ536" i="1"/>
  <c r="BA535" i="1"/>
  <c r="BB535" i="1" s="1"/>
  <c r="AZ535" i="1"/>
  <c r="BC534" i="1"/>
  <c r="BB534" i="1"/>
  <c r="BA534" i="1"/>
  <c r="AZ534" i="1"/>
  <c r="BA533" i="1"/>
  <c r="AZ533" i="1"/>
  <c r="BB532" i="1"/>
  <c r="BA532" i="1"/>
  <c r="AZ532" i="1"/>
  <c r="BC532" i="1" s="1"/>
  <c r="BA531" i="1"/>
  <c r="AZ531" i="1"/>
  <c r="BA530" i="1"/>
  <c r="BC530" i="1" s="1"/>
  <c r="AZ530" i="1"/>
  <c r="BA529" i="1"/>
  <c r="AZ529" i="1"/>
  <c r="BC529" i="1" s="1"/>
  <c r="BC528" i="1"/>
  <c r="BA528" i="1"/>
  <c r="AZ528" i="1"/>
  <c r="BA527" i="1"/>
  <c r="AZ527" i="1"/>
  <c r="BC527" i="1" s="1"/>
  <c r="BB526" i="1"/>
  <c r="BA526" i="1"/>
  <c r="BC526" i="1" s="1"/>
  <c r="AZ526" i="1"/>
  <c r="BA525" i="1"/>
  <c r="AZ525" i="1"/>
  <c r="BA524" i="1"/>
  <c r="AZ524" i="1"/>
  <c r="BA523" i="1"/>
  <c r="BB523" i="1" s="1"/>
  <c r="AZ523" i="1"/>
  <c r="AV523" i="1"/>
  <c r="BC522" i="1"/>
  <c r="BA522" i="1"/>
  <c r="AZ522" i="1"/>
  <c r="BB522" i="1" s="1"/>
  <c r="AV522" i="1"/>
  <c r="AW522" i="1" s="1"/>
  <c r="AX522" i="1" s="1"/>
  <c r="AT522" i="1" s="1"/>
  <c r="AY522" i="1" s="1"/>
  <c r="BC521" i="1"/>
  <c r="BA521" i="1"/>
  <c r="AZ521" i="1"/>
  <c r="BB521" i="1" s="1"/>
  <c r="AW521" i="1"/>
  <c r="AX521" i="1" s="1"/>
  <c r="AT521" i="1" s="1"/>
  <c r="AY521" i="1" s="1"/>
  <c r="AV521" i="1"/>
  <c r="AU521" i="1"/>
  <c r="AU522" i="1" s="1"/>
  <c r="AU523" i="1" s="1"/>
  <c r="AU524" i="1" s="1"/>
  <c r="AU525" i="1" s="1"/>
  <c r="AU526" i="1" s="1"/>
  <c r="AU527" i="1" s="1"/>
  <c r="AU528" i="1" s="1"/>
  <c r="AU529" i="1" s="1"/>
  <c r="AU530" i="1" s="1"/>
  <c r="AU531" i="1" s="1"/>
  <c r="AU532" i="1" s="1"/>
  <c r="AU533" i="1" s="1"/>
  <c r="AU534" i="1" s="1"/>
  <c r="AU535" i="1" s="1"/>
  <c r="AU536" i="1" s="1"/>
  <c r="AU537" i="1" s="1"/>
  <c r="AU538" i="1" s="1"/>
  <c r="AU539" i="1" s="1"/>
  <c r="AU540" i="1" s="1"/>
  <c r="AU541" i="1" s="1"/>
  <c r="AU542" i="1" s="1"/>
  <c r="AU543" i="1" s="1"/>
  <c r="AU544" i="1" s="1"/>
  <c r="AU545" i="1" s="1"/>
  <c r="AU546" i="1" s="1"/>
  <c r="AU547" i="1" s="1"/>
  <c r="AU548" i="1" s="1"/>
  <c r="BA520" i="1"/>
  <c r="AZ520" i="1"/>
  <c r="BC520" i="1" s="1"/>
  <c r="AY520" i="1"/>
  <c r="BA519" i="1"/>
  <c r="AZ519" i="1"/>
  <c r="AW519" i="1"/>
  <c r="AX519" i="1" s="1"/>
  <c r="AT519" i="1" s="1"/>
  <c r="AY519" i="1" s="1"/>
  <c r="AV519" i="1"/>
  <c r="AV520" i="1" s="1"/>
  <c r="AW520" i="1" s="1"/>
  <c r="AX520" i="1" s="1"/>
  <c r="AT520" i="1" s="1"/>
  <c r="BC518" i="1"/>
  <c r="BA518" i="1"/>
  <c r="AZ518" i="1"/>
  <c r="AX518" i="1"/>
  <c r="AT518" i="1" s="1"/>
  <c r="AY518" i="1" s="1"/>
  <c r="AW518" i="1"/>
  <c r="AV518" i="1"/>
  <c r="BA517" i="1"/>
  <c r="BB517" i="1" s="1"/>
  <c r="AZ517" i="1"/>
  <c r="BB516" i="1"/>
  <c r="BA516" i="1"/>
  <c r="BC516" i="1" s="1"/>
  <c r="AZ516" i="1"/>
  <c r="BA515" i="1"/>
  <c r="AZ515" i="1"/>
  <c r="BC514" i="1"/>
  <c r="BB514" i="1"/>
  <c r="BA514" i="1"/>
  <c r="AZ514" i="1"/>
  <c r="AY514" i="1"/>
  <c r="AV514" i="1"/>
  <c r="AW514" i="1" s="1"/>
  <c r="AX514" i="1" s="1"/>
  <c r="AT514" i="1" s="1"/>
  <c r="AU514" i="1"/>
  <c r="AU515" i="1" s="1"/>
  <c r="AU516" i="1" s="1"/>
  <c r="AU517" i="1" s="1"/>
  <c r="AU518" i="1" s="1"/>
  <c r="AU519" i="1" s="1"/>
  <c r="AU520" i="1" s="1"/>
  <c r="BA513" i="1"/>
  <c r="AZ513" i="1"/>
  <c r="BA512" i="1"/>
  <c r="AZ512" i="1"/>
  <c r="BA511" i="1"/>
  <c r="BB511" i="1" s="1"/>
  <c r="AZ511" i="1"/>
  <c r="BC510" i="1"/>
  <c r="BA510" i="1"/>
  <c r="AZ510" i="1"/>
  <c r="AV510" i="1"/>
  <c r="BA509" i="1"/>
  <c r="AZ509" i="1"/>
  <c r="BC509" i="1" s="1"/>
  <c r="BC508" i="1"/>
  <c r="BA508" i="1"/>
  <c r="AZ508" i="1"/>
  <c r="AY508" i="1"/>
  <c r="AV508" i="1"/>
  <c r="AW508" i="1" s="1"/>
  <c r="AX508" i="1" s="1"/>
  <c r="AT508" i="1" s="1"/>
  <c r="BA507" i="1"/>
  <c r="BC507" i="1" s="1"/>
  <c r="AZ507" i="1"/>
  <c r="BA506" i="1"/>
  <c r="AZ506" i="1"/>
  <c r="BA505" i="1"/>
  <c r="BB505" i="1" s="1"/>
  <c r="AZ505" i="1"/>
  <c r="BC504" i="1"/>
  <c r="BA504" i="1"/>
  <c r="AZ504" i="1"/>
  <c r="BB504" i="1" s="1"/>
  <c r="BA503" i="1"/>
  <c r="AZ503" i="1"/>
  <c r="BC503" i="1" s="1"/>
  <c r="BA502" i="1"/>
  <c r="AZ502" i="1"/>
  <c r="BA501" i="1"/>
  <c r="AZ501" i="1"/>
  <c r="BA500" i="1"/>
  <c r="BC500" i="1" s="1"/>
  <c r="AZ500" i="1"/>
  <c r="BA499" i="1"/>
  <c r="AZ499" i="1"/>
  <c r="BC499" i="1" s="1"/>
  <c r="BA498" i="1"/>
  <c r="BC498" i="1" s="1"/>
  <c r="AZ498" i="1"/>
  <c r="BA497" i="1"/>
  <c r="AZ497" i="1"/>
  <c r="BC497" i="1" s="1"/>
  <c r="AU497" i="1"/>
  <c r="AU498" i="1" s="1"/>
  <c r="AU499" i="1" s="1"/>
  <c r="AU500" i="1" s="1"/>
  <c r="AU501" i="1" s="1"/>
  <c r="AU502" i="1" s="1"/>
  <c r="AU503" i="1" s="1"/>
  <c r="AU504" i="1" s="1"/>
  <c r="AU505" i="1" s="1"/>
  <c r="AU506" i="1" s="1"/>
  <c r="AU507" i="1" s="1"/>
  <c r="AU508" i="1" s="1"/>
  <c r="AU509" i="1" s="1"/>
  <c r="AU510" i="1" s="1"/>
  <c r="AU511" i="1" s="1"/>
  <c r="AU512" i="1" s="1"/>
  <c r="AU513" i="1" s="1"/>
  <c r="BB496" i="1"/>
  <c r="BA496" i="1"/>
  <c r="AZ496" i="1"/>
  <c r="BC496" i="1" s="1"/>
  <c r="AU496" i="1"/>
  <c r="BA495" i="1"/>
  <c r="AZ495" i="1"/>
  <c r="AW495" i="1"/>
  <c r="AX495" i="1" s="1"/>
  <c r="AT495" i="1" s="1"/>
  <c r="AY495" i="1" s="1"/>
  <c r="AV495" i="1"/>
  <c r="AV496" i="1" s="1"/>
  <c r="BC494" i="1"/>
  <c r="BA494" i="1"/>
  <c r="AZ494" i="1"/>
  <c r="AX494" i="1"/>
  <c r="AT494" i="1" s="1"/>
  <c r="AY494" i="1" s="1"/>
  <c r="AW494" i="1"/>
  <c r="AV494" i="1"/>
  <c r="AU494" i="1"/>
  <c r="AU495" i="1" s="1"/>
  <c r="BC493" i="1"/>
  <c r="BA493" i="1"/>
  <c r="BB493" i="1" s="1"/>
  <c r="AZ493" i="1"/>
  <c r="AY493" i="1"/>
  <c r="AW493" i="1"/>
  <c r="AX493" i="1" s="1"/>
  <c r="AT493" i="1" s="1"/>
  <c r="AV493" i="1"/>
  <c r="AU493" i="1"/>
  <c r="BC492" i="1"/>
  <c r="BA492" i="1"/>
  <c r="AZ492" i="1"/>
  <c r="BA491" i="1"/>
  <c r="AZ491" i="1"/>
  <c r="BB490" i="1"/>
  <c r="BA490" i="1"/>
  <c r="BC490" i="1" s="1"/>
  <c r="AZ490" i="1"/>
  <c r="BC489" i="1"/>
  <c r="BB489" i="1"/>
  <c r="BA489" i="1"/>
  <c r="AZ489" i="1"/>
  <c r="BC488" i="1"/>
  <c r="BA488" i="1"/>
  <c r="AZ488" i="1"/>
  <c r="BB488" i="1" s="1"/>
  <c r="BC487" i="1"/>
  <c r="BA487" i="1"/>
  <c r="AZ487" i="1"/>
  <c r="AV487" i="1"/>
  <c r="AV488" i="1" s="1"/>
  <c r="BA486" i="1"/>
  <c r="AZ486" i="1"/>
  <c r="BC486" i="1" s="1"/>
  <c r="BA485" i="1"/>
  <c r="AZ485" i="1"/>
  <c r="BC485" i="1" s="1"/>
  <c r="BA484" i="1"/>
  <c r="AZ484" i="1"/>
  <c r="BC484" i="1" s="1"/>
  <c r="BC483" i="1"/>
  <c r="BA483" i="1"/>
  <c r="AZ483" i="1"/>
  <c r="AW483" i="1"/>
  <c r="AX483" i="1" s="1"/>
  <c r="AT483" i="1" s="1"/>
  <c r="AY483" i="1" s="1"/>
  <c r="AV483" i="1"/>
  <c r="AV484" i="1" s="1"/>
  <c r="BA482" i="1"/>
  <c r="AZ482" i="1"/>
  <c r="AU482" i="1"/>
  <c r="AU483" i="1" s="1"/>
  <c r="AU484" i="1" s="1"/>
  <c r="AU485" i="1" s="1"/>
  <c r="AU486" i="1" s="1"/>
  <c r="AU487" i="1" s="1"/>
  <c r="AU488" i="1" s="1"/>
  <c r="AU489" i="1" s="1"/>
  <c r="AU490" i="1" s="1"/>
  <c r="AU491" i="1" s="1"/>
  <c r="AU492" i="1" s="1"/>
  <c r="BC481" i="1"/>
  <c r="BA481" i="1"/>
  <c r="BB481" i="1" s="1"/>
  <c r="AZ481" i="1"/>
  <c r="AV481" i="1"/>
  <c r="AV482" i="1" s="1"/>
  <c r="AW482" i="1" s="1"/>
  <c r="AX482" i="1" s="1"/>
  <c r="AT482" i="1" s="1"/>
  <c r="AY482" i="1" s="1"/>
  <c r="BB480" i="1"/>
  <c r="BA480" i="1"/>
  <c r="AZ480" i="1"/>
  <c r="BC480" i="1" s="1"/>
  <c r="BA479" i="1"/>
  <c r="AZ479" i="1"/>
  <c r="BC479" i="1" s="1"/>
  <c r="BA478" i="1"/>
  <c r="AZ478" i="1"/>
  <c r="BC477" i="1"/>
  <c r="BA477" i="1"/>
  <c r="AZ477" i="1"/>
  <c r="BB477" i="1" s="1"/>
  <c r="AW477" i="1"/>
  <c r="AX477" i="1" s="1"/>
  <c r="AT477" i="1" s="1"/>
  <c r="AY477" i="1" s="1"/>
  <c r="AV477" i="1"/>
  <c r="AV478" i="1" s="1"/>
  <c r="BA476" i="1"/>
  <c r="AZ476" i="1"/>
  <c r="BA475" i="1"/>
  <c r="BB475" i="1" s="1"/>
  <c r="AZ475" i="1"/>
  <c r="BA474" i="1"/>
  <c r="AZ474" i="1"/>
  <c r="BA473" i="1"/>
  <c r="AZ473" i="1"/>
  <c r="AU473" i="1"/>
  <c r="AU474" i="1" s="1"/>
  <c r="AU475" i="1" s="1"/>
  <c r="AU476" i="1" s="1"/>
  <c r="AU477" i="1" s="1"/>
  <c r="AU478" i="1" s="1"/>
  <c r="AU479" i="1" s="1"/>
  <c r="AU480" i="1" s="1"/>
  <c r="AU481" i="1" s="1"/>
  <c r="BA472" i="1"/>
  <c r="AZ472" i="1"/>
  <c r="BB472" i="1" s="1"/>
  <c r="BA471" i="1"/>
  <c r="AZ471" i="1"/>
  <c r="BA470" i="1"/>
  <c r="AZ470" i="1"/>
  <c r="BA469" i="1"/>
  <c r="BB469" i="1" s="1"/>
  <c r="AZ469" i="1"/>
  <c r="BA468" i="1"/>
  <c r="AZ468" i="1"/>
  <c r="BC468" i="1" s="1"/>
  <c r="AU468" i="1"/>
  <c r="AU469" i="1" s="1"/>
  <c r="AU470" i="1" s="1"/>
  <c r="AU471" i="1" s="1"/>
  <c r="AU472" i="1" s="1"/>
  <c r="BA467" i="1"/>
  <c r="AZ467" i="1"/>
  <c r="BA466" i="1"/>
  <c r="AZ466" i="1"/>
  <c r="BB466" i="1" s="1"/>
  <c r="BA465" i="1"/>
  <c r="AZ465" i="1"/>
  <c r="BA464" i="1"/>
  <c r="BC464" i="1" s="1"/>
  <c r="AZ464" i="1"/>
  <c r="BB463" i="1"/>
  <c r="BA463" i="1"/>
  <c r="AZ463" i="1"/>
  <c r="BC463" i="1" s="1"/>
  <c r="AW463" i="1"/>
  <c r="AX463" i="1" s="1"/>
  <c r="AT463" i="1" s="1"/>
  <c r="AY463" i="1" s="1"/>
  <c r="AV463" i="1"/>
  <c r="AV464" i="1" s="1"/>
  <c r="BC462" i="1"/>
  <c r="BA462" i="1"/>
  <c r="BB462" i="1" s="1"/>
  <c r="AZ462" i="1"/>
  <c r="AW462" i="1"/>
  <c r="AX462" i="1" s="1"/>
  <c r="AV462" i="1"/>
  <c r="AU462" i="1"/>
  <c r="AU463" i="1" s="1"/>
  <c r="AU464" i="1" s="1"/>
  <c r="AU465" i="1" s="1"/>
  <c r="AU466" i="1" s="1"/>
  <c r="AU467" i="1" s="1"/>
  <c r="AT462" i="1"/>
  <c r="AY462" i="1" s="1"/>
  <c r="BC461" i="1"/>
  <c r="BA461" i="1"/>
  <c r="AZ461" i="1"/>
  <c r="BB461" i="1" s="1"/>
  <c r="AW461" i="1"/>
  <c r="AX461" i="1" s="1"/>
  <c r="AT461" i="1" s="1"/>
  <c r="AY461" i="1" s="1"/>
  <c r="AV461" i="1"/>
  <c r="AU461" i="1"/>
  <c r="BC460" i="1"/>
  <c r="BA460" i="1"/>
  <c r="AZ460" i="1"/>
  <c r="BB460" i="1" s="1"/>
  <c r="AV460" i="1"/>
  <c r="AW460" i="1" s="1"/>
  <c r="AX460" i="1" s="1"/>
  <c r="AT460" i="1" s="1"/>
  <c r="AY460" i="1" s="1"/>
  <c r="BA459" i="1"/>
  <c r="AZ459" i="1"/>
  <c r="BB459" i="1" s="1"/>
  <c r="AW459" i="1"/>
  <c r="AX459" i="1" s="1"/>
  <c r="AT459" i="1" s="1"/>
  <c r="AY459" i="1" s="1"/>
  <c r="AV459" i="1"/>
  <c r="BC458" i="1"/>
  <c r="BA458" i="1"/>
  <c r="AZ458" i="1"/>
  <c r="BB458" i="1" s="1"/>
  <c r="AY458" i="1"/>
  <c r="AX458" i="1"/>
  <c r="AW458" i="1"/>
  <c r="AV458" i="1"/>
  <c r="AT458" i="1"/>
  <c r="BA457" i="1"/>
  <c r="AZ457" i="1"/>
  <c r="AV457" i="1"/>
  <c r="AW457" i="1" s="1"/>
  <c r="AX457" i="1" s="1"/>
  <c r="AT457" i="1" s="1"/>
  <c r="AY457" i="1" s="1"/>
  <c r="BC456" i="1"/>
  <c r="BA456" i="1"/>
  <c r="AZ456" i="1"/>
  <c r="BB456" i="1" s="1"/>
  <c r="AW456" i="1"/>
  <c r="AX456" i="1" s="1"/>
  <c r="AT456" i="1" s="1"/>
  <c r="AY456" i="1" s="1"/>
  <c r="AV456" i="1"/>
  <c r="BA455" i="1"/>
  <c r="AZ455" i="1"/>
  <c r="BC454" i="1"/>
  <c r="BB454" i="1"/>
  <c r="BA454" i="1"/>
  <c r="AZ454" i="1"/>
  <c r="AV454" i="1"/>
  <c r="BA453" i="1"/>
  <c r="AZ453" i="1"/>
  <c r="BB453" i="1" s="1"/>
  <c r="BA452" i="1"/>
  <c r="AZ452" i="1"/>
  <c r="AX452" i="1"/>
  <c r="AT452" i="1" s="1"/>
  <c r="AY452" i="1" s="1"/>
  <c r="BC451" i="1"/>
  <c r="BA451" i="1"/>
  <c r="BB451" i="1" s="1"/>
  <c r="AZ451" i="1"/>
  <c r="AV451" i="1"/>
  <c r="AV452" i="1" s="1"/>
  <c r="AW452" i="1" s="1"/>
  <c r="BA450" i="1"/>
  <c r="BB450" i="1" s="1"/>
  <c r="AZ450" i="1"/>
  <c r="BA449" i="1"/>
  <c r="AZ449" i="1"/>
  <c r="BC448" i="1"/>
  <c r="BA448" i="1"/>
  <c r="AZ448" i="1"/>
  <c r="BB448" i="1" s="1"/>
  <c r="BA447" i="1"/>
  <c r="AZ447" i="1"/>
  <c r="BA446" i="1"/>
  <c r="AZ446" i="1"/>
  <c r="BA445" i="1"/>
  <c r="BB445" i="1" s="1"/>
  <c r="AZ445" i="1"/>
  <c r="BA444" i="1"/>
  <c r="AZ444" i="1"/>
  <c r="BA443" i="1"/>
  <c r="AZ443" i="1"/>
  <c r="BC442" i="1"/>
  <c r="BB442" i="1"/>
  <c r="BA442" i="1"/>
  <c r="AZ442" i="1"/>
  <c r="BB441" i="1"/>
  <c r="BA441" i="1"/>
  <c r="AZ441" i="1"/>
  <c r="BC441" i="1" s="1"/>
  <c r="BA440" i="1"/>
  <c r="AZ440" i="1"/>
  <c r="BA439" i="1"/>
  <c r="BB439" i="1" s="1"/>
  <c r="AZ439" i="1"/>
  <c r="BB438" i="1"/>
  <c r="BA438" i="1"/>
  <c r="AZ438" i="1"/>
  <c r="BA437" i="1"/>
  <c r="AZ437" i="1"/>
  <c r="BC437" i="1" s="1"/>
  <c r="BC436" i="1"/>
  <c r="BA436" i="1"/>
  <c r="BB436" i="1" s="1"/>
  <c r="AZ436" i="1"/>
  <c r="AV436" i="1"/>
  <c r="AU436" i="1"/>
  <c r="AU437" i="1" s="1"/>
  <c r="AU438" i="1" s="1"/>
  <c r="AU439" i="1" s="1"/>
  <c r="AU440" i="1" s="1"/>
  <c r="AU441" i="1" s="1"/>
  <c r="AU442" i="1" s="1"/>
  <c r="AU443" i="1" s="1"/>
  <c r="AU444" i="1" s="1"/>
  <c r="AU445" i="1" s="1"/>
  <c r="AU446" i="1" s="1"/>
  <c r="AU447" i="1" s="1"/>
  <c r="AU448" i="1" s="1"/>
  <c r="AU449" i="1" s="1"/>
  <c r="AU450" i="1" s="1"/>
  <c r="AU451" i="1" s="1"/>
  <c r="AU452" i="1" s="1"/>
  <c r="AU453" i="1" s="1"/>
  <c r="AU454" i="1" s="1"/>
  <c r="AU455" i="1" s="1"/>
  <c r="AU456" i="1" s="1"/>
  <c r="AU457" i="1" s="1"/>
  <c r="AU458" i="1" s="1"/>
  <c r="AU459" i="1" s="1"/>
  <c r="AU460" i="1" s="1"/>
  <c r="BC435" i="1"/>
  <c r="BA435" i="1"/>
  <c r="AZ435" i="1"/>
  <c r="BB435" i="1" s="1"/>
  <c r="AV435" i="1"/>
  <c r="AW435" i="1" s="1"/>
  <c r="AX435" i="1" s="1"/>
  <c r="AT435" i="1" s="1"/>
  <c r="AY435" i="1" s="1"/>
  <c r="AU435" i="1"/>
  <c r="BC434" i="1"/>
  <c r="BA434" i="1"/>
  <c r="AZ434" i="1"/>
  <c r="BA433" i="1"/>
  <c r="BB433" i="1" s="1"/>
  <c r="AZ433" i="1"/>
  <c r="BA432" i="1"/>
  <c r="AZ432" i="1"/>
  <c r="BA431" i="1"/>
  <c r="AZ431" i="1"/>
  <c r="BC430" i="1"/>
  <c r="BA430" i="1"/>
  <c r="AZ430" i="1"/>
  <c r="AV430" i="1"/>
  <c r="BA429" i="1"/>
  <c r="AZ429" i="1"/>
  <c r="AV429" i="1"/>
  <c r="AW429" i="1" s="1"/>
  <c r="AX429" i="1" s="1"/>
  <c r="AT429" i="1" s="1"/>
  <c r="AY429" i="1" s="1"/>
  <c r="BC428" i="1"/>
  <c r="BA428" i="1"/>
  <c r="AZ428" i="1"/>
  <c r="AW428" i="1"/>
  <c r="AX428" i="1" s="1"/>
  <c r="AT428" i="1" s="1"/>
  <c r="AY428" i="1" s="1"/>
  <c r="AV428" i="1"/>
  <c r="BA427" i="1"/>
  <c r="BB427" i="1" s="1"/>
  <c r="AZ427" i="1"/>
  <c r="AV427" i="1"/>
  <c r="AW427" i="1" s="1"/>
  <c r="AX427" i="1" s="1"/>
  <c r="AT427" i="1" s="1"/>
  <c r="AY427" i="1" s="1"/>
  <c r="BB426" i="1"/>
  <c r="BA426" i="1"/>
  <c r="AZ426" i="1"/>
  <c r="BC426" i="1" s="1"/>
  <c r="AW426" i="1"/>
  <c r="AX426" i="1" s="1"/>
  <c r="AT426" i="1" s="1"/>
  <c r="AY426" i="1" s="1"/>
  <c r="AV426" i="1"/>
  <c r="BC425" i="1"/>
  <c r="BA425" i="1"/>
  <c r="AZ425" i="1"/>
  <c r="AX425" i="1"/>
  <c r="AW425" i="1"/>
  <c r="AV425" i="1"/>
  <c r="AT425" i="1"/>
  <c r="AY425" i="1" s="1"/>
  <c r="BC424" i="1"/>
  <c r="BA424" i="1"/>
  <c r="BB424" i="1" s="1"/>
  <c r="AZ424" i="1"/>
  <c r="BA423" i="1"/>
  <c r="AZ423" i="1"/>
  <c r="BA422" i="1"/>
  <c r="AZ422" i="1"/>
  <c r="BB422" i="1" s="1"/>
  <c r="BB421" i="1"/>
  <c r="BA421" i="1"/>
  <c r="AZ421" i="1"/>
  <c r="BC420" i="1"/>
  <c r="BA420" i="1"/>
  <c r="AZ420" i="1"/>
  <c r="BB420" i="1" s="1"/>
  <c r="AV420" i="1"/>
  <c r="BA419" i="1"/>
  <c r="AZ419" i="1"/>
  <c r="BA418" i="1"/>
  <c r="BB418" i="1" s="1"/>
  <c r="AZ418" i="1"/>
  <c r="BB417" i="1"/>
  <c r="BA417" i="1"/>
  <c r="AZ417" i="1"/>
  <c r="BA416" i="1"/>
  <c r="AZ416" i="1"/>
  <c r="BA415" i="1"/>
  <c r="AZ415" i="1"/>
  <c r="BB415" i="1" s="1"/>
  <c r="BA414" i="1"/>
  <c r="AZ414" i="1"/>
  <c r="BC414" i="1" s="1"/>
  <c r="BA413" i="1"/>
  <c r="AZ413" i="1"/>
  <c r="BA412" i="1"/>
  <c r="AZ412" i="1"/>
  <c r="BA411" i="1"/>
  <c r="AZ411" i="1"/>
  <c r="BA410" i="1"/>
  <c r="AZ410" i="1"/>
  <c r="BA409" i="1"/>
  <c r="AZ409" i="1"/>
  <c r="BA408" i="1"/>
  <c r="AZ408" i="1"/>
  <c r="BB407" i="1"/>
  <c r="BA407" i="1"/>
  <c r="BC407" i="1" s="1"/>
  <c r="AZ407" i="1"/>
  <c r="BA406" i="1"/>
  <c r="AZ406" i="1"/>
  <c r="AV406" i="1"/>
  <c r="BC405" i="1"/>
  <c r="BA405" i="1"/>
  <c r="AZ405" i="1"/>
  <c r="BB405" i="1" s="1"/>
  <c r="AV405" i="1"/>
  <c r="AW405" i="1" s="1"/>
  <c r="AX405" i="1" s="1"/>
  <c r="AT405" i="1" s="1"/>
  <c r="AY405" i="1" s="1"/>
  <c r="AU405" i="1"/>
  <c r="AU406" i="1" s="1"/>
  <c r="AU407" i="1" s="1"/>
  <c r="AU408" i="1" s="1"/>
  <c r="AU409" i="1" s="1"/>
  <c r="AU410" i="1" s="1"/>
  <c r="AU411" i="1" s="1"/>
  <c r="AU412" i="1" s="1"/>
  <c r="AU413" i="1" s="1"/>
  <c r="AU414" i="1" s="1"/>
  <c r="AU415" i="1" s="1"/>
  <c r="AU416" i="1" s="1"/>
  <c r="AU417" i="1" s="1"/>
  <c r="AU418" i="1" s="1"/>
  <c r="AU419" i="1" s="1"/>
  <c r="AU420" i="1" s="1"/>
  <c r="AU421" i="1" s="1"/>
  <c r="AU422" i="1" s="1"/>
  <c r="AU423" i="1" s="1"/>
  <c r="AU424" i="1" s="1"/>
  <c r="AU425" i="1" s="1"/>
  <c r="AU426" i="1" s="1"/>
  <c r="AU427" i="1" s="1"/>
  <c r="AU428" i="1" s="1"/>
  <c r="AU429" i="1" s="1"/>
  <c r="AU430" i="1" s="1"/>
  <c r="AU431" i="1" s="1"/>
  <c r="AU432" i="1" s="1"/>
  <c r="AU433" i="1" s="1"/>
  <c r="AU434" i="1" s="1"/>
  <c r="BC404" i="1"/>
  <c r="BA404" i="1"/>
  <c r="AZ404" i="1"/>
  <c r="BB404" i="1" s="1"/>
  <c r="AW404" i="1"/>
  <c r="AX404" i="1" s="1"/>
  <c r="AT404" i="1" s="1"/>
  <c r="AY404" i="1" s="1"/>
  <c r="AV404" i="1"/>
  <c r="AU404" i="1"/>
  <c r="BA403" i="1"/>
  <c r="AZ403" i="1"/>
  <c r="BC403" i="1" s="1"/>
  <c r="BA402" i="1"/>
  <c r="AZ402" i="1"/>
  <c r="BA401" i="1"/>
  <c r="AZ401" i="1"/>
  <c r="BC401" i="1" s="1"/>
  <c r="BA400" i="1"/>
  <c r="AZ400" i="1"/>
  <c r="BC400" i="1" s="1"/>
  <c r="AV400" i="1"/>
  <c r="AW400" i="1" s="1"/>
  <c r="AX400" i="1" s="1"/>
  <c r="AT400" i="1" s="1"/>
  <c r="AY400" i="1" s="1"/>
  <c r="BC399" i="1"/>
  <c r="BB399" i="1"/>
  <c r="BA399" i="1"/>
  <c r="AZ399" i="1"/>
  <c r="AV399" i="1"/>
  <c r="AW399" i="1" s="1"/>
  <c r="AX399" i="1" s="1"/>
  <c r="AT399" i="1"/>
  <c r="AY399" i="1" s="1"/>
  <c r="BA398" i="1"/>
  <c r="AZ398" i="1"/>
  <c r="AY398" i="1"/>
  <c r="AW398" i="1"/>
  <c r="AX398" i="1" s="1"/>
  <c r="AT398" i="1" s="1"/>
  <c r="AV398" i="1"/>
  <c r="BC397" i="1"/>
  <c r="BB397" i="1"/>
  <c r="BA397" i="1"/>
  <c r="AZ397" i="1"/>
  <c r="AW397" i="1"/>
  <c r="AX397" i="1" s="1"/>
  <c r="AT397" i="1" s="1"/>
  <c r="AY397" i="1" s="1"/>
  <c r="AV397" i="1"/>
  <c r="BA396" i="1"/>
  <c r="AZ396" i="1"/>
  <c r="BB395" i="1"/>
  <c r="BA395" i="1"/>
  <c r="AZ395" i="1"/>
  <c r="BC395" i="1" s="1"/>
  <c r="AV395" i="1"/>
  <c r="BC394" i="1"/>
  <c r="BA394" i="1"/>
  <c r="AZ394" i="1"/>
  <c r="AV394" i="1"/>
  <c r="AW394" i="1" s="1"/>
  <c r="AX394" i="1" s="1"/>
  <c r="AT394" i="1"/>
  <c r="AY394" i="1" s="1"/>
  <c r="BA393" i="1"/>
  <c r="AZ393" i="1"/>
  <c r="BA392" i="1"/>
  <c r="AZ392" i="1"/>
  <c r="BB392" i="1" s="1"/>
  <c r="AY392" i="1"/>
  <c r="AW392" i="1"/>
  <c r="AX392" i="1" s="1"/>
  <c r="AT392" i="1" s="1"/>
  <c r="AV392" i="1"/>
  <c r="AV393" i="1" s="1"/>
  <c r="AW393" i="1" s="1"/>
  <c r="AX393" i="1" s="1"/>
  <c r="AT393" i="1" s="1"/>
  <c r="AY393" i="1" s="1"/>
  <c r="BC391" i="1"/>
  <c r="BB391" i="1"/>
  <c r="BA391" i="1"/>
  <c r="AZ391" i="1"/>
  <c r="AW391" i="1"/>
  <c r="AX391" i="1" s="1"/>
  <c r="AT391" i="1" s="1"/>
  <c r="AY391" i="1" s="1"/>
  <c r="AV391" i="1"/>
  <c r="BA390" i="1"/>
  <c r="AZ390" i="1"/>
  <c r="BA389" i="1"/>
  <c r="AZ389" i="1"/>
  <c r="BC389" i="1" s="1"/>
  <c r="BA388" i="1"/>
  <c r="AZ388" i="1"/>
  <c r="BA387" i="1"/>
  <c r="AZ387" i="1"/>
  <c r="BC387" i="1" s="1"/>
  <c r="BA386" i="1"/>
  <c r="AZ386" i="1"/>
  <c r="BB386" i="1" s="1"/>
  <c r="BA385" i="1"/>
  <c r="AZ385" i="1"/>
  <c r="BB385" i="1" s="1"/>
  <c r="BA384" i="1"/>
  <c r="AZ384" i="1"/>
  <c r="BA383" i="1"/>
  <c r="AZ383" i="1"/>
  <c r="BC383" i="1" s="1"/>
  <c r="BA382" i="1"/>
  <c r="AZ382" i="1"/>
  <c r="BA381" i="1"/>
  <c r="BB381" i="1" s="1"/>
  <c r="AZ381" i="1"/>
  <c r="BA380" i="1"/>
  <c r="AZ380" i="1"/>
  <c r="BC380" i="1" s="1"/>
  <c r="BA379" i="1"/>
  <c r="AZ379" i="1"/>
  <c r="AU379" i="1"/>
  <c r="AU380" i="1" s="1"/>
  <c r="AU381" i="1" s="1"/>
  <c r="AU382" i="1" s="1"/>
  <c r="AU383" i="1" s="1"/>
  <c r="AU384" i="1" s="1"/>
  <c r="AU385" i="1" s="1"/>
  <c r="AU386" i="1" s="1"/>
  <c r="AU387" i="1" s="1"/>
  <c r="AU388" i="1" s="1"/>
  <c r="AU389" i="1" s="1"/>
  <c r="AU390" i="1" s="1"/>
  <c r="AU391" i="1" s="1"/>
  <c r="AU392" i="1" s="1"/>
  <c r="AU393" i="1" s="1"/>
  <c r="AU394" i="1" s="1"/>
  <c r="AU395" i="1" s="1"/>
  <c r="AU396" i="1" s="1"/>
  <c r="AU397" i="1" s="1"/>
  <c r="AU398" i="1" s="1"/>
  <c r="AU399" i="1" s="1"/>
  <c r="AU400" i="1" s="1"/>
  <c r="AU401" i="1" s="1"/>
  <c r="AU402" i="1" s="1"/>
  <c r="AU403" i="1" s="1"/>
  <c r="BA378" i="1"/>
  <c r="AZ378" i="1"/>
  <c r="AU378" i="1"/>
  <c r="BC377" i="1"/>
  <c r="BB377" i="1"/>
  <c r="BA377" i="1"/>
  <c r="AZ377" i="1"/>
  <c r="AV377" i="1"/>
  <c r="AW377" i="1" s="1"/>
  <c r="AX377" i="1" s="1"/>
  <c r="AT377" i="1" s="1"/>
  <c r="AY377" i="1" s="1"/>
  <c r="BC376" i="1"/>
  <c r="BA376" i="1"/>
  <c r="AZ376" i="1"/>
  <c r="AW376" i="1"/>
  <c r="AX376" i="1" s="1"/>
  <c r="AT376" i="1" s="1"/>
  <c r="AY376" i="1" s="1"/>
  <c r="AV376" i="1"/>
  <c r="AU376" i="1"/>
  <c r="AU377" i="1" s="1"/>
  <c r="BB375" i="1"/>
  <c r="BA375" i="1"/>
  <c r="AZ375" i="1"/>
  <c r="BC375" i="1" s="1"/>
  <c r="AT375" i="1"/>
  <c r="AY375" i="1" s="1"/>
  <c r="BA374" i="1"/>
  <c r="AZ374" i="1"/>
  <c r="BC374" i="1" s="1"/>
  <c r="AY374" i="1"/>
  <c r="AW374" i="1"/>
  <c r="AX374" i="1" s="1"/>
  <c r="AT374" i="1" s="1"/>
  <c r="AV374" i="1"/>
  <c r="AV375" i="1" s="1"/>
  <c r="AW375" i="1" s="1"/>
  <c r="AX375" i="1" s="1"/>
  <c r="BC373" i="1"/>
  <c r="BA373" i="1"/>
  <c r="AZ373" i="1"/>
  <c r="BB373" i="1" s="1"/>
  <c r="AW373" i="1"/>
  <c r="AX373" i="1" s="1"/>
  <c r="AT373" i="1" s="1"/>
  <c r="AY373" i="1" s="1"/>
  <c r="AV373" i="1"/>
  <c r="BA372" i="1"/>
  <c r="AZ372" i="1"/>
  <c r="AV372" i="1"/>
  <c r="AW372" i="1" s="1"/>
  <c r="AX372" i="1" s="1"/>
  <c r="AT372" i="1" s="1"/>
  <c r="AY372" i="1" s="1"/>
  <c r="AU372" i="1"/>
  <c r="AU373" i="1" s="1"/>
  <c r="AU374" i="1" s="1"/>
  <c r="AU375" i="1" s="1"/>
  <c r="BC371" i="1"/>
  <c r="BB371" i="1"/>
  <c r="BA371" i="1"/>
  <c r="AZ371" i="1"/>
  <c r="AX371" i="1"/>
  <c r="AV371" i="1"/>
  <c r="AW371" i="1" s="1"/>
  <c r="AT371" i="1"/>
  <c r="AY371" i="1" s="1"/>
  <c r="BC370" i="1"/>
  <c r="BA370" i="1"/>
  <c r="AZ370" i="1"/>
  <c r="BA369" i="1"/>
  <c r="BB369" i="1" s="1"/>
  <c r="AZ369" i="1"/>
  <c r="BA368" i="1"/>
  <c r="AZ368" i="1"/>
  <c r="BA367" i="1"/>
  <c r="AZ367" i="1"/>
  <c r="BC367" i="1" s="1"/>
  <c r="BA366" i="1"/>
  <c r="AZ366" i="1"/>
  <c r="BA365" i="1"/>
  <c r="AZ365" i="1"/>
  <c r="BB365" i="1" s="1"/>
  <c r="BA364" i="1"/>
  <c r="BC364" i="1" s="1"/>
  <c r="AZ364" i="1"/>
  <c r="BA363" i="1"/>
  <c r="BB363" i="1" s="1"/>
  <c r="AZ363" i="1"/>
  <c r="BA362" i="1"/>
  <c r="AZ362" i="1"/>
  <c r="BA361" i="1"/>
  <c r="AZ361" i="1"/>
  <c r="BA360" i="1"/>
  <c r="AZ360" i="1"/>
  <c r="BA359" i="1"/>
  <c r="BC359" i="1" s="1"/>
  <c r="AZ359" i="1"/>
  <c r="BA358" i="1"/>
  <c r="BC358" i="1" s="1"/>
  <c r="AZ358" i="1"/>
  <c r="AV358" i="1"/>
  <c r="AV359" i="1" s="1"/>
  <c r="BC357" i="1"/>
  <c r="BB357" i="1"/>
  <c r="BA357" i="1"/>
  <c r="AZ357" i="1"/>
  <c r="AV357" i="1"/>
  <c r="AW357" i="1" s="1"/>
  <c r="AX357" i="1" s="1"/>
  <c r="AU357" i="1"/>
  <c r="AU358" i="1" s="1"/>
  <c r="AU359" i="1" s="1"/>
  <c r="AU360" i="1" s="1"/>
  <c r="AU361" i="1" s="1"/>
  <c r="AU362" i="1" s="1"/>
  <c r="AU363" i="1" s="1"/>
  <c r="AU364" i="1" s="1"/>
  <c r="AU365" i="1" s="1"/>
  <c r="AU366" i="1" s="1"/>
  <c r="AU367" i="1" s="1"/>
  <c r="AU368" i="1" s="1"/>
  <c r="AU369" i="1" s="1"/>
  <c r="AU370" i="1" s="1"/>
  <c r="AU371" i="1" s="1"/>
  <c r="AT357" i="1"/>
  <c r="AY357" i="1" s="1"/>
  <c r="BC356" i="1"/>
  <c r="BA356" i="1"/>
  <c r="AZ356" i="1"/>
  <c r="BB356" i="1" s="1"/>
  <c r="AY356" i="1"/>
  <c r="AW356" i="1"/>
  <c r="AX356" i="1" s="1"/>
  <c r="AT356" i="1" s="1"/>
  <c r="AV356" i="1"/>
  <c r="AU356" i="1"/>
  <c r="BA355" i="1"/>
  <c r="AZ355" i="1"/>
  <c r="BA354" i="1"/>
  <c r="AZ354" i="1"/>
  <c r="BB353" i="1"/>
  <c r="BA353" i="1"/>
  <c r="AZ353" i="1"/>
  <c r="BC353" i="1" s="1"/>
  <c r="AV353" i="1"/>
  <c r="AW353" i="1" s="1"/>
  <c r="AX353" i="1" s="1"/>
  <c r="AT353" i="1" s="1"/>
  <c r="AY353" i="1" s="1"/>
  <c r="BA352" i="1"/>
  <c r="AZ352" i="1"/>
  <c r="BC352" i="1" s="1"/>
  <c r="AW352" i="1"/>
  <c r="AX352" i="1" s="1"/>
  <c r="AT352" i="1" s="1"/>
  <c r="AY352" i="1" s="1"/>
  <c r="AV352" i="1"/>
  <c r="BC351" i="1"/>
  <c r="BA351" i="1"/>
  <c r="AZ351" i="1"/>
  <c r="BB351" i="1" s="1"/>
  <c r="AW351" i="1"/>
  <c r="AX351" i="1" s="1"/>
  <c r="AT351" i="1" s="1"/>
  <c r="AY351" i="1" s="1"/>
  <c r="AV351" i="1"/>
  <c r="BB350" i="1"/>
  <c r="BA350" i="1"/>
  <c r="AZ350" i="1"/>
  <c r="BC350" i="1" s="1"/>
  <c r="BA349" i="1"/>
  <c r="AZ349" i="1"/>
  <c r="BA348" i="1"/>
  <c r="AZ348" i="1"/>
  <c r="BA347" i="1"/>
  <c r="AZ347" i="1"/>
  <c r="BC347" i="1" s="1"/>
  <c r="BA346" i="1"/>
  <c r="AZ346" i="1"/>
  <c r="BB346" i="1" s="1"/>
  <c r="BB345" i="1"/>
  <c r="BA345" i="1"/>
  <c r="AZ345" i="1"/>
  <c r="BA344" i="1"/>
  <c r="AZ344" i="1"/>
  <c r="BA343" i="1"/>
  <c r="AZ343" i="1"/>
  <c r="BA342" i="1"/>
  <c r="AZ342" i="1"/>
  <c r="BA341" i="1"/>
  <c r="AZ341" i="1"/>
  <c r="BC340" i="1"/>
  <c r="BA340" i="1"/>
  <c r="AZ340" i="1"/>
  <c r="AV340" i="1"/>
  <c r="AW340" i="1" s="1"/>
  <c r="AX340" i="1" s="1"/>
  <c r="AT340" i="1"/>
  <c r="AY340" i="1" s="1"/>
  <c r="BA339" i="1"/>
  <c r="AZ339" i="1"/>
  <c r="AX339" i="1"/>
  <c r="AT339" i="1" s="1"/>
  <c r="AY339" i="1" s="1"/>
  <c r="AW339" i="1"/>
  <c r="BA338" i="1"/>
  <c r="AZ338" i="1"/>
  <c r="BC338" i="1" s="1"/>
  <c r="AV338" i="1"/>
  <c r="AV339" i="1" s="1"/>
  <c r="BC337" i="1"/>
  <c r="BB337" i="1"/>
  <c r="BA337" i="1"/>
  <c r="AZ337" i="1"/>
  <c r="AX337" i="1"/>
  <c r="AW337" i="1"/>
  <c r="AV337" i="1"/>
  <c r="AU337" i="1"/>
  <c r="AU338" i="1" s="1"/>
  <c r="AU339" i="1" s="1"/>
  <c r="AU340" i="1" s="1"/>
  <c r="AU341" i="1" s="1"/>
  <c r="AU342" i="1" s="1"/>
  <c r="AU343" i="1" s="1"/>
  <c r="AU344" i="1" s="1"/>
  <c r="AU345" i="1" s="1"/>
  <c r="AU346" i="1" s="1"/>
  <c r="AU347" i="1" s="1"/>
  <c r="AU348" i="1" s="1"/>
  <c r="AU349" i="1" s="1"/>
  <c r="AU350" i="1" s="1"/>
  <c r="AU351" i="1" s="1"/>
  <c r="AU352" i="1" s="1"/>
  <c r="AU353" i="1" s="1"/>
  <c r="AU354" i="1" s="1"/>
  <c r="AU355" i="1" s="1"/>
  <c r="AT337" i="1"/>
  <c r="AY337" i="1" s="1"/>
  <c r="BC336" i="1"/>
  <c r="BA336" i="1"/>
  <c r="AZ336" i="1"/>
  <c r="AV336" i="1"/>
  <c r="AW336" i="1" s="1"/>
  <c r="AX336" i="1" s="1"/>
  <c r="AT336" i="1" s="1"/>
  <c r="AY336" i="1" s="1"/>
  <c r="AU336" i="1"/>
  <c r="BA335" i="1"/>
  <c r="AZ335" i="1"/>
  <c r="BB335" i="1" s="1"/>
  <c r="BA334" i="1"/>
  <c r="AZ334" i="1"/>
  <c r="BB334" i="1" s="1"/>
  <c r="BA333" i="1"/>
  <c r="AZ333" i="1"/>
  <c r="BA332" i="1"/>
  <c r="BB332" i="1" s="1"/>
  <c r="AZ332" i="1"/>
  <c r="BA331" i="1"/>
  <c r="AZ331" i="1"/>
  <c r="BC330" i="1"/>
  <c r="BA330" i="1"/>
  <c r="AZ330" i="1"/>
  <c r="BB330" i="1" s="1"/>
  <c r="AV330" i="1"/>
  <c r="BA329" i="1"/>
  <c r="AZ329" i="1"/>
  <c r="BA328" i="1"/>
  <c r="AZ328" i="1"/>
  <c r="AW328" i="1"/>
  <c r="AX328" i="1" s="1"/>
  <c r="AV328" i="1"/>
  <c r="AV329" i="1" s="1"/>
  <c r="AW329" i="1" s="1"/>
  <c r="AX329" i="1" s="1"/>
  <c r="AT329" i="1" s="1"/>
  <c r="AY329" i="1" s="1"/>
  <c r="AT328" i="1"/>
  <c r="AY328" i="1" s="1"/>
  <c r="BC327" i="1"/>
  <c r="BA327" i="1"/>
  <c r="AZ327" i="1"/>
  <c r="AW327" i="1"/>
  <c r="AX327" i="1" s="1"/>
  <c r="AT327" i="1" s="1"/>
  <c r="AY327" i="1" s="1"/>
  <c r="AV327" i="1"/>
  <c r="BA326" i="1"/>
  <c r="AZ326" i="1"/>
  <c r="BA325" i="1"/>
  <c r="BB325" i="1" s="1"/>
  <c r="AZ325" i="1"/>
  <c r="BC325" i="1" s="1"/>
  <c r="AU325" i="1"/>
  <c r="AU326" i="1" s="1"/>
  <c r="AU327" i="1" s="1"/>
  <c r="AU328" i="1" s="1"/>
  <c r="AU329" i="1" s="1"/>
  <c r="AU330" i="1" s="1"/>
  <c r="AU331" i="1" s="1"/>
  <c r="AU332" i="1" s="1"/>
  <c r="AU333" i="1" s="1"/>
  <c r="AU334" i="1" s="1"/>
  <c r="AU335" i="1" s="1"/>
  <c r="BA324" i="1"/>
  <c r="AZ324" i="1"/>
  <c r="AV324" i="1"/>
  <c r="BA323" i="1"/>
  <c r="BC323" i="1" s="1"/>
  <c r="AZ323" i="1"/>
  <c r="AY323" i="1"/>
  <c r="AX323" i="1"/>
  <c r="AT323" i="1" s="1"/>
  <c r="AV323" i="1"/>
  <c r="AW323" i="1" s="1"/>
  <c r="BC322" i="1"/>
  <c r="BA322" i="1"/>
  <c r="AZ322" i="1"/>
  <c r="AY322" i="1"/>
  <c r="AV322" i="1"/>
  <c r="AW322" i="1" s="1"/>
  <c r="AX322" i="1" s="1"/>
  <c r="AT322" i="1" s="1"/>
  <c r="BA321" i="1"/>
  <c r="AZ321" i="1"/>
  <c r="BB320" i="1"/>
  <c r="BA320" i="1"/>
  <c r="AZ320" i="1"/>
  <c r="BC320" i="1" s="1"/>
  <c r="BB319" i="1"/>
  <c r="BA319" i="1"/>
  <c r="AZ319" i="1"/>
  <c r="BC319" i="1" s="1"/>
  <c r="BA318" i="1"/>
  <c r="AZ318" i="1"/>
  <c r="BA317" i="1"/>
  <c r="AZ317" i="1"/>
  <c r="BA316" i="1"/>
  <c r="AZ316" i="1"/>
  <c r="BC316" i="1" s="1"/>
  <c r="BA315" i="1"/>
  <c r="BC315" i="1" s="1"/>
  <c r="AZ315" i="1"/>
  <c r="BB315" i="1" s="1"/>
  <c r="BA314" i="1"/>
  <c r="AZ314" i="1"/>
  <c r="BC314" i="1" s="1"/>
  <c r="BA313" i="1"/>
  <c r="AZ313" i="1"/>
  <c r="BA312" i="1"/>
  <c r="BC312" i="1" s="1"/>
  <c r="AZ312" i="1"/>
  <c r="BB311" i="1"/>
  <c r="BA311" i="1"/>
  <c r="AZ311" i="1"/>
  <c r="BC311" i="1" s="1"/>
  <c r="BA310" i="1"/>
  <c r="AZ310" i="1"/>
  <c r="AW310" i="1"/>
  <c r="AX310" i="1" s="1"/>
  <c r="AT310" i="1" s="1"/>
  <c r="AY310" i="1" s="1"/>
  <c r="AV310" i="1"/>
  <c r="AV311" i="1" s="1"/>
  <c r="BA309" i="1"/>
  <c r="BC309" i="1" s="1"/>
  <c r="AZ309" i="1"/>
  <c r="BB309" i="1" s="1"/>
  <c r="AX309" i="1"/>
  <c r="AT309" i="1" s="1"/>
  <c r="AY309" i="1" s="1"/>
  <c r="BA308" i="1"/>
  <c r="AZ308" i="1"/>
  <c r="AW308" i="1"/>
  <c r="AX308" i="1" s="1"/>
  <c r="AT308" i="1" s="1"/>
  <c r="AY308" i="1" s="1"/>
  <c r="AV308" i="1"/>
  <c r="AV309" i="1" s="1"/>
  <c r="AW309" i="1" s="1"/>
  <c r="BC307" i="1"/>
  <c r="BA307" i="1"/>
  <c r="AZ307" i="1"/>
  <c r="BB307" i="1" s="1"/>
  <c r="AX307" i="1"/>
  <c r="AT307" i="1" s="1"/>
  <c r="AY307" i="1" s="1"/>
  <c r="AW307" i="1"/>
  <c r="AV307" i="1"/>
  <c r="AU307" i="1"/>
  <c r="AU308" i="1" s="1"/>
  <c r="AU309" i="1" s="1"/>
  <c r="AU310" i="1" s="1"/>
  <c r="AU311" i="1" s="1"/>
  <c r="AU312" i="1" s="1"/>
  <c r="AU313" i="1" s="1"/>
  <c r="AU314" i="1" s="1"/>
  <c r="AU315" i="1" s="1"/>
  <c r="AU316" i="1" s="1"/>
  <c r="AU317" i="1" s="1"/>
  <c r="AU318" i="1" s="1"/>
  <c r="AU319" i="1" s="1"/>
  <c r="AU320" i="1" s="1"/>
  <c r="AU321" i="1" s="1"/>
  <c r="AU322" i="1" s="1"/>
  <c r="AU323" i="1" s="1"/>
  <c r="AU324" i="1" s="1"/>
  <c r="BC306" i="1"/>
  <c r="BA306" i="1"/>
  <c r="AZ306" i="1"/>
  <c r="AX306" i="1"/>
  <c r="AT306" i="1" s="1"/>
  <c r="AY306" i="1" s="1"/>
  <c r="AV306" i="1"/>
  <c r="AW306" i="1" s="1"/>
  <c r="AU306" i="1"/>
  <c r="BA305" i="1"/>
  <c r="BC305" i="1" s="1"/>
  <c r="AZ305" i="1"/>
  <c r="AY305" i="1"/>
  <c r="AV305" i="1"/>
  <c r="AW305" i="1" s="1"/>
  <c r="AX305" i="1" s="1"/>
  <c r="AT305" i="1" s="1"/>
  <c r="BA304" i="1"/>
  <c r="AZ304" i="1"/>
  <c r="AV304" i="1"/>
  <c r="AW304" i="1" s="1"/>
  <c r="AX304" i="1" s="1"/>
  <c r="AT304" i="1" s="1"/>
  <c r="AY304" i="1" s="1"/>
  <c r="BA303" i="1"/>
  <c r="BC303" i="1" s="1"/>
  <c r="AZ303" i="1"/>
  <c r="BB303" i="1" s="1"/>
  <c r="AW303" i="1"/>
  <c r="AX303" i="1" s="1"/>
  <c r="AT303" i="1"/>
  <c r="AY303" i="1" s="1"/>
  <c r="BC302" i="1"/>
  <c r="BA302" i="1"/>
  <c r="AZ302" i="1"/>
  <c r="BB302" i="1" s="1"/>
  <c r="AY302" i="1"/>
  <c r="AW302" i="1"/>
  <c r="AX302" i="1" s="1"/>
  <c r="AT302" i="1" s="1"/>
  <c r="AV302" i="1"/>
  <c r="AV303" i="1" s="1"/>
  <c r="BA301" i="1"/>
  <c r="AZ301" i="1"/>
  <c r="BC300" i="1"/>
  <c r="BA300" i="1"/>
  <c r="AZ300" i="1"/>
  <c r="AV300" i="1"/>
  <c r="BC299" i="1"/>
  <c r="BA299" i="1"/>
  <c r="AZ299" i="1"/>
  <c r="BC298" i="1"/>
  <c r="BA298" i="1"/>
  <c r="AZ298" i="1"/>
  <c r="BB298" i="1" s="1"/>
  <c r="AY298" i="1"/>
  <c r="AV298" i="1"/>
  <c r="AW298" i="1" s="1"/>
  <c r="AX298" i="1" s="1"/>
  <c r="AT298" i="1" s="1"/>
  <c r="BB297" i="1"/>
  <c r="BA297" i="1"/>
  <c r="BC297" i="1" s="1"/>
  <c r="AZ297" i="1"/>
  <c r="BA296" i="1"/>
  <c r="AZ296" i="1"/>
  <c r="BC296" i="1" s="1"/>
  <c r="BA295" i="1"/>
  <c r="AZ295" i="1"/>
  <c r="BA294" i="1"/>
  <c r="BC294" i="1" s="1"/>
  <c r="AZ294" i="1"/>
  <c r="BA293" i="1"/>
  <c r="BB293" i="1" s="1"/>
  <c r="AZ293" i="1"/>
  <c r="BC293" i="1" s="1"/>
  <c r="BA292" i="1"/>
  <c r="AZ292" i="1"/>
  <c r="BA291" i="1"/>
  <c r="AZ291" i="1"/>
  <c r="BB291" i="1" s="1"/>
  <c r="BA290" i="1"/>
  <c r="AZ290" i="1"/>
  <c r="BC290" i="1" s="1"/>
  <c r="BA289" i="1"/>
  <c r="AZ289" i="1"/>
  <c r="BA288" i="1"/>
  <c r="AZ288" i="1"/>
  <c r="BC288" i="1" s="1"/>
  <c r="BC287" i="1"/>
  <c r="BA287" i="1"/>
  <c r="BB287" i="1" s="1"/>
  <c r="AZ287" i="1"/>
  <c r="BA286" i="1"/>
  <c r="AZ286" i="1"/>
  <c r="BA285" i="1"/>
  <c r="BC285" i="1" s="1"/>
  <c r="AZ285" i="1"/>
  <c r="BB285" i="1" s="1"/>
  <c r="AW285" i="1"/>
  <c r="AX285" i="1" s="1"/>
  <c r="AT285" i="1" s="1"/>
  <c r="AY285" i="1" s="1"/>
  <c r="AV285" i="1"/>
  <c r="AV286" i="1" s="1"/>
  <c r="BC284" i="1"/>
  <c r="BA284" i="1"/>
  <c r="AZ284" i="1"/>
  <c r="BB284" i="1" s="1"/>
  <c r="AW284" i="1"/>
  <c r="AX284" i="1" s="1"/>
  <c r="AV284" i="1"/>
  <c r="AU284" i="1"/>
  <c r="AU285" i="1" s="1"/>
  <c r="AU286" i="1" s="1"/>
  <c r="AU287" i="1" s="1"/>
  <c r="AU288" i="1" s="1"/>
  <c r="AU289" i="1" s="1"/>
  <c r="AU290" i="1" s="1"/>
  <c r="AU291" i="1" s="1"/>
  <c r="AU292" i="1" s="1"/>
  <c r="AU293" i="1" s="1"/>
  <c r="AU294" i="1" s="1"/>
  <c r="AU295" i="1" s="1"/>
  <c r="AU296" i="1" s="1"/>
  <c r="AU297" i="1" s="1"/>
  <c r="AU298" i="1" s="1"/>
  <c r="AU299" i="1" s="1"/>
  <c r="AU300" i="1" s="1"/>
  <c r="AU301" i="1" s="1"/>
  <c r="AU302" i="1" s="1"/>
  <c r="AU303" i="1" s="1"/>
  <c r="AU304" i="1" s="1"/>
  <c r="AU305" i="1" s="1"/>
  <c r="AT284" i="1"/>
  <c r="AY284" i="1" s="1"/>
  <c r="BC283" i="1"/>
  <c r="BA283" i="1"/>
  <c r="AZ283" i="1"/>
  <c r="AW283" i="1"/>
  <c r="AX283" i="1" s="1"/>
  <c r="AT283" i="1" s="1"/>
  <c r="AY283" i="1" s="1"/>
  <c r="AV283" i="1"/>
  <c r="AU283" i="1"/>
  <c r="BA282" i="1"/>
  <c r="AZ282" i="1"/>
  <c r="BC281" i="1"/>
  <c r="BA281" i="1"/>
  <c r="AZ281" i="1"/>
  <c r="BB281" i="1" s="1"/>
  <c r="AV281" i="1"/>
  <c r="AV282" i="1" s="1"/>
  <c r="AW282" i="1" s="1"/>
  <c r="AX282" i="1" s="1"/>
  <c r="AT282" i="1" s="1"/>
  <c r="AY282" i="1" s="1"/>
  <c r="BA280" i="1"/>
  <c r="AZ280" i="1"/>
  <c r="AV280" i="1"/>
  <c r="AW280" i="1" s="1"/>
  <c r="AX280" i="1" s="1"/>
  <c r="AT280" i="1" s="1"/>
  <c r="AY280" i="1" s="1"/>
  <c r="BA279" i="1"/>
  <c r="BC279" i="1" s="1"/>
  <c r="AZ279" i="1"/>
  <c r="BB279" i="1" s="1"/>
  <c r="AV279" i="1"/>
  <c r="AW279" i="1" s="1"/>
  <c r="AX279" i="1" s="1"/>
  <c r="AT279" i="1" s="1"/>
  <c r="AY279" i="1" s="1"/>
  <c r="BC278" i="1"/>
  <c r="BA278" i="1"/>
  <c r="AZ278" i="1"/>
  <c r="BB278" i="1" s="1"/>
  <c r="AV278" i="1"/>
  <c r="AW278" i="1" s="1"/>
  <c r="AX278" i="1" s="1"/>
  <c r="AT278" i="1" s="1"/>
  <c r="AY278" i="1" s="1"/>
  <c r="BA277" i="1"/>
  <c r="AZ277" i="1"/>
  <c r="BA276" i="1"/>
  <c r="AZ276" i="1"/>
  <c r="BA275" i="1"/>
  <c r="AZ275" i="1"/>
  <c r="BA274" i="1"/>
  <c r="AZ274" i="1"/>
  <c r="BA273" i="1"/>
  <c r="AZ273" i="1"/>
  <c r="BB273" i="1" s="1"/>
  <c r="BA272" i="1"/>
  <c r="AZ272" i="1"/>
  <c r="BA271" i="1"/>
  <c r="AZ271" i="1"/>
  <c r="BC270" i="1"/>
  <c r="BA270" i="1"/>
  <c r="AZ270" i="1"/>
  <c r="BB270" i="1" s="1"/>
  <c r="AV270" i="1"/>
  <c r="BA269" i="1"/>
  <c r="AZ269" i="1"/>
  <c r="AX269" i="1"/>
  <c r="AT269" i="1" s="1"/>
  <c r="AY269" i="1" s="1"/>
  <c r="AV269" i="1"/>
  <c r="AW269" i="1" s="1"/>
  <c r="BC268" i="1"/>
  <c r="BA268" i="1"/>
  <c r="AZ268" i="1"/>
  <c r="AW268" i="1"/>
  <c r="AX268" i="1" s="1"/>
  <c r="AT268" i="1" s="1"/>
  <c r="AY268" i="1" s="1"/>
  <c r="AV268" i="1"/>
  <c r="BA267" i="1"/>
  <c r="AZ267" i="1"/>
  <c r="BC266" i="1"/>
  <c r="BA266" i="1"/>
  <c r="AZ266" i="1"/>
  <c r="BB266" i="1" s="1"/>
  <c r="AV266" i="1"/>
  <c r="AW266" i="1" s="1"/>
  <c r="AX266" i="1" s="1"/>
  <c r="AT266" i="1"/>
  <c r="AY266" i="1" s="1"/>
  <c r="BA265" i="1"/>
  <c r="AZ265" i="1"/>
  <c r="BC264" i="1"/>
  <c r="BA264" i="1"/>
  <c r="AZ264" i="1"/>
  <c r="AV264" i="1"/>
  <c r="BA263" i="1"/>
  <c r="AZ263" i="1"/>
  <c r="BC263" i="1" s="1"/>
  <c r="BA262" i="1"/>
  <c r="AZ262" i="1"/>
  <c r="BA261" i="1"/>
  <c r="BB261" i="1" s="1"/>
  <c r="AZ261" i="1"/>
  <c r="BA260" i="1"/>
  <c r="AZ260" i="1"/>
  <c r="BC259" i="1"/>
  <c r="BA259" i="1"/>
  <c r="AZ259" i="1"/>
  <c r="BB259" i="1" s="1"/>
  <c r="BA258" i="1"/>
  <c r="AZ258" i="1"/>
  <c r="BA257" i="1"/>
  <c r="AZ257" i="1"/>
  <c r="BA256" i="1"/>
  <c r="AZ256" i="1"/>
  <c r="BB256" i="1" s="1"/>
  <c r="BA255" i="1"/>
  <c r="AZ255" i="1"/>
  <c r="BB255" i="1" s="1"/>
  <c r="BA254" i="1"/>
  <c r="AZ254" i="1"/>
  <c r="BB254" i="1" s="1"/>
  <c r="BA253" i="1"/>
  <c r="AZ253" i="1"/>
  <c r="BC252" i="1"/>
  <c r="BA252" i="1"/>
  <c r="BB252" i="1" s="1"/>
  <c r="AZ252" i="1"/>
  <c r="BA251" i="1"/>
  <c r="AZ251" i="1"/>
  <c r="AV251" i="1"/>
  <c r="BC250" i="1"/>
  <c r="BA250" i="1"/>
  <c r="AZ250" i="1"/>
  <c r="BB250" i="1" s="1"/>
  <c r="AY250" i="1"/>
  <c r="AW250" i="1"/>
  <c r="AX250" i="1" s="1"/>
  <c r="AV250" i="1"/>
  <c r="AT250" i="1"/>
  <c r="BC249" i="1"/>
  <c r="BA249" i="1"/>
  <c r="AZ249" i="1"/>
  <c r="BB249" i="1" s="1"/>
  <c r="AW249" i="1"/>
  <c r="AX249" i="1" s="1"/>
  <c r="AT249" i="1" s="1"/>
  <c r="AY249" i="1" s="1"/>
  <c r="AV249" i="1"/>
  <c r="AU249" i="1"/>
  <c r="AU250" i="1" s="1"/>
  <c r="AU251" i="1" s="1"/>
  <c r="AU252" i="1" s="1"/>
  <c r="AU253" i="1" s="1"/>
  <c r="AU254" i="1" s="1"/>
  <c r="AU255" i="1" s="1"/>
  <c r="AU256" i="1" s="1"/>
  <c r="AU257" i="1" s="1"/>
  <c r="AU258" i="1" s="1"/>
  <c r="AU259" i="1" s="1"/>
  <c r="AU260" i="1" s="1"/>
  <c r="AU261" i="1" s="1"/>
  <c r="AU262" i="1" s="1"/>
  <c r="AU263" i="1" s="1"/>
  <c r="AU264" i="1" s="1"/>
  <c r="AU265" i="1" s="1"/>
  <c r="AU266" i="1" s="1"/>
  <c r="AU267" i="1" s="1"/>
  <c r="AU268" i="1" s="1"/>
  <c r="AU269" i="1" s="1"/>
  <c r="AU270" i="1" s="1"/>
  <c r="AU271" i="1" s="1"/>
  <c r="AU272" i="1" s="1"/>
  <c r="AU273" i="1" s="1"/>
  <c r="AU274" i="1" s="1"/>
  <c r="AU275" i="1" s="1"/>
  <c r="AU276" i="1" s="1"/>
  <c r="AU277" i="1" s="1"/>
  <c r="AU278" i="1" s="1"/>
  <c r="AU279" i="1" s="1"/>
  <c r="AU280" i="1" s="1"/>
  <c r="AU281" i="1" s="1"/>
  <c r="AU282" i="1" s="1"/>
  <c r="BA248" i="1"/>
  <c r="AZ248" i="1"/>
  <c r="BA247" i="1"/>
  <c r="AZ247" i="1"/>
  <c r="BA246" i="1"/>
  <c r="BB246" i="1" s="1"/>
  <c r="AZ246" i="1"/>
  <c r="BA245" i="1"/>
  <c r="BC245" i="1" s="1"/>
  <c r="AZ245" i="1"/>
  <c r="BB244" i="1"/>
  <c r="BA244" i="1"/>
  <c r="AZ244" i="1"/>
  <c r="BC244" i="1" s="1"/>
  <c r="BA243" i="1"/>
  <c r="AZ243" i="1"/>
  <c r="BC242" i="1"/>
  <c r="BB242" i="1"/>
  <c r="BA242" i="1"/>
  <c r="AZ242" i="1"/>
  <c r="AV242" i="1"/>
  <c r="BA241" i="1"/>
  <c r="AZ241" i="1"/>
  <c r="BC240" i="1"/>
  <c r="BA240" i="1"/>
  <c r="AZ240" i="1"/>
  <c r="BC239" i="1"/>
  <c r="BA239" i="1"/>
  <c r="AZ239" i="1"/>
  <c r="AV239" i="1"/>
  <c r="BA238" i="1"/>
  <c r="AZ238" i="1"/>
  <c r="BC238" i="1" s="1"/>
  <c r="BA237" i="1"/>
  <c r="AZ237" i="1"/>
  <c r="BA236" i="1"/>
  <c r="BC236" i="1" s="1"/>
  <c r="AZ236" i="1"/>
  <c r="BB236" i="1" s="1"/>
  <c r="BA235" i="1"/>
  <c r="AZ235" i="1"/>
  <c r="BA234" i="1"/>
  <c r="AZ234" i="1"/>
  <c r="BC234" i="1" s="1"/>
  <c r="BA233" i="1"/>
  <c r="AZ233" i="1"/>
  <c r="BA232" i="1"/>
  <c r="AZ232" i="1"/>
  <c r="BA231" i="1"/>
  <c r="AZ231" i="1"/>
  <c r="BB231" i="1" s="1"/>
  <c r="BA230" i="1"/>
  <c r="BC230" i="1" s="1"/>
  <c r="AZ230" i="1"/>
  <c r="BB230" i="1" s="1"/>
  <c r="BC229" i="1"/>
  <c r="BA229" i="1"/>
  <c r="AZ229" i="1"/>
  <c r="BB229" i="1" s="1"/>
  <c r="AV229" i="1"/>
  <c r="AW229" i="1" s="1"/>
  <c r="AX229" i="1" s="1"/>
  <c r="AT229" i="1"/>
  <c r="AY229" i="1" s="1"/>
  <c r="BC228" i="1"/>
  <c r="BA228" i="1"/>
  <c r="BB228" i="1" s="1"/>
  <c r="AZ228" i="1"/>
  <c r="BC227" i="1"/>
  <c r="BA227" i="1"/>
  <c r="AZ227" i="1"/>
  <c r="BB227" i="1" s="1"/>
  <c r="AV227" i="1"/>
  <c r="BA226" i="1"/>
  <c r="AZ226" i="1"/>
  <c r="BC226" i="1" s="1"/>
  <c r="BA225" i="1"/>
  <c r="AZ225" i="1"/>
  <c r="BA224" i="1"/>
  <c r="BC224" i="1" s="1"/>
  <c r="AZ224" i="1"/>
  <c r="BC223" i="1"/>
  <c r="BA223" i="1"/>
  <c r="AZ223" i="1"/>
  <c r="BB223" i="1" s="1"/>
  <c r="BA222" i="1"/>
  <c r="BB222" i="1" s="1"/>
  <c r="AZ222" i="1"/>
  <c r="BA221" i="1"/>
  <c r="BC221" i="1" s="1"/>
  <c r="AZ221" i="1"/>
  <c r="BA220" i="1"/>
  <c r="AZ220" i="1"/>
  <c r="BA219" i="1"/>
  <c r="AZ219" i="1"/>
  <c r="BB219" i="1" s="1"/>
  <c r="BA218" i="1"/>
  <c r="AZ218" i="1"/>
  <c r="BC217" i="1"/>
  <c r="BA217" i="1"/>
  <c r="AZ217" i="1"/>
  <c r="BB217" i="1" s="1"/>
  <c r="BA216" i="1"/>
  <c r="BB216" i="1" s="1"/>
  <c r="AZ216" i="1"/>
  <c r="BB215" i="1"/>
  <c r="BA215" i="1"/>
  <c r="BC215" i="1" s="1"/>
  <c r="AZ215" i="1"/>
  <c r="AV215" i="1"/>
  <c r="BA214" i="1"/>
  <c r="AZ214" i="1"/>
  <c r="AW214" i="1"/>
  <c r="AX214" i="1" s="1"/>
  <c r="AT214" i="1" s="1"/>
  <c r="AY214" i="1" s="1"/>
  <c r="BC213" i="1"/>
  <c r="BA213" i="1"/>
  <c r="AZ213" i="1"/>
  <c r="BB213" i="1" s="1"/>
  <c r="AX213" i="1"/>
  <c r="AT213" i="1" s="1"/>
  <c r="AY213" i="1" s="1"/>
  <c r="AW213" i="1"/>
  <c r="AV213" i="1"/>
  <c r="AV214" i="1" s="1"/>
  <c r="AU213" i="1"/>
  <c r="AU214" i="1" s="1"/>
  <c r="AU215" i="1" s="1"/>
  <c r="AU216" i="1" s="1"/>
  <c r="AU217" i="1" s="1"/>
  <c r="AU218" i="1" s="1"/>
  <c r="AU219" i="1" s="1"/>
  <c r="AU220" i="1" s="1"/>
  <c r="AU221" i="1" s="1"/>
  <c r="AU222" i="1" s="1"/>
  <c r="AU223" i="1" s="1"/>
  <c r="AU224" i="1" s="1"/>
  <c r="AU225" i="1" s="1"/>
  <c r="AU226" i="1" s="1"/>
  <c r="AU227" i="1" s="1"/>
  <c r="AU228" i="1" s="1"/>
  <c r="AU229" i="1" s="1"/>
  <c r="AU230" i="1" s="1"/>
  <c r="AU231" i="1" s="1"/>
  <c r="AU232" i="1" s="1"/>
  <c r="AU233" i="1" s="1"/>
  <c r="AU234" i="1" s="1"/>
  <c r="AU235" i="1" s="1"/>
  <c r="AU236" i="1" s="1"/>
  <c r="AU237" i="1" s="1"/>
  <c r="AU238" i="1" s="1"/>
  <c r="AU239" i="1" s="1"/>
  <c r="AU240" i="1" s="1"/>
  <c r="AU241" i="1" s="1"/>
  <c r="AU242" i="1" s="1"/>
  <c r="AU243" i="1" s="1"/>
  <c r="AU244" i="1" s="1"/>
  <c r="AU245" i="1" s="1"/>
  <c r="AU246" i="1" s="1"/>
  <c r="AU247" i="1" s="1"/>
  <c r="AU248" i="1" s="1"/>
  <c r="BC212" i="1"/>
  <c r="BA212" i="1"/>
  <c r="AZ212" i="1"/>
  <c r="AX212" i="1"/>
  <c r="AT212" i="1" s="1"/>
  <c r="AY212" i="1" s="1"/>
  <c r="AW212" i="1"/>
  <c r="AV212" i="1"/>
  <c r="AU212" i="1"/>
  <c r="BA211" i="1"/>
  <c r="BC211" i="1" s="1"/>
  <c r="AZ211" i="1"/>
  <c r="BA210" i="1"/>
  <c r="AZ210" i="1"/>
  <c r="BC209" i="1"/>
  <c r="BA209" i="1"/>
  <c r="AZ209" i="1"/>
  <c r="AV209" i="1"/>
  <c r="BB208" i="1"/>
  <c r="BA208" i="1"/>
  <c r="AZ208" i="1"/>
  <c r="BA207" i="1"/>
  <c r="AZ207" i="1"/>
  <c r="BB207" i="1" s="1"/>
  <c r="BA206" i="1"/>
  <c r="BC206" i="1" s="1"/>
  <c r="AZ206" i="1"/>
  <c r="BB206" i="1" s="1"/>
  <c r="BA205" i="1"/>
  <c r="AZ205" i="1"/>
  <c r="BA204" i="1"/>
  <c r="BB204" i="1" s="1"/>
  <c r="AZ204" i="1"/>
  <c r="BB203" i="1"/>
  <c r="BA203" i="1"/>
  <c r="BC203" i="1" s="1"/>
  <c r="AZ203" i="1"/>
  <c r="BA202" i="1"/>
  <c r="BB202" i="1" s="1"/>
  <c r="AZ202" i="1"/>
  <c r="BA201" i="1"/>
  <c r="AZ201" i="1"/>
  <c r="BA200" i="1"/>
  <c r="BC200" i="1" s="1"/>
  <c r="AZ200" i="1"/>
  <c r="BC199" i="1"/>
  <c r="BA199" i="1"/>
  <c r="AZ199" i="1"/>
  <c r="BB199" i="1" s="1"/>
  <c r="BC198" i="1"/>
  <c r="BA198" i="1"/>
  <c r="AZ198" i="1"/>
  <c r="BC197" i="1"/>
  <c r="BA197" i="1"/>
  <c r="AZ197" i="1"/>
  <c r="BB197" i="1" s="1"/>
  <c r="AV197" i="1"/>
  <c r="BA196" i="1"/>
  <c r="AZ196" i="1"/>
  <c r="BC196" i="1" s="1"/>
  <c r="AW196" i="1"/>
  <c r="AX196" i="1" s="1"/>
  <c r="AT196" i="1" s="1"/>
  <c r="AY196" i="1" s="1"/>
  <c r="BA195" i="1"/>
  <c r="AZ195" i="1"/>
  <c r="AW195" i="1"/>
  <c r="AX195" i="1" s="1"/>
  <c r="AT195" i="1" s="1"/>
  <c r="AY195" i="1" s="1"/>
  <c r="BC194" i="1"/>
  <c r="BB194" i="1"/>
  <c r="BA194" i="1"/>
  <c r="AZ194" i="1"/>
  <c r="AW194" i="1"/>
  <c r="AX194" i="1" s="1"/>
  <c r="AT194" i="1" s="1"/>
  <c r="AY194" i="1" s="1"/>
  <c r="AV194" i="1"/>
  <c r="AV195" i="1" s="1"/>
  <c r="AV196" i="1" s="1"/>
  <c r="AU194" i="1"/>
  <c r="AU195" i="1" s="1"/>
  <c r="AU196" i="1" s="1"/>
  <c r="AU197" i="1" s="1"/>
  <c r="AU198" i="1" s="1"/>
  <c r="AU199" i="1" s="1"/>
  <c r="AU200" i="1" s="1"/>
  <c r="AU201" i="1" s="1"/>
  <c r="AU202" i="1" s="1"/>
  <c r="AU203" i="1" s="1"/>
  <c r="AU204" i="1" s="1"/>
  <c r="AU205" i="1" s="1"/>
  <c r="AU206" i="1" s="1"/>
  <c r="AU207" i="1" s="1"/>
  <c r="AU208" i="1" s="1"/>
  <c r="AU209" i="1" s="1"/>
  <c r="AU210" i="1" s="1"/>
  <c r="AU211" i="1" s="1"/>
  <c r="BC193" i="1"/>
  <c r="BA193" i="1"/>
  <c r="AZ193" i="1"/>
  <c r="BB193" i="1" s="1"/>
  <c r="AY193" i="1"/>
  <c r="AV193" i="1"/>
  <c r="AW193" i="1" s="1"/>
  <c r="AX193" i="1" s="1"/>
  <c r="AU193" i="1"/>
  <c r="AT193" i="1"/>
  <c r="BA192" i="1"/>
  <c r="BB192" i="1" s="1"/>
  <c r="AZ192" i="1"/>
  <c r="BC192" i="1" s="1"/>
  <c r="BA191" i="1"/>
  <c r="AZ191" i="1"/>
  <c r="BB191" i="1" s="1"/>
  <c r="BA190" i="1"/>
  <c r="AZ190" i="1"/>
  <c r="BC189" i="1"/>
  <c r="BA189" i="1"/>
  <c r="AZ189" i="1"/>
  <c r="BB189" i="1" s="1"/>
  <c r="AW189" i="1"/>
  <c r="AX189" i="1" s="1"/>
  <c r="AT189" i="1" s="1"/>
  <c r="AY189" i="1" s="1"/>
  <c r="AV189" i="1"/>
  <c r="AV190" i="1" s="1"/>
  <c r="AW190" i="1" s="1"/>
  <c r="AX190" i="1" s="1"/>
  <c r="AT190" i="1" s="1"/>
  <c r="AY190" i="1" s="1"/>
  <c r="BA188" i="1"/>
  <c r="BC188" i="1" s="1"/>
  <c r="AZ188" i="1"/>
  <c r="BA187" i="1"/>
  <c r="AZ187" i="1"/>
  <c r="AV187" i="1"/>
  <c r="AW187" i="1" s="1"/>
  <c r="AX187" i="1" s="1"/>
  <c r="AT187" i="1" s="1"/>
  <c r="AY187" i="1" s="1"/>
  <c r="BC186" i="1"/>
  <c r="BA186" i="1"/>
  <c r="BB186" i="1" s="1"/>
  <c r="AZ186" i="1"/>
  <c r="AX186" i="1"/>
  <c r="AT186" i="1" s="1"/>
  <c r="AY186" i="1" s="1"/>
  <c r="AW186" i="1"/>
  <c r="AV186" i="1"/>
  <c r="BA185" i="1"/>
  <c r="BB185" i="1" s="1"/>
  <c r="AZ185" i="1"/>
  <c r="BC185" i="1" s="1"/>
  <c r="BA184" i="1"/>
  <c r="AZ184" i="1"/>
  <c r="BC183" i="1"/>
  <c r="BA183" i="1"/>
  <c r="AZ183" i="1"/>
  <c r="BB183" i="1" s="1"/>
  <c r="BB182" i="1"/>
  <c r="BA182" i="1"/>
  <c r="AZ182" i="1"/>
  <c r="BA181" i="1"/>
  <c r="AZ181" i="1"/>
  <c r="BC180" i="1"/>
  <c r="BB180" i="1"/>
  <c r="BA180" i="1"/>
  <c r="AZ180" i="1"/>
  <c r="BC179" i="1"/>
  <c r="BA179" i="1"/>
  <c r="AZ179" i="1"/>
  <c r="BB179" i="1" s="1"/>
  <c r="BA178" i="1"/>
  <c r="BB178" i="1" s="1"/>
  <c r="AZ178" i="1"/>
  <c r="BA177" i="1"/>
  <c r="AZ177" i="1"/>
  <c r="BC176" i="1"/>
  <c r="BA176" i="1"/>
  <c r="BB176" i="1" s="1"/>
  <c r="AZ176" i="1"/>
  <c r="AV176" i="1"/>
  <c r="BA175" i="1"/>
  <c r="AZ175" i="1"/>
  <c r="BB175" i="1" s="1"/>
  <c r="AV175" i="1"/>
  <c r="AW175" i="1" s="1"/>
  <c r="AX175" i="1" s="1"/>
  <c r="AT175" i="1" s="1"/>
  <c r="AY175" i="1" s="1"/>
  <c r="BC174" i="1"/>
  <c r="BA174" i="1"/>
  <c r="BB174" i="1" s="1"/>
  <c r="AZ174" i="1"/>
  <c r="AX174" i="1"/>
  <c r="AT174" i="1" s="1"/>
  <c r="AY174" i="1" s="1"/>
  <c r="AW174" i="1"/>
  <c r="AV174" i="1"/>
  <c r="BA173" i="1"/>
  <c r="BC173" i="1" s="1"/>
  <c r="AZ173" i="1"/>
  <c r="BA172" i="1"/>
  <c r="AZ172" i="1"/>
  <c r="BC171" i="1"/>
  <c r="BA171" i="1"/>
  <c r="AZ171" i="1"/>
  <c r="BB171" i="1" s="1"/>
  <c r="BA170" i="1"/>
  <c r="AZ170" i="1"/>
  <c r="BB170" i="1" s="1"/>
  <c r="BA169" i="1"/>
  <c r="AZ169" i="1"/>
  <c r="BC168" i="1"/>
  <c r="BB168" i="1"/>
  <c r="BA168" i="1"/>
  <c r="AZ168" i="1"/>
  <c r="BB167" i="1"/>
  <c r="BA167" i="1"/>
  <c r="AZ167" i="1"/>
  <c r="BA166" i="1"/>
  <c r="AZ166" i="1"/>
  <c r="BA165" i="1"/>
  <c r="BC165" i="1" s="1"/>
  <c r="AZ165" i="1"/>
  <c r="BB164" i="1"/>
  <c r="BA164" i="1"/>
  <c r="BC164" i="1" s="1"/>
  <c r="AZ164" i="1"/>
  <c r="BA163" i="1"/>
  <c r="AZ163" i="1"/>
  <c r="AV163" i="1"/>
  <c r="AW163" i="1" s="1"/>
  <c r="AX163" i="1" s="1"/>
  <c r="AT163" i="1" s="1"/>
  <c r="AY163" i="1" s="1"/>
  <c r="BA162" i="1"/>
  <c r="AZ162" i="1"/>
  <c r="BC162" i="1" s="1"/>
  <c r="AX162" i="1"/>
  <c r="AT162" i="1" s="1"/>
  <c r="AY162" i="1" s="1"/>
  <c r="AW162" i="1"/>
  <c r="BB161" i="1"/>
  <c r="BA161" i="1"/>
  <c r="AZ161" i="1"/>
  <c r="BC161" i="1" s="1"/>
  <c r="AW161" i="1"/>
  <c r="AX161" i="1" s="1"/>
  <c r="AT161" i="1" s="1"/>
  <c r="AY161" i="1" s="1"/>
  <c r="AV161" i="1"/>
  <c r="AV162" i="1" s="1"/>
  <c r="BC160" i="1"/>
  <c r="BA160" i="1"/>
  <c r="AZ160" i="1"/>
  <c r="AX160" i="1"/>
  <c r="AW160" i="1"/>
  <c r="AV160" i="1"/>
  <c r="AT160" i="1"/>
  <c r="AY160" i="1" s="1"/>
  <c r="BC159" i="1"/>
  <c r="BA159" i="1"/>
  <c r="AZ159" i="1"/>
  <c r="BB159" i="1" s="1"/>
  <c r="AX159" i="1"/>
  <c r="AT159" i="1" s="1"/>
  <c r="AY159" i="1" s="1"/>
  <c r="AW159" i="1"/>
  <c r="AV159" i="1"/>
  <c r="AU159" i="1"/>
  <c r="AU160" i="1" s="1"/>
  <c r="AU161" i="1" s="1"/>
  <c r="AU162" i="1" s="1"/>
  <c r="AU163" i="1" s="1"/>
  <c r="AU164" i="1" s="1"/>
  <c r="AU165" i="1" s="1"/>
  <c r="AU166" i="1" s="1"/>
  <c r="AU167" i="1" s="1"/>
  <c r="AU168" i="1" s="1"/>
  <c r="AU169" i="1" s="1"/>
  <c r="AU170" i="1" s="1"/>
  <c r="AU171" i="1" s="1"/>
  <c r="AU172" i="1" s="1"/>
  <c r="AU173" i="1" s="1"/>
  <c r="AU174" i="1" s="1"/>
  <c r="AU175" i="1" s="1"/>
  <c r="AU176" i="1" s="1"/>
  <c r="AU177" i="1" s="1"/>
  <c r="AU178" i="1" s="1"/>
  <c r="AU179" i="1" s="1"/>
  <c r="AU180" i="1" s="1"/>
  <c r="AU181" i="1" s="1"/>
  <c r="AU182" i="1" s="1"/>
  <c r="AU183" i="1" s="1"/>
  <c r="AU184" i="1" s="1"/>
  <c r="AU185" i="1" s="1"/>
  <c r="AU186" i="1" s="1"/>
  <c r="AU187" i="1" s="1"/>
  <c r="AU188" i="1" s="1"/>
  <c r="AU189" i="1" s="1"/>
  <c r="AU190" i="1" s="1"/>
  <c r="AU191" i="1" s="1"/>
  <c r="AU192" i="1" s="1"/>
  <c r="BA158" i="1"/>
  <c r="AZ158" i="1"/>
  <c r="BC157" i="1"/>
  <c r="BA157" i="1"/>
  <c r="AZ157" i="1"/>
  <c r="BB157" i="1" s="1"/>
  <c r="BB156" i="1"/>
  <c r="BA156" i="1"/>
  <c r="AZ156" i="1"/>
  <c r="BA155" i="1"/>
  <c r="AZ155" i="1"/>
  <c r="BA154" i="1"/>
  <c r="BB154" i="1" s="1"/>
  <c r="AZ154" i="1"/>
  <c r="BC153" i="1"/>
  <c r="BA153" i="1"/>
  <c r="AZ153" i="1"/>
  <c r="BB153" i="1" s="1"/>
  <c r="AX153" i="1"/>
  <c r="AT153" i="1" s="1"/>
  <c r="AY153" i="1" s="1"/>
  <c r="AW153" i="1"/>
  <c r="AV153" i="1"/>
  <c r="AV154" i="1" s="1"/>
  <c r="AW154" i="1" s="1"/>
  <c r="AX154" i="1" s="1"/>
  <c r="AT154" i="1" s="1"/>
  <c r="AY154" i="1" s="1"/>
  <c r="BA152" i="1"/>
  <c r="AZ152" i="1"/>
  <c r="BA151" i="1"/>
  <c r="AZ151" i="1"/>
  <c r="BB150" i="1"/>
  <c r="BA150" i="1"/>
  <c r="BC150" i="1" s="1"/>
  <c r="AZ150" i="1"/>
  <c r="BA149" i="1"/>
  <c r="AZ149" i="1"/>
  <c r="AV149" i="1"/>
  <c r="BC148" i="1"/>
  <c r="BA148" i="1"/>
  <c r="AZ148" i="1"/>
  <c r="AW148" i="1"/>
  <c r="AX148" i="1" s="1"/>
  <c r="AT148" i="1" s="1"/>
  <c r="AY148" i="1" s="1"/>
  <c r="AV148" i="1"/>
  <c r="BA147" i="1"/>
  <c r="AZ147" i="1"/>
  <c r="BC147" i="1" s="1"/>
  <c r="BA146" i="1"/>
  <c r="AZ146" i="1"/>
  <c r="BB146" i="1" s="1"/>
  <c r="BB145" i="1"/>
  <c r="BA145" i="1"/>
  <c r="AZ145" i="1"/>
  <c r="BC145" i="1" s="1"/>
  <c r="BA144" i="1"/>
  <c r="AZ144" i="1"/>
  <c r="BC143" i="1"/>
  <c r="BA143" i="1"/>
  <c r="AZ143" i="1"/>
  <c r="BB143" i="1" s="1"/>
  <c r="BA142" i="1"/>
  <c r="AZ142" i="1"/>
  <c r="BC141" i="1"/>
  <c r="BA141" i="1"/>
  <c r="AZ141" i="1"/>
  <c r="BA140" i="1"/>
  <c r="AZ140" i="1"/>
  <c r="BA139" i="1"/>
  <c r="BC139" i="1" s="1"/>
  <c r="AZ139" i="1"/>
  <c r="BB139" i="1" s="1"/>
  <c r="BA138" i="1"/>
  <c r="BB138" i="1" s="1"/>
  <c r="AZ138" i="1"/>
  <c r="BC138" i="1" s="1"/>
  <c r="BA137" i="1"/>
  <c r="AZ137" i="1"/>
  <c r="BA136" i="1"/>
  <c r="BB136" i="1" s="1"/>
  <c r="AZ136" i="1"/>
  <c r="AU136" i="1"/>
  <c r="AU137" i="1" s="1"/>
  <c r="AU138" i="1" s="1"/>
  <c r="AU139" i="1" s="1"/>
  <c r="AU140" i="1" s="1"/>
  <c r="AU141" i="1" s="1"/>
  <c r="AU142" i="1" s="1"/>
  <c r="AU143" i="1" s="1"/>
  <c r="AU144" i="1" s="1"/>
  <c r="AU145" i="1" s="1"/>
  <c r="AU146" i="1" s="1"/>
  <c r="AU147" i="1" s="1"/>
  <c r="AU148" i="1" s="1"/>
  <c r="AU149" i="1" s="1"/>
  <c r="AU150" i="1" s="1"/>
  <c r="AU151" i="1" s="1"/>
  <c r="AU152" i="1" s="1"/>
  <c r="AU153" i="1" s="1"/>
  <c r="AU154" i="1" s="1"/>
  <c r="AU155" i="1" s="1"/>
  <c r="AU156" i="1" s="1"/>
  <c r="AU157" i="1" s="1"/>
  <c r="AU158" i="1" s="1"/>
  <c r="BA135" i="1"/>
  <c r="AZ135" i="1"/>
  <c r="BC135" i="1" s="1"/>
  <c r="AU135" i="1"/>
  <c r="BC134" i="1"/>
  <c r="BB134" i="1"/>
  <c r="BA134" i="1"/>
  <c r="AZ134" i="1"/>
  <c r="AV134" i="1"/>
  <c r="AU134" i="1"/>
  <c r="BC133" i="1"/>
  <c r="BA133" i="1"/>
  <c r="AZ133" i="1"/>
  <c r="AW133" i="1"/>
  <c r="AX133" i="1" s="1"/>
  <c r="AT133" i="1" s="1"/>
  <c r="AY133" i="1" s="1"/>
  <c r="AV133" i="1"/>
  <c r="AU133" i="1"/>
  <c r="BA132" i="1"/>
  <c r="BC132" i="1" s="1"/>
  <c r="AZ132" i="1"/>
  <c r="BA131" i="1"/>
  <c r="AZ131" i="1"/>
  <c r="BA130" i="1"/>
  <c r="BC130" i="1" s="1"/>
  <c r="AZ130" i="1"/>
  <c r="BC129" i="1"/>
  <c r="BA129" i="1"/>
  <c r="AZ129" i="1"/>
  <c r="BB129" i="1" s="1"/>
  <c r="BA128" i="1"/>
  <c r="AZ128" i="1"/>
  <c r="BC127" i="1"/>
  <c r="BA127" i="1"/>
  <c r="AZ127" i="1"/>
  <c r="BB127" i="1" s="1"/>
  <c r="BA126" i="1"/>
  <c r="BB126" i="1" s="1"/>
  <c r="AZ126" i="1"/>
  <c r="BA125" i="1"/>
  <c r="BC125" i="1" s="1"/>
  <c r="AZ125" i="1"/>
  <c r="BA124" i="1"/>
  <c r="BC124" i="1" s="1"/>
  <c r="AZ124" i="1"/>
  <c r="BA123" i="1"/>
  <c r="AZ123" i="1"/>
  <c r="BB123" i="1" s="1"/>
  <c r="BA122" i="1"/>
  <c r="AZ122" i="1"/>
  <c r="AW122" i="1"/>
  <c r="AX122" i="1" s="1"/>
  <c r="AT122" i="1" s="1"/>
  <c r="AY122" i="1" s="1"/>
  <c r="BA121" i="1"/>
  <c r="AZ121" i="1"/>
  <c r="BB121" i="1" s="1"/>
  <c r="AW121" i="1"/>
  <c r="AX121" i="1" s="1"/>
  <c r="AT121" i="1" s="1"/>
  <c r="AY121" i="1" s="1"/>
  <c r="BA120" i="1"/>
  <c r="BB120" i="1" s="1"/>
  <c r="AZ120" i="1"/>
  <c r="AV120" i="1"/>
  <c r="AV121" i="1" s="1"/>
  <c r="AV122" i="1" s="1"/>
  <c r="AV123" i="1" s="1"/>
  <c r="BC119" i="1"/>
  <c r="BA119" i="1"/>
  <c r="AZ119" i="1"/>
  <c r="AW119" i="1"/>
  <c r="AX119" i="1" s="1"/>
  <c r="AT119" i="1" s="1"/>
  <c r="AY119" i="1" s="1"/>
  <c r="AV119" i="1"/>
  <c r="BA118" i="1"/>
  <c r="AZ118" i="1"/>
  <c r="BB118" i="1" s="1"/>
  <c r="BA117" i="1"/>
  <c r="BC117" i="1" s="1"/>
  <c r="AZ117" i="1"/>
  <c r="BB117" i="1" s="1"/>
  <c r="BA116" i="1"/>
  <c r="AZ116" i="1"/>
  <c r="BC115" i="1"/>
  <c r="BA115" i="1"/>
  <c r="AZ115" i="1"/>
  <c r="BB115" i="1" s="1"/>
  <c r="BA114" i="1"/>
  <c r="BB114" i="1" s="1"/>
  <c r="AZ114" i="1"/>
  <c r="BA113" i="1"/>
  <c r="BC113" i="1" s="1"/>
  <c r="AZ113" i="1"/>
  <c r="BA112" i="1"/>
  <c r="BC112" i="1" s="1"/>
  <c r="AZ112" i="1"/>
  <c r="BA111" i="1"/>
  <c r="AZ111" i="1"/>
  <c r="AV111" i="1"/>
  <c r="AW111" i="1" s="1"/>
  <c r="AX111" i="1" s="1"/>
  <c r="AT111" i="1" s="1"/>
  <c r="AY111" i="1" s="1"/>
  <c r="BC110" i="1"/>
  <c r="BA110" i="1"/>
  <c r="AZ110" i="1"/>
  <c r="AW110" i="1"/>
  <c r="AX110" i="1" s="1"/>
  <c r="AT110" i="1" s="1"/>
  <c r="AY110" i="1" s="1"/>
  <c r="AV110" i="1"/>
  <c r="BA109" i="1"/>
  <c r="BC109" i="1" s="1"/>
  <c r="AZ109" i="1"/>
  <c r="BA108" i="1"/>
  <c r="BB108" i="1" s="1"/>
  <c r="AZ108" i="1"/>
  <c r="BA107" i="1"/>
  <c r="AZ107" i="1"/>
  <c r="BB107" i="1" s="1"/>
  <c r="BA106" i="1"/>
  <c r="AZ106" i="1"/>
  <c r="BA105" i="1"/>
  <c r="AZ105" i="1"/>
  <c r="BC105" i="1" s="1"/>
  <c r="BA104" i="1"/>
  <c r="BC104" i="1" s="1"/>
  <c r="AZ104" i="1"/>
  <c r="BA103" i="1"/>
  <c r="AZ103" i="1"/>
  <c r="BB103" i="1" s="1"/>
  <c r="BA102" i="1"/>
  <c r="BB102" i="1" s="1"/>
  <c r="AZ102" i="1"/>
  <c r="BC101" i="1"/>
  <c r="BA101" i="1"/>
  <c r="AZ101" i="1"/>
  <c r="BA100" i="1"/>
  <c r="AZ100" i="1"/>
  <c r="BC99" i="1"/>
  <c r="BB99" i="1"/>
  <c r="BA99" i="1"/>
  <c r="AZ99" i="1"/>
  <c r="AV99" i="1"/>
  <c r="AW99" i="1" s="1"/>
  <c r="AX99" i="1" s="1"/>
  <c r="AT99" i="1" s="1"/>
  <c r="AY99" i="1" s="1"/>
  <c r="BA98" i="1"/>
  <c r="AZ98" i="1"/>
  <c r="BA97" i="1"/>
  <c r="BC97" i="1" s="1"/>
  <c r="AZ97" i="1"/>
  <c r="BA96" i="1"/>
  <c r="BB96" i="1" s="1"/>
  <c r="AZ96" i="1"/>
  <c r="BC95" i="1"/>
  <c r="BA95" i="1"/>
  <c r="AZ95" i="1"/>
  <c r="BA94" i="1"/>
  <c r="AZ94" i="1"/>
  <c r="BA93" i="1"/>
  <c r="BB93" i="1" s="1"/>
  <c r="AZ93" i="1"/>
  <c r="BC93" i="1" s="1"/>
  <c r="BA92" i="1"/>
  <c r="AZ92" i="1"/>
  <c r="BB92" i="1" s="1"/>
  <c r="BA91" i="1"/>
  <c r="AZ91" i="1"/>
  <c r="AW91" i="1"/>
  <c r="AX91" i="1" s="1"/>
  <c r="AT91" i="1" s="1"/>
  <c r="AY91" i="1" s="1"/>
  <c r="BC90" i="1"/>
  <c r="BA90" i="1"/>
  <c r="AZ90" i="1"/>
  <c r="AV90" i="1"/>
  <c r="AV91" i="1" s="1"/>
  <c r="AV92" i="1" s="1"/>
  <c r="AV93" i="1" s="1"/>
  <c r="BA89" i="1"/>
  <c r="AZ89" i="1"/>
  <c r="BA88" i="1"/>
  <c r="AZ88" i="1"/>
  <c r="BC88" i="1" s="1"/>
  <c r="BA87" i="1"/>
  <c r="AZ87" i="1"/>
  <c r="BA86" i="1"/>
  <c r="AZ86" i="1"/>
  <c r="BA85" i="1"/>
  <c r="AZ85" i="1"/>
  <c r="BB85" i="1" s="1"/>
  <c r="BC84" i="1"/>
  <c r="BA84" i="1"/>
  <c r="BB84" i="1" s="1"/>
  <c r="AZ84" i="1"/>
  <c r="AV84" i="1"/>
  <c r="AV85" i="1" s="1"/>
  <c r="AV86" i="1" s="1"/>
  <c r="AV87" i="1" s="1"/>
  <c r="BA83" i="1"/>
  <c r="AZ83" i="1"/>
  <c r="BA82" i="1"/>
  <c r="BC82" i="1" s="1"/>
  <c r="AZ82" i="1"/>
  <c r="BA81" i="1"/>
  <c r="BC81" i="1" s="1"/>
  <c r="AZ81" i="1"/>
  <c r="AV81" i="1"/>
  <c r="BC80" i="1"/>
  <c r="BA80" i="1"/>
  <c r="AZ80" i="1"/>
  <c r="BB80" i="1" s="1"/>
  <c r="AW80" i="1"/>
  <c r="AX80" i="1" s="1"/>
  <c r="AT80" i="1" s="1"/>
  <c r="AY80" i="1" s="1"/>
  <c r="AV80" i="1"/>
  <c r="BC79" i="1"/>
  <c r="BA79" i="1"/>
  <c r="AZ79" i="1"/>
  <c r="BA78" i="1"/>
  <c r="AZ78" i="1"/>
  <c r="BC78" i="1" s="1"/>
  <c r="BA77" i="1"/>
  <c r="AZ77" i="1"/>
  <c r="BA76" i="1"/>
  <c r="AZ76" i="1"/>
  <c r="BB76" i="1" s="1"/>
  <c r="BA75" i="1"/>
  <c r="BB75" i="1" s="1"/>
  <c r="AZ75" i="1"/>
  <c r="BC75" i="1" s="1"/>
  <c r="BA74" i="1"/>
  <c r="AZ74" i="1"/>
  <c r="BA73" i="1"/>
  <c r="BC73" i="1" s="1"/>
  <c r="AZ73" i="1"/>
  <c r="BB72" i="1"/>
  <c r="BA72" i="1"/>
  <c r="AZ72" i="1"/>
  <c r="BA71" i="1"/>
  <c r="AZ71" i="1"/>
  <c r="BB71" i="1" s="1"/>
  <c r="BA70" i="1"/>
  <c r="AZ70" i="1"/>
  <c r="BB70" i="1" s="1"/>
  <c r="BA69" i="1"/>
  <c r="BB69" i="1" s="1"/>
  <c r="AZ69" i="1"/>
  <c r="BA68" i="1"/>
  <c r="AZ68" i="1"/>
  <c r="BA67" i="1"/>
  <c r="AZ67" i="1"/>
  <c r="BB66" i="1"/>
  <c r="BA66" i="1"/>
  <c r="AZ66" i="1"/>
  <c r="BC66" i="1" s="1"/>
  <c r="AV66" i="1"/>
  <c r="AV67" i="1" s="1"/>
  <c r="AV68" i="1" s="1"/>
  <c r="AV69" i="1" s="1"/>
  <c r="BC65" i="1"/>
  <c r="BA65" i="1"/>
  <c r="AZ65" i="1"/>
  <c r="AW65" i="1"/>
  <c r="AX65" i="1" s="1"/>
  <c r="AT65" i="1" s="1"/>
  <c r="AY65" i="1" s="1"/>
  <c r="AV65" i="1"/>
  <c r="BC64" i="1"/>
  <c r="BA64" i="1"/>
  <c r="AZ64" i="1"/>
  <c r="BB64" i="1" s="1"/>
  <c r="AX64" i="1"/>
  <c r="AT64" i="1" s="1"/>
  <c r="AY64" i="1" s="1"/>
  <c r="AW64" i="1"/>
  <c r="AV64" i="1"/>
  <c r="AU64" i="1"/>
  <c r="AU65" i="1" s="1"/>
  <c r="AU66" i="1" s="1"/>
  <c r="AU67" i="1" s="1"/>
  <c r="AU68" i="1" s="1"/>
  <c r="AU69" i="1" s="1"/>
  <c r="AU70" i="1" s="1"/>
  <c r="AU71" i="1" s="1"/>
  <c r="AU72" i="1" s="1"/>
  <c r="AU73" i="1" s="1"/>
  <c r="AU74" i="1" s="1"/>
  <c r="AU75" i="1" s="1"/>
  <c r="AU76" i="1" s="1"/>
  <c r="AU77" i="1" s="1"/>
  <c r="AU78" i="1" s="1"/>
  <c r="AU79" i="1" s="1"/>
  <c r="AU80" i="1" s="1"/>
  <c r="AU81" i="1" s="1"/>
  <c r="AU82" i="1" s="1"/>
  <c r="AU83" i="1" s="1"/>
  <c r="AU84" i="1" s="1"/>
  <c r="AU85" i="1" s="1"/>
  <c r="AU86" i="1" s="1"/>
  <c r="AU87" i="1" s="1"/>
  <c r="AU88" i="1" s="1"/>
  <c r="AU89" i="1" s="1"/>
  <c r="AU90" i="1" s="1"/>
  <c r="AU91" i="1" s="1"/>
  <c r="AU92" i="1" s="1"/>
  <c r="AU93" i="1" s="1"/>
  <c r="AU94" i="1" s="1"/>
  <c r="AU95" i="1" s="1"/>
  <c r="AU96" i="1" s="1"/>
  <c r="AU97" i="1" s="1"/>
  <c r="AU98" i="1" s="1"/>
  <c r="AU99" i="1" s="1"/>
  <c r="AU100" i="1" s="1"/>
  <c r="AU101" i="1" s="1"/>
  <c r="AU102" i="1" s="1"/>
  <c r="AU103" i="1" s="1"/>
  <c r="AU104" i="1" s="1"/>
  <c r="AU105" i="1" s="1"/>
  <c r="AU106" i="1" s="1"/>
  <c r="AU107" i="1" s="1"/>
  <c r="AU108" i="1" s="1"/>
  <c r="AU109" i="1" s="1"/>
  <c r="AU110" i="1" s="1"/>
  <c r="AU111" i="1" s="1"/>
  <c r="AU112" i="1" s="1"/>
  <c r="AU113" i="1" s="1"/>
  <c r="AU114" i="1" s="1"/>
  <c r="AU115" i="1" s="1"/>
  <c r="AU116" i="1" s="1"/>
  <c r="AU117" i="1" s="1"/>
  <c r="AU118" i="1" s="1"/>
  <c r="AU119" i="1" s="1"/>
  <c r="AU120" i="1" s="1"/>
  <c r="AU121" i="1" s="1"/>
  <c r="AU122" i="1" s="1"/>
  <c r="AU123" i="1" s="1"/>
  <c r="AU124" i="1" s="1"/>
  <c r="AU125" i="1" s="1"/>
  <c r="AU126" i="1" s="1"/>
  <c r="AU127" i="1" s="1"/>
  <c r="AU128" i="1" s="1"/>
  <c r="AU129" i="1" s="1"/>
  <c r="AU130" i="1" s="1"/>
  <c r="AU131" i="1" s="1"/>
  <c r="AU132" i="1" s="1"/>
  <c r="BA63" i="1"/>
  <c r="AZ63" i="1"/>
  <c r="BA62" i="1"/>
  <c r="BC62" i="1" s="1"/>
  <c r="AZ62" i="1"/>
  <c r="BA61" i="1"/>
  <c r="AZ61" i="1"/>
  <c r="BC60" i="1"/>
  <c r="BA60" i="1"/>
  <c r="BB60" i="1" s="1"/>
  <c r="AZ60" i="1"/>
  <c r="AV60" i="1"/>
  <c r="AV61" i="1" s="1"/>
  <c r="AV62" i="1" s="1"/>
  <c r="AW62" i="1" s="1"/>
  <c r="AX62" i="1" s="1"/>
  <c r="AT62" i="1" s="1"/>
  <c r="AY62" i="1" s="1"/>
  <c r="BA59" i="1"/>
  <c r="AZ59" i="1"/>
  <c r="BB59" i="1" s="1"/>
  <c r="BA58" i="1"/>
  <c r="AZ58" i="1"/>
  <c r="BC58" i="1" s="1"/>
  <c r="BC57" i="1"/>
  <c r="BA57" i="1"/>
  <c r="AZ57" i="1"/>
  <c r="AV57" i="1"/>
  <c r="BA56" i="1"/>
  <c r="AZ56" i="1"/>
  <c r="BA55" i="1"/>
  <c r="AZ55" i="1"/>
  <c r="BB55" i="1" s="1"/>
  <c r="BA54" i="1"/>
  <c r="BB54" i="1" s="1"/>
  <c r="AZ54" i="1"/>
  <c r="BA53" i="1"/>
  <c r="BC53" i="1" s="1"/>
  <c r="AZ53" i="1"/>
  <c r="BA52" i="1"/>
  <c r="AZ52" i="1"/>
  <c r="BB51" i="1"/>
  <c r="BA51" i="1"/>
  <c r="AZ51" i="1"/>
  <c r="BC51" i="1" s="1"/>
  <c r="BA50" i="1"/>
  <c r="AZ50" i="1"/>
  <c r="BB50" i="1" s="1"/>
  <c r="BA49" i="1"/>
  <c r="AZ49" i="1"/>
  <c r="BC49" i="1" s="1"/>
  <c r="BA48" i="1"/>
  <c r="AZ48" i="1"/>
  <c r="BC48" i="1" s="1"/>
  <c r="BA47" i="1"/>
  <c r="AZ47" i="1"/>
  <c r="BA46" i="1"/>
  <c r="BC46" i="1" s="1"/>
  <c r="AZ46" i="1"/>
  <c r="BA45" i="1"/>
  <c r="BB45" i="1" s="1"/>
  <c r="AZ45" i="1"/>
  <c r="BC45" i="1" s="1"/>
  <c r="BA44" i="1"/>
  <c r="BC44" i="1" s="1"/>
  <c r="AZ44" i="1"/>
  <c r="BA43" i="1"/>
  <c r="BC43" i="1" s="1"/>
  <c r="AZ43" i="1"/>
  <c r="BA42" i="1"/>
  <c r="BB42" i="1" s="1"/>
  <c r="AZ42" i="1"/>
  <c r="AV42" i="1"/>
  <c r="AV43" i="1" s="1"/>
  <c r="AV44" i="1" s="1"/>
  <c r="AW44" i="1" s="1"/>
  <c r="AX44" i="1" s="1"/>
  <c r="AT44" i="1" s="1"/>
  <c r="AY44" i="1" s="1"/>
  <c r="BA41" i="1"/>
  <c r="AZ41" i="1"/>
  <c r="BB41" i="1" s="1"/>
  <c r="AW41" i="1"/>
  <c r="AX41" i="1" s="1"/>
  <c r="AT41" i="1" s="1"/>
  <c r="AY41" i="1" s="1"/>
  <c r="AV41" i="1"/>
  <c r="BC40" i="1"/>
  <c r="BA40" i="1"/>
  <c r="AZ40" i="1"/>
  <c r="BB40" i="1" s="1"/>
  <c r="AW40" i="1"/>
  <c r="AX40" i="1" s="1"/>
  <c r="AT40" i="1" s="1"/>
  <c r="AY40" i="1" s="1"/>
  <c r="AV40" i="1"/>
  <c r="AU40" i="1"/>
  <c r="AU41" i="1" s="1"/>
  <c r="AU42" i="1" s="1"/>
  <c r="AU43" i="1" s="1"/>
  <c r="AU44" i="1" s="1"/>
  <c r="AU45" i="1" s="1"/>
  <c r="AU46" i="1" s="1"/>
  <c r="AU47" i="1" s="1"/>
  <c r="AU48" i="1" s="1"/>
  <c r="AU49" i="1" s="1"/>
  <c r="AU50" i="1" s="1"/>
  <c r="AU51" i="1" s="1"/>
  <c r="AU52" i="1" s="1"/>
  <c r="AU53" i="1" s="1"/>
  <c r="AU54" i="1" s="1"/>
  <c r="AU55" i="1" s="1"/>
  <c r="AU56" i="1" s="1"/>
  <c r="AU57" i="1" s="1"/>
  <c r="AU58" i="1" s="1"/>
  <c r="AU59" i="1" s="1"/>
  <c r="AU60" i="1" s="1"/>
  <c r="AU61" i="1" s="1"/>
  <c r="AU62" i="1" s="1"/>
  <c r="AU63" i="1" s="1"/>
  <c r="BC39" i="1"/>
  <c r="BA39" i="1"/>
  <c r="AZ39" i="1"/>
  <c r="BB39" i="1" s="1"/>
  <c r="AV39" i="1"/>
  <c r="AW39" i="1" s="1"/>
  <c r="AX39" i="1" s="1"/>
  <c r="AT39" i="1" s="1"/>
  <c r="AY39" i="1" s="1"/>
  <c r="AU39" i="1"/>
  <c r="BC38" i="1"/>
  <c r="BA38" i="1"/>
  <c r="AZ38" i="1"/>
  <c r="BB38" i="1" s="1"/>
  <c r="AW38" i="1"/>
  <c r="AX38" i="1" s="1"/>
  <c r="AT38" i="1"/>
  <c r="AY38" i="1" s="1"/>
  <c r="BC37" i="1"/>
  <c r="BA37" i="1"/>
  <c r="AZ37" i="1"/>
  <c r="AW37" i="1"/>
  <c r="AX37" i="1" s="1"/>
  <c r="AT37" i="1" s="1"/>
  <c r="AY37" i="1" s="1"/>
  <c r="BC36" i="1"/>
  <c r="BA36" i="1"/>
  <c r="AZ36" i="1"/>
  <c r="BB36" i="1" s="1"/>
  <c r="AW36" i="1"/>
  <c r="AX36" i="1" s="1"/>
  <c r="AT36" i="1" s="1"/>
  <c r="AY36" i="1" s="1"/>
  <c r="AV36" i="1"/>
  <c r="AV37" i="1" s="1"/>
  <c r="AV38" i="1" s="1"/>
  <c r="BA35" i="1"/>
  <c r="AZ35" i="1"/>
  <c r="BA34" i="1"/>
  <c r="BC34" i="1" s="1"/>
  <c r="AZ34" i="1"/>
  <c r="BA33" i="1"/>
  <c r="AZ33" i="1"/>
  <c r="AV33" i="1"/>
  <c r="BC32" i="1"/>
  <c r="BA32" i="1"/>
  <c r="AZ32" i="1"/>
  <c r="AY32" i="1"/>
  <c r="AW32" i="1"/>
  <c r="AX32" i="1" s="1"/>
  <c r="AV32" i="1"/>
  <c r="AT32" i="1"/>
  <c r="BA31" i="1"/>
  <c r="BC31" i="1" s="1"/>
  <c r="AZ31" i="1"/>
  <c r="BA30" i="1"/>
  <c r="AZ30" i="1"/>
  <c r="BA29" i="1"/>
  <c r="AZ29" i="1"/>
  <c r="BB29" i="1" s="1"/>
  <c r="BA28" i="1"/>
  <c r="BC28" i="1" s="1"/>
  <c r="AZ28" i="1"/>
  <c r="BA27" i="1"/>
  <c r="AZ27" i="1"/>
  <c r="BA26" i="1"/>
  <c r="AZ26" i="1"/>
  <c r="BB26" i="1" s="1"/>
  <c r="BA25" i="1"/>
  <c r="BC25" i="1" s="1"/>
  <c r="AZ25" i="1"/>
  <c r="BA24" i="1"/>
  <c r="AZ24" i="1"/>
  <c r="AV24" i="1"/>
  <c r="AV25" i="1" s="1"/>
  <c r="AV26" i="1" s="1"/>
  <c r="AV27" i="1" s="1"/>
  <c r="BA23" i="1"/>
  <c r="BC23" i="1" s="1"/>
  <c r="AZ23" i="1"/>
  <c r="AW23" i="1"/>
  <c r="AX23" i="1" s="1"/>
  <c r="AT23" i="1" s="1"/>
  <c r="AY23" i="1" s="1"/>
  <c r="AV23" i="1"/>
  <c r="BC22" i="1"/>
  <c r="BA22" i="1"/>
  <c r="AZ22" i="1"/>
  <c r="BB22" i="1" s="1"/>
  <c r="AW22" i="1"/>
  <c r="AX22" i="1" s="1"/>
  <c r="AT22" i="1" s="1"/>
  <c r="AY22" i="1" s="1"/>
  <c r="AV22" i="1"/>
  <c r="BA21" i="1"/>
  <c r="BC21" i="1" s="1"/>
  <c r="AZ21" i="1"/>
  <c r="AV21" i="1"/>
  <c r="AW21" i="1" s="1"/>
  <c r="AX21" i="1" s="1"/>
  <c r="AT21" i="1" s="1"/>
  <c r="AY21" i="1" s="1"/>
  <c r="BC20" i="1"/>
  <c r="BA20" i="1"/>
  <c r="AZ20" i="1"/>
  <c r="BB20" i="1" s="1"/>
  <c r="AW20" i="1"/>
  <c r="AX20" i="1" s="1"/>
  <c r="AT20" i="1" s="1"/>
  <c r="AY20" i="1" s="1"/>
  <c r="AV20" i="1"/>
  <c r="BA19" i="1"/>
  <c r="AZ19" i="1"/>
  <c r="BA18" i="1"/>
  <c r="AZ18" i="1"/>
  <c r="BC18" i="1" s="1"/>
  <c r="BA17" i="1"/>
  <c r="AZ17" i="1"/>
  <c r="BB17" i="1" s="1"/>
  <c r="BA16" i="1"/>
  <c r="AZ16" i="1"/>
  <c r="BB16" i="1" s="1"/>
  <c r="BA15" i="1"/>
  <c r="AZ15" i="1"/>
  <c r="BA14" i="1"/>
  <c r="AZ14" i="1"/>
  <c r="BA13" i="1"/>
  <c r="AZ13" i="1"/>
  <c r="BB13" i="1" s="1"/>
  <c r="BA12" i="1"/>
  <c r="AZ12" i="1"/>
  <c r="BC12" i="1" s="1"/>
  <c r="BC11" i="1"/>
  <c r="BA11" i="1"/>
  <c r="AZ11" i="1"/>
  <c r="BB11" i="1" s="1"/>
  <c r="BC10" i="1"/>
  <c r="BA10" i="1"/>
  <c r="AZ10" i="1"/>
  <c r="BB10" i="1" s="1"/>
  <c r="BC9" i="1"/>
  <c r="BA9" i="1"/>
  <c r="AZ9" i="1"/>
  <c r="AU9" i="1"/>
  <c r="AU10" i="1" s="1"/>
  <c r="AU11" i="1" s="1"/>
  <c r="AU12" i="1" s="1"/>
  <c r="AU13" i="1" s="1"/>
  <c r="AU14" i="1" s="1"/>
  <c r="AU15" i="1" s="1"/>
  <c r="AU16" i="1" s="1"/>
  <c r="AU17" i="1" s="1"/>
  <c r="AU18" i="1" s="1"/>
  <c r="AU19" i="1" s="1"/>
  <c r="AU20" i="1" s="1"/>
  <c r="AU21" i="1" s="1"/>
  <c r="AU22" i="1" s="1"/>
  <c r="AU23" i="1" s="1"/>
  <c r="AU24" i="1" s="1"/>
  <c r="AU25" i="1" s="1"/>
  <c r="AU26" i="1" s="1"/>
  <c r="AU27" i="1" s="1"/>
  <c r="AU28" i="1" s="1"/>
  <c r="AU29" i="1" s="1"/>
  <c r="AU30" i="1" s="1"/>
  <c r="AU31" i="1" s="1"/>
  <c r="AU32" i="1" s="1"/>
  <c r="AU33" i="1" s="1"/>
  <c r="AU34" i="1" s="1"/>
  <c r="AU35" i="1" s="1"/>
  <c r="AU36" i="1" s="1"/>
  <c r="AU37" i="1" s="1"/>
  <c r="AU38" i="1" s="1"/>
  <c r="BA8" i="1"/>
  <c r="AZ8" i="1"/>
  <c r="AW8" i="1"/>
  <c r="AX8" i="1" s="1"/>
  <c r="AT8" i="1"/>
  <c r="AY8" i="1" s="1"/>
  <c r="BA7" i="1"/>
  <c r="AZ7" i="1"/>
  <c r="AW7" i="1"/>
  <c r="AX7" i="1" s="1"/>
  <c r="AT7" i="1" s="1"/>
  <c r="AY7" i="1" s="1"/>
  <c r="AU7" i="1"/>
  <c r="AU8" i="1" s="1"/>
  <c r="BC6" i="1"/>
  <c r="BA6" i="1"/>
  <c r="AZ6" i="1"/>
  <c r="BB6" i="1" s="1"/>
  <c r="AV6" i="1"/>
  <c r="AV7" i="1" s="1"/>
  <c r="AV8" i="1" s="1"/>
  <c r="AV9" i="1" s="1"/>
  <c r="BC5" i="1"/>
  <c r="BA5" i="1"/>
  <c r="AZ5" i="1"/>
  <c r="BB5" i="1" s="1"/>
  <c r="AV5" i="1"/>
  <c r="AW5" i="1" s="1"/>
  <c r="AX5" i="1" s="1"/>
  <c r="AT5" i="1" s="1"/>
  <c r="AY5" i="1" s="1"/>
  <c r="AU5" i="1"/>
  <c r="AU6" i="1" s="1"/>
  <c r="BC365" i="1" l="1"/>
  <c r="BC594" i="1"/>
  <c r="BB594" i="1"/>
  <c r="BC721" i="1"/>
  <c r="BB721" i="1"/>
  <c r="BC811" i="1"/>
  <c r="BB811" i="1"/>
  <c r="BC970" i="1"/>
  <c r="BB970" i="1"/>
  <c r="BC8" i="1"/>
  <c r="BB12" i="1"/>
  <c r="BC17" i="1"/>
  <c r="BB63" i="1"/>
  <c r="BC70" i="1"/>
  <c r="BB83" i="1"/>
  <c r="BC87" i="1"/>
  <c r="BC91" i="1"/>
  <c r="BB100" i="1"/>
  <c r="BB109" i="1"/>
  <c r="BB113" i="1"/>
  <c r="BB125" i="1"/>
  <c r="BB133" i="1"/>
  <c r="BB144" i="1"/>
  <c r="BB151" i="1"/>
  <c r="BB163" i="1"/>
  <c r="BC167" i="1"/>
  <c r="BB190" i="1"/>
  <c r="BC214" i="1"/>
  <c r="BC218" i="1"/>
  <c r="BB240" i="1"/>
  <c r="BB260" i="1"/>
  <c r="BB264" i="1"/>
  <c r="BB306" i="1"/>
  <c r="BC339" i="1"/>
  <c r="BC344" i="1"/>
  <c r="BC349" i="1"/>
  <c r="BC361" i="1"/>
  <c r="BC382" i="1"/>
  <c r="BC398" i="1"/>
  <c r="BB406" i="1"/>
  <c r="BC410" i="1"/>
  <c r="BB446" i="1"/>
  <c r="BC457" i="1"/>
  <c r="BB457" i="1"/>
  <c r="BC472" i="1"/>
  <c r="BB487" i="1"/>
  <c r="BB568" i="1"/>
  <c r="BC754" i="1"/>
  <c r="BB754" i="1"/>
  <c r="BC759" i="1"/>
  <c r="BB762" i="1"/>
  <c r="BC772" i="1"/>
  <c r="BB1175" i="1"/>
  <c r="BC1175" i="1"/>
  <c r="BC595" i="1"/>
  <c r="BB595" i="1"/>
  <c r="BB24" i="1"/>
  <c r="BB30" i="1"/>
  <c r="BC83" i="1"/>
  <c r="BC100" i="1"/>
  <c r="BB105" i="1"/>
  <c r="BC140" i="1"/>
  <c r="BC144" i="1"/>
  <c r="BC163" i="1"/>
  <c r="BC191" i="1"/>
  <c r="BB205" i="1"/>
  <c r="BB209" i="1"/>
  <c r="BB212" i="1"/>
  <c r="BC251" i="1"/>
  <c r="BC260" i="1"/>
  <c r="BC276" i="1"/>
  <c r="BC335" i="1"/>
  <c r="BB393" i="1"/>
  <c r="BB398" i="1"/>
  <c r="BC406" i="1"/>
  <c r="BC411" i="1"/>
  <c r="BC421" i="1"/>
  <c r="BB430" i="1"/>
  <c r="BC459" i="1"/>
  <c r="BC473" i="1"/>
  <c r="BB528" i="1"/>
  <c r="BB552" i="1"/>
  <c r="BB579" i="1"/>
  <c r="BB624" i="1"/>
  <c r="BC906" i="1"/>
  <c r="BB906" i="1"/>
  <c r="BB1073" i="1"/>
  <c r="BC1073" i="1"/>
  <c r="BB1077" i="1"/>
  <c r="BC13" i="1"/>
  <c r="BB9" i="1"/>
  <c r="BB14" i="1"/>
  <c r="BB18" i="1"/>
  <c r="BB25" i="1"/>
  <c r="BB31" i="1"/>
  <c r="BC33" i="1"/>
  <c r="BB37" i="1"/>
  <c r="BC55" i="1"/>
  <c r="BC76" i="1"/>
  <c r="BC92" i="1"/>
  <c r="BB101" i="1"/>
  <c r="BC118" i="1"/>
  <c r="BC121" i="1"/>
  <c r="BB141" i="1"/>
  <c r="BB148" i="1"/>
  <c r="BC152" i="1"/>
  <c r="BC156" i="1"/>
  <c r="BB172" i="1"/>
  <c r="BB184" i="1"/>
  <c r="BC219" i="1"/>
  <c r="BC232" i="1"/>
  <c r="BB237" i="1"/>
  <c r="BC256" i="1"/>
  <c r="BC324" i="1"/>
  <c r="BB327" i="1"/>
  <c r="BB340" i="1"/>
  <c r="BC345" i="1"/>
  <c r="BB383" i="1"/>
  <c r="BB387" i="1"/>
  <c r="BB401" i="1"/>
  <c r="BC417" i="1"/>
  <c r="BC438" i="1"/>
  <c r="BB468" i="1"/>
  <c r="BB484" i="1"/>
  <c r="BB492" i="1"/>
  <c r="BB510" i="1"/>
  <c r="BB520" i="1"/>
  <c r="BC533" i="1"/>
  <c r="BB549" i="1"/>
  <c r="BB718" i="1"/>
  <c r="BC722" i="1"/>
  <c r="BC790" i="1"/>
  <c r="BB790" i="1"/>
  <c r="BB825" i="1"/>
  <c r="BC847" i="1"/>
  <c r="BB847" i="1"/>
  <c r="BC862" i="1"/>
  <c r="BB862" i="1"/>
  <c r="BB873" i="1"/>
  <c r="BC873" i="1"/>
  <c r="BB1024" i="1"/>
  <c r="BC1024" i="1"/>
  <c r="BB34" i="1"/>
  <c r="BB56" i="1"/>
  <c r="BB77" i="1"/>
  <c r="BB89" i="1"/>
  <c r="BB98" i="1"/>
  <c r="BB106" i="1"/>
  <c r="BB110" i="1"/>
  <c r="BC220" i="1"/>
  <c r="BB225" i="1"/>
  <c r="BB272" i="1"/>
  <c r="BC277" i="1"/>
  <c r="BB283" i="1"/>
  <c r="BC331" i="1"/>
  <c r="BC368" i="1"/>
  <c r="BB388" i="1"/>
  <c r="BB425" i="1"/>
  <c r="BB431" i="1"/>
  <c r="BB474" i="1"/>
  <c r="BC478" i="1"/>
  <c r="BB502" i="1"/>
  <c r="BB546" i="1"/>
  <c r="BB591" i="1"/>
  <c r="BB600" i="1"/>
  <c r="BC694" i="1"/>
  <c r="BC796" i="1"/>
  <c r="BB796" i="1"/>
  <c r="BC998" i="1"/>
  <c r="BB998" i="1"/>
  <c r="BB1067" i="1"/>
  <c r="BC1067" i="1"/>
  <c r="BB1109" i="1"/>
  <c r="BC1109" i="1"/>
  <c r="BB1142" i="1"/>
  <c r="BC1155" i="1"/>
  <c r="BB1155" i="1"/>
  <c r="BC654" i="1"/>
  <c r="BB654" i="1"/>
  <c r="BB756" i="1"/>
  <c r="BC756" i="1"/>
  <c r="BC814" i="1"/>
  <c r="BB814" i="1"/>
  <c r="BC823" i="1"/>
  <c r="BB823" i="1"/>
  <c r="BC926" i="1"/>
  <c r="BB926" i="1"/>
  <c r="BC935" i="1"/>
  <c r="BB935" i="1"/>
  <c r="BC1037" i="1"/>
  <c r="BB1037" i="1"/>
  <c r="BB1063" i="1"/>
  <c r="BC1063" i="1"/>
  <c r="BC19" i="1"/>
  <c r="BC15" i="1"/>
  <c r="BB35" i="1"/>
  <c r="BB43" i="1"/>
  <c r="BB47" i="1"/>
  <c r="BC67" i="1"/>
  <c r="BC77" i="1"/>
  <c r="BC98" i="1"/>
  <c r="BC102" i="1"/>
  <c r="BC106" i="1"/>
  <c r="BB119" i="1"/>
  <c r="BB132" i="1"/>
  <c r="BB165" i="1"/>
  <c r="BB169" i="1"/>
  <c r="BB181" i="1"/>
  <c r="BC202" i="1"/>
  <c r="BB211" i="1"/>
  <c r="BC225" i="1"/>
  <c r="BB247" i="1"/>
  <c r="BC258" i="1"/>
  <c r="BC272" i="1"/>
  <c r="BB277" i="1"/>
  <c r="BB299" i="1"/>
  <c r="BB322" i="1"/>
  <c r="BC332" i="1"/>
  <c r="BB336" i="1"/>
  <c r="BC346" i="1"/>
  <c r="BB364" i="1"/>
  <c r="BC369" i="1"/>
  <c r="BC388" i="1"/>
  <c r="BC431" i="1"/>
  <c r="BC439" i="1"/>
  <c r="BB452" i="1"/>
  <c r="BC465" i="1"/>
  <c r="BB470" i="1"/>
  <c r="BC474" i="1"/>
  <c r="BB478" i="1"/>
  <c r="BC502" i="1"/>
  <c r="BB507" i="1"/>
  <c r="BC546" i="1"/>
  <c r="BB608" i="1"/>
  <c r="BC608" i="1"/>
  <c r="BB638" i="1"/>
  <c r="BB668" i="1"/>
  <c r="BB690" i="1"/>
  <c r="BC1130" i="1"/>
  <c r="BB1130" i="1"/>
  <c r="BC642" i="1"/>
  <c r="BB642" i="1"/>
  <c r="BC1021" i="1"/>
  <c r="BB1021" i="1"/>
  <c r="BC1101" i="1"/>
  <c r="BB1101" i="1"/>
  <c r="BC7" i="1"/>
  <c r="BC27" i="1"/>
  <c r="BC61" i="1"/>
  <c r="BC85" i="1"/>
  <c r="BC94" i="1"/>
  <c r="BC123" i="1"/>
  <c r="BC146" i="1"/>
  <c r="BB221" i="1"/>
  <c r="BB234" i="1"/>
  <c r="BC273" i="1"/>
  <c r="BC291" i="1"/>
  <c r="BB305" i="1"/>
  <c r="BB347" i="1"/>
  <c r="BB359" i="1"/>
  <c r="BB574" i="1"/>
  <c r="BC626" i="1"/>
  <c r="BB626" i="1"/>
  <c r="BC634" i="1"/>
  <c r="BB634" i="1"/>
  <c r="BC724" i="1"/>
  <c r="BB724" i="1"/>
  <c r="BB742" i="1"/>
  <c r="BB932" i="1"/>
  <c r="BC1173" i="1"/>
  <c r="BC52" i="1"/>
  <c r="BB57" i="1"/>
  <c r="BC68" i="1"/>
  <c r="BB78" i="1"/>
  <c r="BB81" i="1"/>
  <c r="BB90" i="1"/>
  <c r="BC16" i="1"/>
  <c r="BB23" i="1"/>
  <c r="BB28" i="1"/>
  <c r="BB44" i="1"/>
  <c r="BB48" i="1"/>
  <c r="BB53" i="1"/>
  <c r="BC74" i="1"/>
  <c r="BB79" i="1"/>
  <c r="BB86" i="1"/>
  <c r="BB95" i="1"/>
  <c r="BC103" i="1"/>
  <c r="BC107" i="1"/>
  <c r="BC111" i="1"/>
  <c r="BC158" i="1"/>
  <c r="BB160" i="1"/>
  <c r="BB162" i="1"/>
  <c r="BC170" i="1"/>
  <c r="BC182" i="1"/>
  <c r="BB198" i="1"/>
  <c r="BB239" i="1"/>
  <c r="BB243" i="1"/>
  <c r="BC248" i="1"/>
  <c r="BB263" i="1"/>
  <c r="BB310" i="1"/>
  <c r="BB314" i="1"/>
  <c r="BC328" i="1"/>
  <c r="BB370" i="1"/>
  <c r="BB374" i="1"/>
  <c r="BC381" i="1"/>
  <c r="BC385" i="1"/>
  <c r="BB389" i="1"/>
  <c r="BB403" i="1"/>
  <c r="BC409" i="1"/>
  <c r="BB414" i="1"/>
  <c r="BC453" i="1"/>
  <c r="BC466" i="1"/>
  <c r="BB476" i="1"/>
  <c r="BB486" i="1"/>
  <c r="BB498" i="1"/>
  <c r="BB508" i="1"/>
  <c r="BC538" i="1"/>
  <c r="BB559" i="1"/>
  <c r="BC604" i="1"/>
  <c r="BC787" i="1"/>
  <c r="BB787" i="1"/>
  <c r="BC880" i="1"/>
  <c r="BB880" i="1"/>
  <c r="BC992" i="1"/>
  <c r="BC1022" i="1"/>
  <c r="BB1022" i="1"/>
  <c r="BC1039" i="1"/>
  <c r="BC1059" i="1"/>
  <c r="BB1059" i="1"/>
  <c r="BB58" i="1"/>
  <c r="BB65" i="1"/>
  <c r="BC108" i="1"/>
  <c r="BB147" i="1"/>
  <c r="BB195" i="1"/>
  <c r="BB235" i="1"/>
  <c r="BC255" i="1"/>
  <c r="BB274" i="1"/>
  <c r="BC326" i="1"/>
  <c r="BB343" i="1"/>
  <c r="BB348" i="1"/>
  <c r="BC386" i="1"/>
  <c r="BC392" i="1"/>
  <c r="BB400" i="1"/>
  <c r="BC513" i="1"/>
  <c r="BC519" i="1"/>
  <c r="BB519" i="1"/>
  <c r="BC564" i="1"/>
  <c r="BC572" i="1"/>
  <c r="BC635" i="1"/>
  <c r="BC738" i="1"/>
  <c r="BC799" i="1"/>
  <c r="BB799" i="1"/>
  <c r="BB855" i="1"/>
  <c r="BC884" i="1"/>
  <c r="BB884" i="1"/>
  <c r="BB919" i="1"/>
  <c r="BC950" i="1"/>
  <c r="BB950" i="1"/>
  <c r="BB996" i="1"/>
  <c r="BC996" i="1"/>
  <c r="BB1011" i="1"/>
  <c r="BC1011" i="1"/>
  <c r="BC1089" i="1"/>
  <c r="BB1089" i="1"/>
  <c r="BC495" i="1"/>
  <c r="BC531" i="1"/>
  <c r="BC535" i="1"/>
  <c r="BC543" i="1"/>
  <c r="BC587" i="1"/>
  <c r="BC599" i="1"/>
  <c r="BB602" i="1"/>
  <c r="BC605" i="1"/>
  <c r="BB610" i="1"/>
  <c r="BC623" i="1"/>
  <c r="BC644" i="1"/>
  <c r="BC677" i="1"/>
  <c r="BB681" i="1"/>
  <c r="BC696" i="1"/>
  <c r="BC701" i="1"/>
  <c r="BC708" i="1"/>
  <c r="BC714" i="1"/>
  <c r="BB733" i="1"/>
  <c r="BC763" i="1"/>
  <c r="BB768" i="1"/>
  <c r="BC773" i="1"/>
  <c r="BC777" i="1"/>
  <c r="BC801" i="1"/>
  <c r="BC805" i="1"/>
  <c r="BB807" i="1"/>
  <c r="BB833" i="1"/>
  <c r="BC864" i="1"/>
  <c r="BB867" i="1"/>
  <c r="BC882" i="1"/>
  <c r="BC899" i="1"/>
  <c r="BC928" i="1"/>
  <c r="BC941" i="1"/>
  <c r="BC954" i="1"/>
  <c r="BB968" i="1"/>
  <c r="BC972" i="1"/>
  <c r="BB977" i="1"/>
  <c r="BB981" i="1"/>
  <c r="BB990" i="1"/>
  <c r="BB1000" i="1"/>
  <c r="BC1013" i="1"/>
  <c r="BB1033" i="1"/>
  <c r="BB1070" i="1"/>
  <c r="BC1081" i="1"/>
  <c r="BC1084" i="1"/>
  <c r="BC1096" i="1"/>
  <c r="BB1125" i="1"/>
  <c r="BC1132" i="1"/>
  <c r="BC1138" i="1"/>
  <c r="BB1164" i="1"/>
  <c r="BC1171" i="1"/>
  <c r="BB499" i="1"/>
  <c r="BB518" i="1"/>
  <c r="BB543" i="1"/>
  <c r="BC547" i="1"/>
  <c r="BC553" i="1"/>
  <c r="BB583" i="1"/>
  <c r="BB599" i="1"/>
  <c r="BB623" i="1"/>
  <c r="BB677" i="1"/>
  <c r="BB696" i="1"/>
  <c r="BB701" i="1"/>
  <c r="BB708" i="1"/>
  <c r="BB714" i="1"/>
  <c r="BB735" i="1"/>
  <c r="BB753" i="1"/>
  <c r="BB805" i="1"/>
  <c r="BC850" i="1"/>
  <c r="BB864" i="1"/>
  <c r="BC867" i="1"/>
  <c r="BB878" i="1"/>
  <c r="BB882" i="1"/>
  <c r="BB912" i="1"/>
  <c r="BB941" i="1"/>
  <c r="BC990" i="1"/>
  <c r="BB993" i="1"/>
  <c r="BC1033" i="1"/>
  <c r="BB1052" i="1"/>
  <c r="BB1064" i="1"/>
  <c r="BB1082" i="1"/>
  <c r="BC1125" i="1"/>
  <c r="BB1128" i="1"/>
  <c r="BB1139" i="1"/>
  <c r="BC1164" i="1"/>
  <c r="BC515" i="1"/>
  <c r="BB541" i="1"/>
  <c r="BB566" i="1"/>
  <c r="BB584" i="1"/>
  <c r="BC633" i="1"/>
  <c r="BC637" i="1"/>
  <c r="BC650" i="1"/>
  <c r="BC663" i="1"/>
  <c r="BC678" i="1"/>
  <c r="BC684" i="1"/>
  <c r="BC687" i="1"/>
  <c r="BC702" i="1"/>
  <c r="BB727" i="1"/>
  <c r="BC744" i="1"/>
  <c r="BB778" i="1"/>
  <c r="BB789" i="1"/>
  <c r="BB812" i="1"/>
  <c r="BB817" i="1"/>
  <c r="BC829" i="1"/>
  <c r="BC844" i="1"/>
  <c r="BB848" i="1"/>
  <c r="BB857" i="1"/>
  <c r="BB890" i="1"/>
  <c r="BB904" i="1"/>
  <c r="BB914" i="1"/>
  <c r="BB924" i="1"/>
  <c r="BC942" i="1"/>
  <c r="BC947" i="1"/>
  <c r="BB951" i="1"/>
  <c r="BB958" i="1"/>
  <c r="BB973" i="1"/>
  <c r="BC1001" i="1"/>
  <c r="BB1006" i="1"/>
  <c r="BB1010" i="1"/>
  <c r="BB1023" i="1"/>
  <c r="BC1055" i="1"/>
  <c r="BC1060" i="1"/>
  <c r="BB1074" i="1"/>
  <c r="BB1079" i="1"/>
  <c r="BB1093" i="1"/>
  <c r="BC1097" i="1"/>
  <c r="BC1115" i="1"/>
  <c r="BB1119" i="1"/>
  <c r="BC1165" i="1"/>
  <c r="BC1172" i="1"/>
  <c r="BB1075" i="1"/>
  <c r="BB1122" i="1"/>
  <c r="BB1134" i="1"/>
  <c r="BC1139" i="1"/>
  <c r="BC1144" i="1"/>
  <c r="BC1160" i="1"/>
  <c r="BC450" i="1"/>
  <c r="BC501" i="1"/>
  <c r="BC505" i="1"/>
  <c r="BC512" i="1"/>
  <c r="BC593" i="1"/>
  <c r="BC612" i="1"/>
  <c r="BB633" i="1"/>
  <c r="BB670" i="1"/>
  <c r="BB684" i="1"/>
  <c r="BC698" i="1"/>
  <c r="BB702" i="1"/>
  <c r="BB706" i="1"/>
  <c r="BC716" i="1"/>
  <c r="BC720" i="1"/>
  <c r="BC782" i="1"/>
  <c r="BC794" i="1"/>
  <c r="BB813" i="1"/>
  <c r="BB826" i="1"/>
  <c r="BB830" i="1"/>
  <c r="BC835" i="1"/>
  <c r="BB842" i="1"/>
  <c r="BB845" i="1"/>
  <c r="BB851" i="1"/>
  <c r="BB891" i="1"/>
  <c r="BB897" i="1"/>
  <c r="BC910" i="1"/>
  <c r="BB918" i="1"/>
  <c r="BC948" i="1"/>
  <c r="BB1047" i="1"/>
  <c r="BB1061" i="1"/>
  <c r="BC1090" i="1"/>
  <c r="BB1102" i="1"/>
  <c r="BB1140" i="1"/>
  <c r="BC1150" i="1"/>
  <c r="BC1154" i="1"/>
  <c r="BB1161" i="1"/>
  <c r="BB818" i="1"/>
  <c r="BB858" i="1"/>
  <c r="BB952" i="1"/>
  <c r="BC1007" i="1"/>
  <c r="BB1030" i="1"/>
  <c r="BB1042" i="1"/>
  <c r="BB1088" i="1"/>
  <c r="BC1105" i="1"/>
  <c r="BB1112" i="1"/>
  <c r="BC1140" i="1"/>
  <c r="BB1173" i="1"/>
  <c r="BC525" i="1"/>
  <c r="BB529" i="1"/>
  <c r="BB771" i="1"/>
  <c r="BC836" i="1"/>
  <c r="BC887" i="1"/>
  <c r="BB965" i="1"/>
  <c r="BB995" i="1"/>
  <c r="BC1057" i="1"/>
  <c r="BC1069" i="1"/>
  <c r="BB1076" i="1"/>
  <c r="BB1086" i="1"/>
  <c r="BC1099" i="1"/>
  <c r="BC1141" i="1"/>
  <c r="BB1158" i="1"/>
  <c r="BB1169" i="1"/>
  <c r="BB447" i="1"/>
  <c r="BB483" i="1"/>
  <c r="BB598" i="1"/>
  <c r="BB617" i="1"/>
  <c r="BB622" i="1"/>
  <c r="BC665" i="1"/>
  <c r="BB676" i="1"/>
  <c r="BC707" i="1"/>
  <c r="BC729" i="1"/>
  <c r="BB732" i="1"/>
  <c r="BB758" i="1"/>
  <c r="BC766" i="1"/>
  <c r="BC776" i="1"/>
  <c r="BB780" i="1"/>
  <c r="BC800" i="1"/>
  <c r="BB804" i="1"/>
  <c r="BB822" i="1"/>
  <c r="BB837" i="1"/>
  <c r="BB859" i="1"/>
  <c r="BC881" i="1"/>
  <c r="BC888" i="1"/>
  <c r="BC898" i="1"/>
  <c r="BB902" i="1"/>
  <c r="BB911" i="1"/>
  <c r="BB949" i="1"/>
  <c r="BB959" i="1"/>
  <c r="BB976" i="1"/>
  <c r="BC983" i="1"/>
  <c r="BB1031" i="1"/>
  <c r="BB1048" i="1"/>
  <c r="BB1062" i="1"/>
  <c r="BB1080" i="1"/>
  <c r="BC1091" i="1"/>
  <c r="BB1106" i="1"/>
  <c r="BC1117" i="1"/>
  <c r="BB1127" i="1"/>
  <c r="BB1146" i="1"/>
  <c r="BC1151" i="1"/>
  <c r="BC1113" i="1"/>
  <c r="BB1131" i="1"/>
  <c r="BB1152" i="1"/>
  <c r="AW27" i="1"/>
  <c r="AX27" i="1" s="1"/>
  <c r="AT27" i="1" s="1"/>
  <c r="AY27" i="1" s="1"/>
  <c r="AV28" i="1"/>
  <c r="AW69" i="1"/>
  <c r="AX69" i="1" s="1"/>
  <c r="AT69" i="1" s="1"/>
  <c r="AY69" i="1" s="1"/>
  <c r="AV70" i="1"/>
  <c r="AW9" i="1"/>
  <c r="AX9" i="1" s="1"/>
  <c r="AT9" i="1" s="1"/>
  <c r="AY9" i="1" s="1"/>
  <c r="AV10" i="1"/>
  <c r="AW87" i="1"/>
  <c r="AX87" i="1" s="1"/>
  <c r="AT87" i="1" s="1"/>
  <c r="AY87" i="1" s="1"/>
  <c r="AV88" i="1"/>
  <c r="BB27" i="1"/>
  <c r="AV45" i="1"/>
  <c r="AW61" i="1"/>
  <c r="AX61" i="1" s="1"/>
  <c r="AT61" i="1" s="1"/>
  <c r="AY61" i="1" s="1"/>
  <c r="AW66" i="1"/>
  <c r="AX66" i="1" s="1"/>
  <c r="AT66" i="1" s="1"/>
  <c r="AY66" i="1" s="1"/>
  <c r="BB8" i="1"/>
  <c r="BB15" i="1"/>
  <c r="AW24" i="1"/>
  <c r="AX24" i="1" s="1"/>
  <c r="AT24" i="1" s="1"/>
  <c r="AY24" i="1" s="1"/>
  <c r="AW33" i="1"/>
  <c r="AX33" i="1" s="1"/>
  <c r="AT33" i="1" s="1"/>
  <c r="AY33" i="1" s="1"/>
  <c r="AV34" i="1"/>
  <c r="BB52" i="1"/>
  <c r="AV63" i="1"/>
  <c r="AW63" i="1" s="1"/>
  <c r="AX63" i="1" s="1"/>
  <c r="AT63" i="1" s="1"/>
  <c r="AY63" i="1" s="1"/>
  <c r="AW68" i="1"/>
  <c r="AX68" i="1" s="1"/>
  <c r="AT68" i="1" s="1"/>
  <c r="AY68" i="1" s="1"/>
  <c r="BC71" i="1"/>
  <c r="BB73" i="1"/>
  <c r="BB82" i="1"/>
  <c r="AW84" i="1"/>
  <c r="AX84" i="1" s="1"/>
  <c r="AT84" i="1" s="1"/>
  <c r="AY84" i="1" s="1"/>
  <c r="BB87" i="1"/>
  <c r="BC155" i="1"/>
  <c r="BB155" i="1"/>
  <c r="BC169" i="1"/>
  <c r="AW311" i="1"/>
  <c r="AX311" i="1" s="1"/>
  <c r="AT311" i="1" s="1"/>
  <c r="AY311" i="1" s="1"/>
  <c r="AV312" i="1"/>
  <c r="BC341" i="1"/>
  <c r="BB341" i="1"/>
  <c r="BC128" i="1"/>
  <c r="BB128" i="1"/>
  <c r="AV177" i="1"/>
  <c r="AW176" i="1"/>
  <c r="AX176" i="1" s="1"/>
  <c r="AT176" i="1" s="1"/>
  <c r="AY176" i="1" s="1"/>
  <c r="BB210" i="1"/>
  <c r="BC210" i="1"/>
  <c r="BC69" i="1"/>
  <c r="AW26" i="1"/>
  <c r="AX26" i="1" s="1"/>
  <c r="AT26" i="1" s="1"/>
  <c r="AY26" i="1" s="1"/>
  <c r="BC29" i="1"/>
  <c r="BC41" i="1"/>
  <c r="BC50" i="1"/>
  <c r="BC59" i="1"/>
  <c r="BB19" i="1"/>
  <c r="BC24" i="1"/>
  <c r="BC54" i="1"/>
  <c r="BB61" i="1"/>
  <c r="BB68" i="1"/>
  <c r="AW86" i="1"/>
  <c r="AX86" i="1" s="1"/>
  <c r="AT86" i="1" s="1"/>
  <c r="AY86" i="1" s="1"/>
  <c r="BC89" i="1"/>
  <c r="BB91" i="1"/>
  <c r="BB97" i="1"/>
  <c r="BB124" i="1"/>
  <c r="BC126" i="1"/>
  <c r="BC233" i="1"/>
  <c r="BB233" i="1"/>
  <c r="BC131" i="1"/>
  <c r="BB131" i="1"/>
  <c r="BC137" i="1"/>
  <c r="BB137" i="1"/>
  <c r="BC333" i="1"/>
  <c r="BB333" i="1"/>
  <c r="BB33" i="1"/>
  <c r="AW93" i="1"/>
  <c r="AX93" i="1" s="1"/>
  <c r="AT93" i="1" s="1"/>
  <c r="AY93" i="1" s="1"/>
  <c r="AV94" i="1"/>
  <c r="AW123" i="1"/>
  <c r="AX123" i="1" s="1"/>
  <c r="AT123" i="1" s="1"/>
  <c r="AY123" i="1" s="1"/>
  <c r="AV124" i="1"/>
  <c r="BC257" i="1"/>
  <c r="BB257" i="1"/>
  <c r="BC47" i="1"/>
  <c r="BB49" i="1"/>
  <c r="BC56" i="1"/>
  <c r="BC63" i="1"/>
  <c r="AW67" i="1"/>
  <c r="AX67" i="1" s="1"/>
  <c r="AT67" i="1" s="1"/>
  <c r="AY67" i="1" s="1"/>
  <c r="BC72" i="1"/>
  <c r="BB88" i="1"/>
  <c r="AW90" i="1"/>
  <c r="AX90" i="1" s="1"/>
  <c r="AT90" i="1" s="1"/>
  <c r="AY90" i="1" s="1"/>
  <c r="AW92" i="1"/>
  <c r="AX92" i="1" s="1"/>
  <c r="AT92" i="1" s="1"/>
  <c r="AY92" i="1" s="1"/>
  <c r="BB111" i="1"/>
  <c r="AW120" i="1"/>
  <c r="AX120" i="1" s="1"/>
  <c r="AT120" i="1" s="1"/>
  <c r="AY120" i="1" s="1"/>
  <c r="BC122" i="1"/>
  <c r="BB122" i="1"/>
  <c r="BC142" i="1"/>
  <c r="BB142" i="1"/>
  <c r="AV150" i="1"/>
  <c r="AW149" i="1"/>
  <c r="AX149" i="1" s="1"/>
  <c r="AT149" i="1" s="1"/>
  <c r="AY149" i="1" s="1"/>
  <c r="BC151" i="1"/>
  <c r="AW81" i="1"/>
  <c r="AX81" i="1" s="1"/>
  <c r="AT81" i="1" s="1"/>
  <c r="AY81" i="1" s="1"/>
  <c r="AV82" i="1"/>
  <c r="AW42" i="1"/>
  <c r="AX42" i="1" s="1"/>
  <c r="AT42" i="1" s="1"/>
  <c r="AY42" i="1" s="1"/>
  <c r="AW60" i="1"/>
  <c r="AX60" i="1" s="1"/>
  <c r="AT60" i="1" s="1"/>
  <c r="AY60" i="1" s="1"/>
  <c r="BB21" i="1"/>
  <c r="BC26" i="1"/>
  <c r="BB7" i="1"/>
  <c r="BC14" i="1"/>
  <c r="AW25" i="1"/>
  <c r="AX25" i="1" s="1"/>
  <c r="AT25" i="1" s="1"/>
  <c r="AY25" i="1" s="1"/>
  <c r="BC30" i="1"/>
  <c r="BC35" i="1"/>
  <c r="BC42" i="1"/>
  <c r="BB74" i="1"/>
  <c r="BC86" i="1"/>
  <c r="BB94" i="1"/>
  <c r="BC120" i="1"/>
  <c r="BC149" i="1"/>
  <c r="BB149" i="1"/>
  <c r="BB177" i="1"/>
  <c r="BC177" i="1"/>
  <c r="BB187" i="1"/>
  <c r="BC187" i="1"/>
  <c r="AW85" i="1"/>
  <c r="AX85" i="1" s="1"/>
  <c r="AT85" i="1" s="1"/>
  <c r="AY85" i="1" s="1"/>
  <c r="BC116" i="1"/>
  <c r="BB116" i="1"/>
  <c r="BC362" i="1"/>
  <c r="BB362" i="1"/>
  <c r="AW57" i="1"/>
  <c r="AX57" i="1" s="1"/>
  <c r="AT57" i="1" s="1"/>
  <c r="AY57" i="1" s="1"/>
  <c r="AV58" i="1"/>
  <c r="AW6" i="1"/>
  <c r="AX6" i="1" s="1"/>
  <c r="AT6" i="1" s="1"/>
  <c r="AY6" i="1" s="1"/>
  <c r="BF6" i="1" s="1"/>
  <c r="BB32" i="1"/>
  <c r="BB46" i="1"/>
  <c r="BB62" i="1"/>
  <c r="BB67" i="1"/>
  <c r="BC96" i="1"/>
  <c r="BB104" i="1"/>
  <c r="BB112" i="1"/>
  <c r="BC114" i="1"/>
  <c r="AW134" i="1"/>
  <c r="AX134" i="1" s="1"/>
  <c r="AT134" i="1" s="1"/>
  <c r="AY134" i="1" s="1"/>
  <c r="AV135" i="1"/>
  <c r="AW359" i="1"/>
  <c r="AX359" i="1" s="1"/>
  <c r="AT359" i="1" s="1"/>
  <c r="AY359" i="1" s="1"/>
  <c r="AV360" i="1"/>
  <c r="AW43" i="1"/>
  <c r="AX43" i="1" s="1"/>
  <c r="AT43" i="1" s="1"/>
  <c r="AY43" i="1" s="1"/>
  <c r="BB130" i="1"/>
  <c r="BC136" i="1"/>
  <c r="BB166" i="1"/>
  <c r="BB201" i="1"/>
  <c r="BC201" i="1"/>
  <c r="BB241" i="1"/>
  <c r="BC241" i="1"/>
  <c r="AV155" i="1"/>
  <c r="AV191" i="1"/>
  <c r="BC231" i="1"/>
  <c r="BC235" i="1"/>
  <c r="BC237" i="1"/>
  <c r="BB268" i="1"/>
  <c r="BC275" i="1"/>
  <c r="BB275" i="1"/>
  <c r="BB292" i="1"/>
  <c r="BC292" i="1"/>
  <c r="AW395" i="1"/>
  <c r="AX395" i="1" s="1"/>
  <c r="AT395" i="1" s="1"/>
  <c r="AY395" i="1" s="1"/>
  <c r="AV396" i="1"/>
  <c r="AW396" i="1" s="1"/>
  <c r="AX396" i="1" s="1"/>
  <c r="AT396" i="1" s="1"/>
  <c r="AY396" i="1" s="1"/>
  <c r="BC423" i="1"/>
  <c r="BB423" i="1"/>
  <c r="AW209" i="1"/>
  <c r="AX209" i="1" s="1"/>
  <c r="AT209" i="1" s="1"/>
  <c r="AY209" i="1" s="1"/>
  <c r="AV210" i="1"/>
  <c r="AW251" i="1"/>
  <c r="AX251" i="1" s="1"/>
  <c r="AT251" i="1" s="1"/>
  <c r="AY251" i="1" s="1"/>
  <c r="AV252" i="1"/>
  <c r="BC295" i="1"/>
  <c r="BB295" i="1"/>
  <c r="BC313" i="1"/>
  <c r="BB313" i="1"/>
  <c r="AV100" i="1"/>
  <c r="AV112" i="1"/>
  <c r="AV164" i="1"/>
  <c r="BC184" i="1"/>
  <c r="AV230" i="1"/>
  <c r="BC243" i="1"/>
  <c r="BB245" i="1"/>
  <c r="BC247" i="1"/>
  <c r="BC253" i="1"/>
  <c r="BB253" i="1"/>
  <c r="AW286" i="1"/>
  <c r="AX286" i="1" s="1"/>
  <c r="AT286" i="1" s="1"/>
  <c r="AY286" i="1" s="1"/>
  <c r="AV287" i="1"/>
  <c r="AV188" i="1"/>
  <c r="AW188" i="1" s="1"/>
  <c r="AX188" i="1" s="1"/>
  <c r="AT188" i="1" s="1"/>
  <c r="AY188" i="1" s="1"/>
  <c r="BB196" i="1"/>
  <c r="BC205" i="1"/>
  <c r="AW242" i="1"/>
  <c r="AX242" i="1" s="1"/>
  <c r="AT242" i="1" s="1"/>
  <c r="AY242" i="1" s="1"/>
  <c r="AV243" i="1"/>
  <c r="BC271" i="1"/>
  <c r="BB271" i="1"/>
  <c r="BC301" i="1"/>
  <c r="BB301" i="1"/>
  <c r="AW406" i="1"/>
  <c r="AX406" i="1" s="1"/>
  <c r="AT406" i="1" s="1"/>
  <c r="AY406" i="1" s="1"/>
  <c r="AV407" i="1"/>
  <c r="BB173" i="1"/>
  <c r="BB135" i="1"/>
  <c r="BB140" i="1"/>
  <c r="BB152" i="1"/>
  <c r="BB158" i="1"/>
  <c r="BC181" i="1"/>
  <c r="AW197" i="1"/>
  <c r="AX197" i="1" s="1"/>
  <c r="AT197" i="1" s="1"/>
  <c r="AY197" i="1" s="1"/>
  <c r="AV198" i="1"/>
  <c r="BC207" i="1"/>
  <c r="BB214" i="1"/>
  <c r="BC216" i="1"/>
  <c r="BB218" i="1"/>
  <c r="BB220" i="1"/>
  <c r="BC222" i="1"/>
  <c r="BB224" i="1"/>
  <c r="BB226" i="1"/>
  <c r="BB251" i="1"/>
  <c r="BC265" i="1"/>
  <c r="AW281" i="1"/>
  <c r="AX281" i="1" s="1"/>
  <c r="AT281" i="1" s="1"/>
  <c r="AY281" i="1" s="1"/>
  <c r="BC308" i="1"/>
  <c r="BB308" i="1"/>
  <c r="BC379" i="1"/>
  <c r="BB379" i="1"/>
  <c r="BC178" i="1"/>
  <c r="BB200" i="1"/>
  <c r="BB232" i="1"/>
  <c r="BB238" i="1"/>
  <c r="BC269" i="1"/>
  <c r="BB304" i="1"/>
  <c r="BC304" i="1"/>
  <c r="BC317" i="1"/>
  <c r="BB317" i="1"/>
  <c r="AW215" i="1"/>
  <c r="AX215" i="1" s="1"/>
  <c r="AT215" i="1" s="1"/>
  <c r="AY215" i="1" s="1"/>
  <c r="AV216" i="1"/>
  <c r="AW227" i="1"/>
  <c r="AX227" i="1" s="1"/>
  <c r="AT227" i="1" s="1"/>
  <c r="AY227" i="1" s="1"/>
  <c r="AV228" i="1"/>
  <c r="AW228" i="1" s="1"/>
  <c r="AX228" i="1" s="1"/>
  <c r="AT228" i="1" s="1"/>
  <c r="AY228" i="1" s="1"/>
  <c r="BC267" i="1"/>
  <c r="BB267" i="1"/>
  <c r="BB318" i="1"/>
  <c r="BC318" i="1"/>
  <c r="BC329" i="1"/>
  <c r="BB329" i="1"/>
  <c r="BC355" i="1"/>
  <c r="BB355" i="1"/>
  <c r="BC154" i="1"/>
  <c r="BC172" i="1"/>
  <c r="BC175" i="1"/>
  <c r="BB188" i="1"/>
  <c r="BC190" i="1"/>
  <c r="BC204" i="1"/>
  <c r="AW239" i="1"/>
  <c r="AX239" i="1" s="1"/>
  <c r="AT239" i="1" s="1"/>
  <c r="AY239" i="1" s="1"/>
  <c r="AV240" i="1"/>
  <c r="BC246" i="1"/>
  <c r="BB248" i="1"/>
  <c r="BC321" i="1"/>
  <c r="BB321" i="1"/>
  <c r="AV325" i="1"/>
  <c r="AW324" i="1"/>
  <c r="AX324" i="1" s="1"/>
  <c r="AT324" i="1" s="1"/>
  <c r="AY324" i="1" s="1"/>
  <c r="BC195" i="1"/>
  <c r="BC208" i="1"/>
  <c r="BC254" i="1"/>
  <c r="AV271" i="1"/>
  <c r="AW270" i="1"/>
  <c r="AX270" i="1" s="1"/>
  <c r="AT270" i="1" s="1"/>
  <c r="AY270" i="1" s="1"/>
  <c r="BC274" i="1"/>
  <c r="BB286" i="1"/>
  <c r="BC286" i="1"/>
  <c r="BC166" i="1"/>
  <c r="AV265" i="1"/>
  <c r="AW265" i="1" s="1"/>
  <c r="AX265" i="1" s="1"/>
  <c r="AT265" i="1" s="1"/>
  <c r="AY265" i="1" s="1"/>
  <c r="AW264" i="1"/>
  <c r="AX264" i="1" s="1"/>
  <c r="AT264" i="1" s="1"/>
  <c r="AY264" i="1" s="1"/>
  <c r="BC282" i="1"/>
  <c r="BB282" i="1"/>
  <c r="BC289" i="1"/>
  <c r="BB289" i="1"/>
  <c r="BC413" i="1"/>
  <c r="BB413" i="1"/>
  <c r="BC343" i="1"/>
  <c r="BB416" i="1"/>
  <c r="BC416" i="1"/>
  <c r="BC469" i="1"/>
  <c r="AW478" i="1"/>
  <c r="AX478" i="1" s="1"/>
  <c r="AT478" i="1" s="1"/>
  <c r="AY478" i="1" s="1"/>
  <c r="AV479" i="1"/>
  <c r="AW496" i="1"/>
  <c r="AX496" i="1" s="1"/>
  <c r="AT496" i="1" s="1"/>
  <c r="AY496" i="1" s="1"/>
  <c r="AV497" i="1"/>
  <c r="BB288" i="1"/>
  <c r="BB294" i="1"/>
  <c r="AV299" i="1"/>
  <c r="AW299" i="1" s="1"/>
  <c r="AX299" i="1" s="1"/>
  <c r="AT299" i="1" s="1"/>
  <c r="AY299" i="1" s="1"/>
  <c r="BB300" i="1"/>
  <c r="BB316" i="1"/>
  <c r="BB352" i="1"/>
  <c r="AV354" i="1"/>
  <c r="BB376" i="1"/>
  <c r="AV378" i="1"/>
  <c r="BB419" i="1"/>
  <c r="BC419" i="1"/>
  <c r="BC433" i="1"/>
  <c r="BC455" i="1"/>
  <c r="BB455" i="1"/>
  <c r="BC536" i="1"/>
  <c r="BB342" i="1"/>
  <c r="BC363" i="1"/>
  <c r="BB382" i="1"/>
  <c r="BC354" i="1"/>
  <c r="BB354" i="1"/>
  <c r="BC378" i="1"/>
  <c r="BB378" i="1"/>
  <c r="AW420" i="1"/>
  <c r="AX420" i="1" s="1"/>
  <c r="AT420" i="1" s="1"/>
  <c r="AY420" i="1" s="1"/>
  <c r="AV421" i="1"/>
  <c r="BB262" i="1"/>
  <c r="BB280" i="1"/>
  <c r="BB326" i="1"/>
  <c r="AV341" i="1"/>
  <c r="BC342" i="1"/>
  <c r="BB361" i="1"/>
  <c r="BB380" i="1"/>
  <c r="BC384" i="1"/>
  <c r="BB384" i="1"/>
  <c r="BB394" i="1"/>
  <c r="BC412" i="1"/>
  <c r="BB412" i="1"/>
  <c r="BC444" i="1"/>
  <c r="BB444" i="1"/>
  <c r="BC447" i="1"/>
  <c r="BB506" i="1"/>
  <c r="BC506" i="1"/>
  <c r="BC334" i="1"/>
  <c r="BB349" i="1"/>
  <c r="BB367" i="1"/>
  <c r="BC390" i="1"/>
  <c r="BB390" i="1"/>
  <c r="BC396" i="1"/>
  <c r="BB396" i="1"/>
  <c r="BB409" i="1"/>
  <c r="BC471" i="1"/>
  <c r="BB471" i="1"/>
  <c r="AV668" i="1"/>
  <c r="AW667" i="1"/>
  <c r="AX667" i="1" s="1"/>
  <c r="AT667" i="1" s="1"/>
  <c r="AY667" i="1" s="1"/>
  <c r="BB258" i="1"/>
  <c r="BC262" i="1"/>
  <c r="BB265" i="1"/>
  <c r="BB269" i="1"/>
  <c r="BB276" i="1"/>
  <c r="BC280" i="1"/>
  <c r="BB290" i="1"/>
  <c r="BB296" i="1"/>
  <c r="BB323" i="1"/>
  <c r="BB331" i="1"/>
  <c r="AW358" i="1"/>
  <c r="AX358" i="1" s="1"/>
  <c r="AT358" i="1" s="1"/>
  <c r="AY358" i="1" s="1"/>
  <c r="AW510" i="1"/>
  <c r="AX510" i="1" s="1"/>
  <c r="AT510" i="1" s="1"/>
  <c r="AY510" i="1" s="1"/>
  <c r="AV511" i="1"/>
  <c r="BB554" i="1"/>
  <c r="BC554" i="1"/>
  <c r="BC261" i="1"/>
  <c r="AV267" i="1"/>
  <c r="AW267" i="1" s="1"/>
  <c r="AX267" i="1" s="1"/>
  <c r="AT267" i="1" s="1"/>
  <c r="AY267" i="1" s="1"/>
  <c r="BC310" i="1"/>
  <c r="BB312" i="1"/>
  <c r="BB328" i="1"/>
  <c r="AV331" i="1"/>
  <c r="AW330" i="1"/>
  <c r="AX330" i="1" s="1"/>
  <c r="AT330" i="1" s="1"/>
  <c r="AY330" i="1" s="1"/>
  <c r="AW338" i="1"/>
  <c r="AX338" i="1" s="1"/>
  <c r="AT338" i="1" s="1"/>
  <c r="AY338" i="1" s="1"/>
  <c r="BB339" i="1"/>
  <c r="BB344" i="1"/>
  <c r="BB358" i="1"/>
  <c r="BC402" i="1"/>
  <c r="BB402" i="1"/>
  <c r="BB410" i="1"/>
  <c r="BC429" i="1"/>
  <c r="BB429" i="1"/>
  <c r="AV524" i="1"/>
  <c r="AW523" i="1"/>
  <c r="AX523" i="1" s="1"/>
  <c r="AT523" i="1" s="1"/>
  <c r="AY523" i="1" s="1"/>
  <c r="BC360" i="1"/>
  <c r="BB360" i="1"/>
  <c r="AV301" i="1"/>
  <c r="AW301" i="1" s="1"/>
  <c r="AX301" i="1" s="1"/>
  <c r="AT301" i="1" s="1"/>
  <c r="AY301" i="1" s="1"/>
  <c r="AW300" i="1"/>
  <c r="AX300" i="1" s="1"/>
  <c r="AT300" i="1" s="1"/>
  <c r="AY300" i="1" s="1"/>
  <c r="BC366" i="1"/>
  <c r="BB366" i="1"/>
  <c r="AV401" i="1"/>
  <c r="BC408" i="1"/>
  <c r="BB408" i="1"/>
  <c r="BC418" i="1"/>
  <c r="BC432" i="1"/>
  <c r="BB432" i="1"/>
  <c r="BB524" i="1"/>
  <c r="BC524" i="1"/>
  <c r="BB324" i="1"/>
  <c r="BB338" i="1"/>
  <c r="BC348" i="1"/>
  <c r="BB368" i="1"/>
  <c r="BC372" i="1"/>
  <c r="BB372" i="1"/>
  <c r="BC393" i="1"/>
  <c r="BB411" i="1"/>
  <c r="AW464" i="1"/>
  <c r="AX464" i="1" s="1"/>
  <c r="AT464" i="1" s="1"/>
  <c r="AY464" i="1" s="1"/>
  <c r="AV465" i="1"/>
  <c r="BC476" i="1"/>
  <c r="BB482" i="1"/>
  <c r="BC482" i="1"/>
  <c r="AW454" i="1"/>
  <c r="AX454" i="1" s="1"/>
  <c r="AT454" i="1" s="1"/>
  <c r="AY454" i="1" s="1"/>
  <c r="AV455" i="1"/>
  <c r="AW455" i="1" s="1"/>
  <c r="AX455" i="1" s="1"/>
  <c r="AT455" i="1" s="1"/>
  <c r="AY455" i="1" s="1"/>
  <c r="BB512" i="1"/>
  <c r="BC566" i="1"/>
  <c r="BC578" i="1"/>
  <c r="BC584" i="1"/>
  <c r="AW633" i="1"/>
  <c r="AX633" i="1" s="1"/>
  <c r="AT633" i="1" s="1"/>
  <c r="AY633" i="1" s="1"/>
  <c r="AV634" i="1"/>
  <c r="AW568" i="1"/>
  <c r="AX568" i="1" s="1"/>
  <c r="AT568" i="1" s="1"/>
  <c r="AY568" i="1" s="1"/>
  <c r="AV569" i="1"/>
  <c r="BC609" i="1"/>
  <c r="BB609" i="1"/>
  <c r="BC620" i="1"/>
  <c r="BB620" i="1"/>
  <c r="BC656" i="1"/>
  <c r="BB656" i="1"/>
  <c r="AW686" i="1"/>
  <c r="AX686" i="1" s="1"/>
  <c r="AT686" i="1" s="1"/>
  <c r="AY686" i="1" s="1"/>
  <c r="AV687" i="1"/>
  <c r="BC449" i="1"/>
  <c r="BB449" i="1"/>
  <c r="AW451" i="1"/>
  <c r="AX451" i="1" s="1"/>
  <c r="AT451" i="1" s="1"/>
  <c r="AY451" i="1" s="1"/>
  <c r="AW481" i="1"/>
  <c r="AX481" i="1" s="1"/>
  <c r="AT481" i="1" s="1"/>
  <c r="AY481" i="1" s="1"/>
  <c r="AW484" i="1"/>
  <c r="AX484" i="1" s="1"/>
  <c r="AT484" i="1" s="1"/>
  <c r="AY484" i="1" s="1"/>
  <c r="AV485" i="1"/>
  <c r="BB495" i="1"/>
  <c r="BB525" i="1"/>
  <c r="AW565" i="1"/>
  <c r="AX565" i="1" s="1"/>
  <c r="AT565" i="1" s="1"/>
  <c r="AY565" i="1" s="1"/>
  <c r="AV577" i="1"/>
  <c r="AV583" i="1"/>
  <c r="BC585" i="1"/>
  <c r="BC589" i="1"/>
  <c r="BC606" i="1"/>
  <c r="BB606" i="1"/>
  <c r="AW692" i="1"/>
  <c r="AX692" i="1" s="1"/>
  <c r="AT692" i="1" s="1"/>
  <c r="AY692" i="1" s="1"/>
  <c r="AV693" i="1"/>
  <c r="BC452" i="1"/>
  <c r="BC475" i="1"/>
  <c r="BB501" i="1"/>
  <c r="BC523" i="1"/>
  <c r="BB531" i="1"/>
  <c r="BC551" i="1"/>
  <c r="BC563" i="1"/>
  <c r="BC569" i="1"/>
  <c r="BB575" i="1"/>
  <c r="BB581" i="1"/>
  <c r="BC648" i="1"/>
  <c r="BB648" i="1"/>
  <c r="AW691" i="1"/>
  <c r="AX691" i="1" s="1"/>
  <c r="AT691" i="1" s="1"/>
  <c r="AY691" i="1" s="1"/>
  <c r="AW488" i="1"/>
  <c r="AX488" i="1" s="1"/>
  <c r="AT488" i="1" s="1"/>
  <c r="AY488" i="1" s="1"/>
  <c r="AV489" i="1"/>
  <c r="BC557" i="1"/>
  <c r="BC571" i="1"/>
  <c r="AW602" i="1"/>
  <c r="AX602" i="1" s="1"/>
  <c r="AT602" i="1" s="1"/>
  <c r="AY602" i="1" s="1"/>
  <c r="AV603" i="1"/>
  <c r="BC621" i="1"/>
  <c r="BB621" i="1"/>
  <c r="AW639" i="1"/>
  <c r="AX639" i="1" s="1"/>
  <c r="AT639" i="1" s="1"/>
  <c r="AY639" i="1" s="1"/>
  <c r="AV640" i="1"/>
  <c r="BC715" i="1"/>
  <c r="BB715" i="1"/>
  <c r="BB726" i="1"/>
  <c r="AV453" i="1"/>
  <c r="AW453" i="1" s="1"/>
  <c r="AX453" i="1" s="1"/>
  <c r="AT453" i="1" s="1"/>
  <c r="AY453" i="1" s="1"/>
  <c r="BB465" i="1"/>
  <c r="AW487" i="1"/>
  <c r="AX487" i="1" s="1"/>
  <c r="AT487" i="1" s="1"/>
  <c r="AY487" i="1" s="1"/>
  <c r="BB555" i="1"/>
  <c r="BC577" i="1"/>
  <c r="BC583" i="1"/>
  <c r="BC607" i="1"/>
  <c r="BB607" i="1"/>
  <c r="BC613" i="1"/>
  <c r="BB613" i="1"/>
  <c r="BC618" i="1"/>
  <c r="BB618" i="1"/>
  <c r="AW660" i="1"/>
  <c r="AX660" i="1" s="1"/>
  <c r="AT660" i="1" s="1"/>
  <c r="AY660" i="1" s="1"/>
  <c r="AV661" i="1"/>
  <c r="AW661" i="1" s="1"/>
  <c r="AX661" i="1" s="1"/>
  <c r="AT661" i="1" s="1"/>
  <c r="AY661" i="1" s="1"/>
  <c r="BC703" i="1"/>
  <c r="BB703" i="1"/>
  <c r="BC415" i="1"/>
  <c r="BC422" i="1"/>
  <c r="BB428" i="1"/>
  <c r="AW430" i="1"/>
  <c r="AX430" i="1" s="1"/>
  <c r="AT430" i="1" s="1"/>
  <c r="AY430" i="1" s="1"/>
  <c r="AV431" i="1"/>
  <c r="BB434" i="1"/>
  <c r="BB437" i="1"/>
  <c r="BC443" i="1"/>
  <c r="BB443" i="1"/>
  <c r="BC446" i="1"/>
  <c r="BB513" i="1"/>
  <c r="BB561" i="1"/>
  <c r="AW436" i="1"/>
  <c r="AX436" i="1" s="1"/>
  <c r="AT436" i="1" s="1"/>
  <c r="AY436" i="1" s="1"/>
  <c r="AV437" i="1"/>
  <c r="BB440" i="1"/>
  <c r="BC467" i="1"/>
  <c r="BB467" i="1"/>
  <c r="BC470" i="1"/>
  <c r="BC491" i="1"/>
  <c r="BB494" i="1"/>
  <c r="BC511" i="1"/>
  <c r="BB548" i="1"/>
  <c r="BC559" i="1"/>
  <c r="BC600" i="1"/>
  <c r="BC610" i="1"/>
  <c r="BB637" i="1"/>
  <c r="BB663" i="1"/>
  <c r="BC590" i="1"/>
  <c r="BC614" i="1"/>
  <c r="BB614" i="1"/>
  <c r="AW627" i="1"/>
  <c r="AX627" i="1" s="1"/>
  <c r="AT627" i="1" s="1"/>
  <c r="AY627" i="1" s="1"/>
  <c r="AV628" i="1"/>
  <c r="BC643" i="1"/>
  <c r="BB643" i="1"/>
  <c r="AW656" i="1"/>
  <c r="AX656" i="1" s="1"/>
  <c r="AT656" i="1" s="1"/>
  <c r="AY656" i="1" s="1"/>
  <c r="AV657" i="1"/>
  <c r="AW657" i="1" s="1"/>
  <c r="AX657" i="1" s="1"/>
  <c r="AT657" i="1" s="1"/>
  <c r="AY657" i="1" s="1"/>
  <c r="BB700" i="1"/>
  <c r="AW713" i="1"/>
  <c r="AX713" i="1" s="1"/>
  <c r="AT713" i="1" s="1"/>
  <c r="AY713" i="1" s="1"/>
  <c r="AV714" i="1"/>
  <c r="BC427" i="1"/>
  <c r="BC440" i="1"/>
  <c r="BC445" i="1"/>
  <c r="BB464" i="1"/>
  <c r="BB500" i="1"/>
  <c r="BC517" i="1"/>
  <c r="BB530" i="1"/>
  <c r="BC541" i="1"/>
  <c r="BC591" i="1"/>
  <c r="AV599" i="1"/>
  <c r="AW598" i="1"/>
  <c r="AX598" i="1" s="1"/>
  <c r="AT598" i="1" s="1"/>
  <c r="AY598" i="1" s="1"/>
  <c r="AW618" i="1"/>
  <c r="AX618" i="1" s="1"/>
  <c r="AT618" i="1" s="1"/>
  <c r="AY618" i="1" s="1"/>
  <c r="AV619" i="1"/>
  <c r="BC640" i="1"/>
  <c r="BB640" i="1"/>
  <c r="BC661" i="1"/>
  <c r="BB661" i="1"/>
  <c r="BC688" i="1"/>
  <c r="BB688" i="1"/>
  <c r="BC693" i="1"/>
  <c r="BB536" i="1"/>
  <c r="BC603" i="1"/>
  <c r="BB603" i="1"/>
  <c r="BC697" i="1"/>
  <c r="BB697" i="1"/>
  <c r="BC691" i="1"/>
  <c r="BB691" i="1"/>
  <c r="BC711" i="1"/>
  <c r="BB711" i="1"/>
  <c r="AV509" i="1"/>
  <c r="AW509" i="1" s="1"/>
  <c r="AX509" i="1" s="1"/>
  <c r="AT509" i="1" s="1"/>
  <c r="AY509" i="1" s="1"/>
  <c r="AV515" i="1"/>
  <c r="AV545" i="1"/>
  <c r="AV551" i="1"/>
  <c r="BC630" i="1"/>
  <c r="BC636" i="1"/>
  <c r="AW655" i="1"/>
  <c r="AX655" i="1" s="1"/>
  <c r="AT655" i="1" s="1"/>
  <c r="AY655" i="1" s="1"/>
  <c r="BC669" i="1"/>
  <c r="BC675" i="1"/>
  <c r="AW704" i="1"/>
  <c r="AX704" i="1" s="1"/>
  <c r="AT704" i="1" s="1"/>
  <c r="AY704" i="1" s="1"/>
  <c r="AV705" i="1"/>
  <c r="AW705" i="1" s="1"/>
  <c r="AX705" i="1" s="1"/>
  <c r="AT705" i="1" s="1"/>
  <c r="AY705" i="1" s="1"/>
  <c r="BC732" i="1"/>
  <c r="BB645" i="1"/>
  <c r="BC737" i="1"/>
  <c r="BB737" i="1"/>
  <c r="BB786" i="1"/>
  <c r="BC786" i="1"/>
  <c r="BB630" i="1"/>
  <c r="BB636" i="1"/>
  <c r="BB650" i="1"/>
  <c r="BB655" i="1"/>
  <c r="BB669" i="1"/>
  <c r="BC673" i="1"/>
  <c r="BB673" i="1"/>
  <c r="BB675" i="1"/>
  <c r="BC679" i="1"/>
  <c r="BB679" i="1"/>
  <c r="BB686" i="1"/>
  <c r="BB694" i="1"/>
  <c r="AW886" i="1"/>
  <c r="AX886" i="1" s="1"/>
  <c r="AT886" i="1" s="1"/>
  <c r="AY886" i="1" s="1"/>
  <c r="AV887" i="1"/>
  <c r="AV625" i="1"/>
  <c r="BC657" i="1"/>
  <c r="AW707" i="1"/>
  <c r="AX707" i="1" s="1"/>
  <c r="AT707" i="1" s="1"/>
  <c r="AY707" i="1" s="1"/>
  <c r="AV708" i="1"/>
  <c r="AW708" i="1" s="1"/>
  <c r="AX708" i="1" s="1"/>
  <c r="AT708" i="1" s="1"/>
  <c r="AY708" i="1" s="1"/>
  <c r="BC717" i="1"/>
  <c r="BB717" i="1"/>
  <c r="BC728" i="1"/>
  <c r="BB728" i="1"/>
  <c r="BB774" i="1"/>
  <c r="BC774" i="1"/>
  <c r="BC699" i="1"/>
  <c r="BB699" i="1"/>
  <c r="AW710" i="1"/>
  <c r="AX710" i="1" s="1"/>
  <c r="AT710" i="1" s="1"/>
  <c r="AY710" i="1" s="1"/>
  <c r="AV711" i="1"/>
  <c r="AW711" i="1" s="1"/>
  <c r="AX711" i="1" s="1"/>
  <c r="AT711" i="1" s="1"/>
  <c r="AY711" i="1" s="1"/>
  <c r="AW731" i="1"/>
  <c r="AX731" i="1" s="1"/>
  <c r="AT731" i="1" s="1"/>
  <c r="AY731" i="1" s="1"/>
  <c r="AV732" i="1"/>
  <c r="AW732" i="1" s="1"/>
  <c r="AX732" i="1" s="1"/>
  <c r="AT732" i="1" s="1"/>
  <c r="AY732" i="1" s="1"/>
  <c r="BC841" i="1"/>
  <c r="BB841" i="1"/>
  <c r="BC863" i="1"/>
  <c r="BB863" i="1"/>
  <c r="BB473" i="1"/>
  <c r="BB479" i="1"/>
  <c r="BB485" i="1"/>
  <c r="BB491" i="1"/>
  <c r="BB497" i="1"/>
  <c r="BB503" i="1"/>
  <c r="BB509" i="1"/>
  <c r="BB515" i="1"/>
  <c r="BB527" i="1"/>
  <c r="BB533" i="1"/>
  <c r="BB545" i="1"/>
  <c r="BB551" i="1"/>
  <c r="BB557" i="1"/>
  <c r="BB563" i="1"/>
  <c r="BB569" i="1"/>
  <c r="BB587" i="1"/>
  <c r="BB593" i="1"/>
  <c r="BB597" i="1"/>
  <c r="BB605" i="1"/>
  <c r="BB629" i="1"/>
  <c r="BB635" i="1"/>
  <c r="BB644" i="1"/>
  <c r="AV663" i="1"/>
  <c r="BB685" i="1"/>
  <c r="BB692" i="1"/>
  <c r="BC743" i="1"/>
  <c r="BB743" i="1"/>
  <c r="BB612" i="1"/>
  <c r="BB649" i="1"/>
  <c r="BC651" i="1"/>
  <c r="BB659" i="1"/>
  <c r="BB687" i="1"/>
  <c r="BC705" i="1"/>
  <c r="BB705" i="1"/>
  <c r="AW736" i="1"/>
  <c r="AX736" i="1" s="1"/>
  <c r="AT736" i="1" s="1"/>
  <c r="AY736" i="1" s="1"/>
  <c r="AV737" i="1"/>
  <c r="BC739" i="1"/>
  <c r="BB739" i="1"/>
  <c r="BC810" i="1"/>
  <c r="BB810" i="1"/>
  <c r="BC838" i="1"/>
  <c r="BB838" i="1"/>
  <c r="BC725" i="1"/>
  <c r="BB725" i="1"/>
  <c r="AW727" i="1"/>
  <c r="AX727" i="1" s="1"/>
  <c r="AT727" i="1" s="1"/>
  <c r="AY727" i="1" s="1"/>
  <c r="BC731" i="1"/>
  <c r="BB731" i="1"/>
  <c r="AW761" i="1"/>
  <c r="AX761" i="1" s="1"/>
  <c r="AT761" i="1" s="1"/>
  <c r="AY761" i="1" s="1"/>
  <c r="AV762" i="1"/>
  <c r="AV791" i="1"/>
  <c r="AW790" i="1"/>
  <c r="AX790" i="1" s="1"/>
  <c r="AT790" i="1" s="1"/>
  <c r="AY790" i="1" s="1"/>
  <c r="BC933" i="1"/>
  <c r="BB933" i="1"/>
  <c r="BB745" i="1"/>
  <c r="BB763" i="1"/>
  <c r="BC768" i="1"/>
  <c r="AW779" i="1"/>
  <c r="AX779" i="1" s="1"/>
  <c r="AT779" i="1" s="1"/>
  <c r="AY779" i="1" s="1"/>
  <c r="AV780" i="1"/>
  <c r="AW780" i="1" s="1"/>
  <c r="AX780" i="1" s="1"/>
  <c r="AT780" i="1" s="1"/>
  <c r="AY780" i="1" s="1"/>
  <c r="BC798" i="1"/>
  <c r="BB798" i="1"/>
  <c r="AV809" i="1"/>
  <c r="AW808" i="1"/>
  <c r="AX808" i="1" s="1"/>
  <c r="AT808" i="1" s="1"/>
  <c r="AY808" i="1" s="1"/>
  <c r="AV872" i="1"/>
  <c r="AW871" i="1"/>
  <c r="AX871" i="1" s="1"/>
  <c r="AT871" i="1" s="1"/>
  <c r="AY871" i="1" s="1"/>
  <c r="AV682" i="1"/>
  <c r="AW682" i="1" s="1"/>
  <c r="AX682" i="1" s="1"/>
  <c r="AT682" i="1" s="1"/>
  <c r="AY682" i="1" s="1"/>
  <c r="AV729" i="1"/>
  <c r="AW729" i="1" s="1"/>
  <c r="AX729" i="1" s="1"/>
  <c r="AT729" i="1" s="1"/>
  <c r="AY729" i="1" s="1"/>
  <c r="AV832" i="1"/>
  <c r="AW831" i="1"/>
  <c r="AX831" i="1" s="1"/>
  <c r="AT831" i="1" s="1"/>
  <c r="AY831" i="1" s="1"/>
  <c r="AW855" i="1"/>
  <c r="AX855" i="1" s="1"/>
  <c r="AT855" i="1" s="1"/>
  <c r="AY855" i="1" s="1"/>
  <c r="AV856" i="1"/>
  <c r="BB720" i="1"/>
  <c r="AW755" i="1"/>
  <c r="AX755" i="1" s="1"/>
  <c r="AT755" i="1" s="1"/>
  <c r="AY755" i="1" s="1"/>
  <c r="AV756" i="1"/>
  <c r="BB769" i="1"/>
  <c r="AW776" i="1"/>
  <c r="AX776" i="1" s="1"/>
  <c r="AT776" i="1" s="1"/>
  <c r="AY776" i="1" s="1"/>
  <c r="AV777" i="1"/>
  <c r="BB672" i="1"/>
  <c r="BB678" i="1"/>
  <c r="AV749" i="1"/>
  <c r="BB751" i="1"/>
  <c r="BC816" i="1"/>
  <c r="BB816" i="1"/>
  <c r="BB755" i="1"/>
  <c r="BC767" i="1"/>
  <c r="BC792" i="1"/>
  <c r="BB792" i="1"/>
  <c r="BC832" i="1"/>
  <c r="BB832" i="1"/>
  <c r="BC735" i="1"/>
  <c r="BC747" i="1"/>
  <c r="BC762" i="1"/>
  <c r="BC765" i="1"/>
  <c r="BC780" i="1"/>
  <c r="AV785" i="1"/>
  <c r="AV819" i="1"/>
  <c r="BC846" i="1"/>
  <c r="BB854" i="1"/>
  <c r="AW894" i="1"/>
  <c r="AX894" i="1" s="1"/>
  <c r="AT894" i="1" s="1"/>
  <c r="AY894" i="1" s="1"/>
  <c r="BC901" i="1"/>
  <c r="BB901" i="1"/>
  <c r="BC907" i="1"/>
  <c r="BB907" i="1"/>
  <c r="AV823" i="1"/>
  <c r="AW823" i="1" s="1"/>
  <c r="AX823" i="1" s="1"/>
  <c r="AT823" i="1" s="1"/>
  <c r="AY823" i="1" s="1"/>
  <c r="BC871" i="1"/>
  <c r="BB871" i="1"/>
  <c r="AW845" i="1"/>
  <c r="AX845" i="1" s="1"/>
  <c r="AT845" i="1" s="1"/>
  <c r="AY845" i="1" s="1"/>
  <c r="AW890" i="1"/>
  <c r="AX890" i="1" s="1"/>
  <c r="AT890" i="1" s="1"/>
  <c r="AY890" i="1" s="1"/>
  <c r="AV891" i="1"/>
  <c r="AW891" i="1" s="1"/>
  <c r="AX891" i="1" s="1"/>
  <c r="AT891" i="1" s="1"/>
  <c r="AY891" i="1" s="1"/>
  <c r="BC1028" i="1"/>
  <c r="BB1028" i="1"/>
  <c r="BB749" i="1"/>
  <c r="BB767" i="1"/>
  <c r="BB773" i="1"/>
  <c r="BB785" i="1"/>
  <c r="BB791" i="1"/>
  <c r="BB797" i="1"/>
  <c r="BB803" i="1"/>
  <c r="BB809" i="1"/>
  <c r="BB815" i="1"/>
  <c r="BB820" i="1"/>
  <c r="BB828" i="1"/>
  <c r="BB834" i="1"/>
  <c r="AW853" i="1"/>
  <c r="AX853" i="1" s="1"/>
  <c r="AT853" i="1" s="1"/>
  <c r="AY853" i="1" s="1"/>
  <c r="BC878" i="1"/>
  <c r="BB883" i="1"/>
  <c r="AW885" i="1"/>
  <c r="AX885" i="1" s="1"/>
  <c r="AT885" i="1" s="1"/>
  <c r="AY885" i="1" s="1"/>
  <c r="AV912" i="1"/>
  <c r="AW912" i="1" s="1"/>
  <c r="AX912" i="1" s="1"/>
  <c r="AT912" i="1" s="1"/>
  <c r="AY912" i="1" s="1"/>
  <c r="AW911" i="1"/>
  <c r="AX911" i="1" s="1"/>
  <c r="AT911" i="1" s="1"/>
  <c r="AY911" i="1" s="1"/>
  <c r="BB819" i="1"/>
  <c r="BC831" i="1"/>
  <c r="BC837" i="1"/>
  <c r="BC843" i="1"/>
  <c r="AV847" i="1"/>
  <c r="BB860" i="1"/>
  <c r="AW870" i="1"/>
  <c r="AX870" i="1" s="1"/>
  <c r="AT870" i="1" s="1"/>
  <c r="AY870" i="1" s="1"/>
  <c r="BB885" i="1"/>
  <c r="BC885" i="1"/>
  <c r="AV805" i="1"/>
  <c r="AW805" i="1" s="1"/>
  <c r="AX805" i="1" s="1"/>
  <c r="AT805" i="1" s="1"/>
  <c r="AY805" i="1" s="1"/>
  <c r="BB827" i="1"/>
  <c r="BB866" i="1"/>
  <c r="BB872" i="1"/>
  <c r="BB879" i="1"/>
  <c r="BC879" i="1"/>
  <c r="BC957" i="1"/>
  <c r="BB957" i="1"/>
  <c r="BB741" i="1"/>
  <c r="BB747" i="1"/>
  <c r="BB795" i="1"/>
  <c r="BB801" i="1"/>
  <c r="AW821" i="1"/>
  <c r="AX821" i="1" s="1"/>
  <c r="AT821" i="1" s="1"/>
  <c r="AY821" i="1" s="1"/>
  <c r="AW829" i="1"/>
  <c r="AX829" i="1" s="1"/>
  <c r="AT829" i="1" s="1"/>
  <c r="AY829" i="1" s="1"/>
  <c r="AW844" i="1"/>
  <c r="AX844" i="1" s="1"/>
  <c r="AT844" i="1" s="1"/>
  <c r="AY844" i="1" s="1"/>
  <c r="BB850" i="1"/>
  <c r="BC853" i="1"/>
  <c r="BC895" i="1"/>
  <c r="BB895" i="1"/>
  <c r="AW916" i="1"/>
  <c r="AX916" i="1" s="1"/>
  <c r="AT916" i="1" s="1"/>
  <c r="AY916" i="1" s="1"/>
  <c r="AV917" i="1"/>
  <c r="AW917" i="1" s="1"/>
  <c r="AX917" i="1" s="1"/>
  <c r="AT917" i="1" s="1"/>
  <c r="AY917" i="1" s="1"/>
  <c r="BC833" i="1"/>
  <c r="BC839" i="1"/>
  <c r="BC855" i="1"/>
  <c r="AW861" i="1"/>
  <c r="AX861" i="1" s="1"/>
  <c r="AT861" i="1" s="1"/>
  <c r="AY861" i="1" s="1"/>
  <c r="AV862" i="1"/>
  <c r="AV867" i="1"/>
  <c r="AW867" i="1" s="1"/>
  <c r="AX867" i="1" s="1"/>
  <c r="AT867" i="1" s="1"/>
  <c r="AY867" i="1" s="1"/>
  <c r="BC875" i="1"/>
  <c r="BB875" i="1"/>
  <c r="AW893" i="1"/>
  <c r="AX893" i="1" s="1"/>
  <c r="AT893" i="1" s="1"/>
  <c r="AY893" i="1" s="1"/>
  <c r="BC877" i="1"/>
  <c r="BB877" i="1"/>
  <c r="BC893" i="1"/>
  <c r="BB893" i="1"/>
  <c r="BB903" i="1"/>
  <c r="BC903" i="1"/>
  <c r="BB909" i="1"/>
  <c r="BC909" i="1"/>
  <c r="BB849" i="1"/>
  <c r="BC852" i="1"/>
  <c r="BB861" i="1"/>
  <c r="BC891" i="1"/>
  <c r="BC952" i="1"/>
  <c r="AV956" i="1"/>
  <c r="BC974" i="1"/>
  <c r="BB974" i="1"/>
  <c r="BC945" i="1"/>
  <c r="BB945" i="1"/>
  <c r="AW1021" i="1"/>
  <c r="AX1021" i="1" s="1"/>
  <c r="AT1021" i="1" s="1"/>
  <c r="AY1021" i="1" s="1"/>
  <c r="AV1022" i="1"/>
  <c r="AW1022" i="1" s="1"/>
  <c r="AX1022" i="1" s="1"/>
  <c r="AT1022" i="1" s="1"/>
  <c r="AY1022" i="1" s="1"/>
  <c r="BC915" i="1"/>
  <c r="BB915" i="1"/>
  <c r="AV920" i="1"/>
  <c r="BC921" i="1"/>
  <c r="BB921" i="1"/>
  <c r="BC968" i="1"/>
  <c r="BC993" i="1"/>
  <c r="BC999" i="1"/>
  <c r="BB999" i="1"/>
  <c r="BB928" i="1"/>
  <c r="BC940" i="1"/>
  <c r="BB947" i="1"/>
  <c r="BB954" i="1"/>
  <c r="BB963" i="1"/>
  <c r="AW967" i="1"/>
  <c r="AX967" i="1" s="1"/>
  <c r="AT967" i="1" s="1"/>
  <c r="AY967" i="1" s="1"/>
  <c r="AV968" i="1"/>
  <c r="BC977" i="1"/>
  <c r="BC975" i="1"/>
  <c r="BB975" i="1"/>
  <c r="BB889" i="1"/>
  <c r="BB917" i="1"/>
  <c r="BB923" i="1"/>
  <c r="BB940" i="1"/>
  <c r="BC986" i="1"/>
  <c r="AV898" i="1"/>
  <c r="BB899" i="1"/>
  <c r="BB905" i="1"/>
  <c r="BB925" i="1"/>
  <c r="BB942" i="1"/>
  <c r="BC927" i="1"/>
  <c r="BB927" i="1"/>
  <c r="BC946" i="1"/>
  <c r="BB960" i="1"/>
  <c r="BC960" i="1"/>
  <c r="BB964" i="1"/>
  <c r="BC980" i="1"/>
  <c r="AV999" i="1"/>
  <c r="AW998" i="1"/>
  <c r="AX998" i="1" s="1"/>
  <c r="AT998" i="1" s="1"/>
  <c r="AY998" i="1" s="1"/>
  <c r="BC962" i="1"/>
  <c r="BB962" i="1"/>
  <c r="BC971" i="1"/>
  <c r="BB971" i="1"/>
  <c r="BC987" i="1"/>
  <c r="BB987" i="1"/>
  <c r="BB929" i="1"/>
  <c r="AV935" i="1"/>
  <c r="AW935" i="1" s="1"/>
  <c r="AX935" i="1" s="1"/>
  <c r="AT935" i="1" s="1"/>
  <c r="AY935" i="1" s="1"/>
  <c r="BC939" i="1"/>
  <c r="BB939" i="1"/>
  <c r="BB946" i="1"/>
  <c r="BC964" i="1"/>
  <c r="BB931" i="1"/>
  <c r="AV938" i="1"/>
  <c r="BC943" i="1"/>
  <c r="BB948" i="1"/>
  <c r="AV952" i="1"/>
  <c r="BB972" i="1"/>
  <c r="BB1002" i="1"/>
  <c r="AW1004" i="1"/>
  <c r="AX1004" i="1" s="1"/>
  <c r="AT1004" i="1" s="1"/>
  <c r="AY1004" i="1" s="1"/>
  <c r="AV1005" i="1"/>
  <c r="BC1009" i="1"/>
  <c r="BB1009" i="1"/>
  <c r="BC1015" i="1"/>
  <c r="BB1015" i="1"/>
  <c r="BB1121" i="1"/>
  <c r="BC1121" i="1"/>
  <c r="AW1023" i="1"/>
  <c r="AX1023" i="1" s="1"/>
  <c r="AT1023" i="1" s="1"/>
  <c r="AY1023" i="1" s="1"/>
  <c r="AV1024" i="1"/>
  <c r="AV1055" i="1"/>
  <c r="AW1054" i="1"/>
  <c r="AX1054" i="1" s="1"/>
  <c r="AT1054" i="1" s="1"/>
  <c r="AY1054" i="1" s="1"/>
  <c r="BB1058" i="1"/>
  <c r="BC1058" i="1"/>
  <c r="BB1094" i="1"/>
  <c r="BC1094" i="1"/>
  <c r="BB985" i="1"/>
  <c r="BC1025" i="1"/>
  <c r="AW1029" i="1"/>
  <c r="AX1029" i="1" s="1"/>
  <c r="AT1029" i="1" s="1"/>
  <c r="AY1029" i="1" s="1"/>
  <c r="AW1138" i="1"/>
  <c r="AX1138" i="1" s="1"/>
  <c r="AT1138" i="1" s="1"/>
  <c r="AY1138" i="1" s="1"/>
  <c r="AV1139" i="1"/>
  <c r="BB980" i="1"/>
  <c r="BB988" i="1"/>
  <c r="BB992" i="1"/>
  <c r="BB1004" i="1"/>
  <c r="BB1025" i="1"/>
  <c r="BC1062" i="1"/>
  <c r="BB984" i="1"/>
  <c r="AW1018" i="1"/>
  <c r="AX1018" i="1" s="1"/>
  <c r="AT1018" i="1" s="1"/>
  <c r="AY1018" i="1" s="1"/>
  <c r="AV1019" i="1"/>
  <c r="AW1019" i="1" s="1"/>
  <c r="AX1019" i="1" s="1"/>
  <c r="AT1019" i="1" s="1"/>
  <c r="AY1019" i="1" s="1"/>
  <c r="BC1031" i="1"/>
  <c r="BB1049" i="1"/>
  <c r="BB991" i="1"/>
  <c r="BB1008" i="1"/>
  <c r="BC1018" i="1"/>
  <c r="BB1018" i="1"/>
  <c r="BB1038" i="1"/>
  <c r="BB978" i="1"/>
  <c r="BB994" i="1"/>
  <c r="BB1003" i="1"/>
  <c r="AW1030" i="1"/>
  <c r="AX1030" i="1" s="1"/>
  <c r="AT1030" i="1" s="1"/>
  <c r="AY1030" i="1" s="1"/>
  <c r="AV1031" i="1"/>
  <c r="BC1032" i="1"/>
  <c r="BB1032" i="1"/>
  <c r="BC1042" i="1"/>
  <c r="BB1044" i="1"/>
  <c r="BC1044" i="1"/>
  <c r="AW1081" i="1"/>
  <c r="AX1081" i="1" s="1"/>
  <c r="AT1081" i="1" s="1"/>
  <c r="AY1081" i="1" s="1"/>
  <c r="AV1082" i="1"/>
  <c r="AW1082" i="1" s="1"/>
  <c r="AX1082" i="1" s="1"/>
  <c r="AT1082" i="1" s="1"/>
  <c r="AY1082" i="1" s="1"/>
  <c r="BB983" i="1"/>
  <c r="BC1034" i="1"/>
  <c r="BB1034" i="1"/>
  <c r="BC978" i="1"/>
  <c r="AW996" i="1"/>
  <c r="AX996" i="1" s="1"/>
  <c r="AT996" i="1" s="1"/>
  <c r="AY996" i="1" s="1"/>
  <c r="BC1000" i="1"/>
  <c r="BC1030" i="1"/>
  <c r="AV1049" i="1"/>
  <c r="AW1049" i="1" s="1"/>
  <c r="AX1049" i="1" s="1"/>
  <c r="AT1049" i="1" s="1"/>
  <c r="AY1049" i="1" s="1"/>
  <c r="AW1048" i="1"/>
  <c r="AX1048" i="1" s="1"/>
  <c r="AT1048" i="1" s="1"/>
  <c r="AY1048" i="1" s="1"/>
  <c r="BB1057" i="1"/>
  <c r="BB1035" i="1"/>
  <c r="AW1111" i="1"/>
  <c r="AX1111" i="1" s="1"/>
  <c r="AT1111" i="1" s="1"/>
  <c r="AY1111" i="1" s="1"/>
  <c r="AV1112" i="1"/>
  <c r="BB1145" i="1"/>
  <c r="AW1168" i="1"/>
  <c r="AX1168" i="1" s="1"/>
  <c r="AT1168" i="1" s="1"/>
  <c r="AY1168" i="1" s="1"/>
  <c r="AV1169" i="1"/>
  <c r="BB1111" i="1"/>
  <c r="BC1129" i="1"/>
  <c r="BC1153" i="1"/>
  <c r="BC1135" i="1"/>
  <c r="BB1029" i="1"/>
  <c r="BB1055" i="1"/>
  <c r="AW1066" i="1"/>
  <c r="AX1066" i="1" s="1"/>
  <c r="AT1066" i="1" s="1"/>
  <c r="AY1066" i="1" s="1"/>
  <c r="AW1072" i="1"/>
  <c r="AX1072" i="1" s="1"/>
  <c r="AT1072" i="1" s="1"/>
  <c r="AY1072" i="1" s="1"/>
  <c r="BC1076" i="1"/>
  <c r="AW1093" i="1"/>
  <c r="AX1093" i="1" s="1"/>
  <c r="AT1093" i="1" s="1"/>
  <c r="AY1093" i="1" s="1"/>
  <c r="AV1094" i="1"/>
  <c r="BB1097" i="1"/>
  <c r="BB1103" i="1"/>
  <c r="BB1116" i="1"/>
  <c r="BB1120" i="1"/>
  <c r="BC1156" i="1"/>
  <c r="AW1150" i="1"/>
  <c r="AX1150" i="1" s="1"/>
  <c r="AT1150" i="1" s="1"/>
  <c r="AY1150" i="1" s="1"/>
  <c r="AV1151" i="1"/>
  <c r="BC1029" i="1"/>
  <c r="BB1040" i="1"/>
  <c r="BB1046" i="1"/>
  <c r="BC1064" i="1"/>
  <c r="BC1066" i="1"/>
  <c r="BC1072" i="1"/>
  <c r="BC1074" i="1"/>
  <c r="BB1087" i="1"/>
  <c r="AW1110" i="1"/>
  <c r="AX1110" i="1" s="1"/>
  <c r="AT1110" i="1" s="1"/>
  <c r="AY1110" i="1" s="1"/>
  <c r="BC1114" i="1"/>
  <c r="AW1129" i="1"/>
  <c r="AX1129" i="1" s="1"/>
  <c r="AT1129" i="1" s="1"/>
  <c r="AY1129" i="1" s="1"/>
  <c r="AV1130" i="1"/>
  <c r="BB1133" i="1"/>
  <c r="BC1162" i="1"/>
  <c r="BB1081" i="1"/>
  <c r="BB1085" i="1"/>
  <c r="AW1105" i="1"/>
  <c r="AX1105" i="1" s="1"/>
  <c r="AT1105" i="1" s="1"/>
  <c r="AY1105" i="1" s="1"/>
  <c r="AV1106" i="1"/>
  <c r="AW1106" i="1" s="1"/>
  <c r="AX1106" i="1" s="1"/>
  <c r="AT1106" i="1" s="1"/>
  <c r="AY1106" i="1" s="1"/>
  <c r="AW1075" i="1"/>
  <c r="AX1075" i="1" s="1"/>
  <c r="AT1075" i="1" s="1"/>
  <c r="AY1075" i="1" s="1"/>
  <c r="AV1076" i="1"/>
  <c r="BC1112" i="1"/>
  <c r="AW1123" i="1"/>
  <c r="AX1123" i="1" s="1"/>
  <c r="AT1123" i="1" s="1"/>
  <c r="AY1123" i="1" s="1"/>
  <c r="AV1124" i="1"/>
  <c r="BC1147" i="1"/>
  <c r="BB1163" i="1"/>
  <c r="AW1073" i="1"/>
  <c r="AX1073" i="1" s="1"/>
  <c r="AT1073" i="1" s="1"/>
  <c r="AY1073" i="1" s="1"/>
  <c r="BC1100" i="1"/>
  <c r="BB1017" i="1"/>
  <c r="BB1069" i="1"/>
  <c r="BC1106" i="1"/>
  <c r="BC1108" i="1"/>
  <c r="BC1110" i="1"/>
  <c r="BC1126" i="1"/>
  <c r="BB1172" i="1"/>
  <c r="BB1178" i="1"/>
  <c r="BB1123" i="1"/>
  <c r="BB1129" i="1"/>
  <c r="BB1135" i="1"/>
  <c r="BB1141" i="1"/>
  <c r="BB1147" i="1"/>
  <c r="BB1153" i="1"/>
  <c r="BB1159" i="1"/>
  <c r="BB1165" i="1"/>
  <c r="BB1171" i="1"/>
  <c r="BB1177" i="1"/>
  <c r="BB1170" i="1"/>
  <c r="BB1176" i="1"/>
  <c r="BB1054" i="1"/>
  <c r="BB1060" i="1"/>
  <c r="BB1066" i="1"/>
  <c r="BB1072" i="1"/>
  <c r="BB1078" i="1"/>
  <c r="BB1084" i="1"/>
  <c r="BB1090" i="1"/>
  <c r="BB1096" i="1"/>
  <c r="BB1108" i="1"/>
  <c r="BB1114" i="1"/>
  <c r="BB1126" i="1"/>
  <c r="BB1132" i="1"/>
  <c r="BB1138" i="1"/>
  <c r="BB1144" i="1"/>
  <c r="BB1150" i="1"/>
  <c r="BB1156" i="1"/>
  <c r="AV1159" i="1"/>
  <c r="BB1162" i="1"/>
  <c r="BB1168" i="1"/>
  <c r="BB1174" i="1"/>
  <c r="BB1143" i="1"/>
  <c r="BD3" i="1" l="1"/>
  <c r="AV178" i="1"/>
  <c r="AW177" i="1"/>
  <c r="AX177" i="1" s="1"/>
  <c r="AT177" i="1" s="1"/>
  <c r="AY177" i="1" s="1"/>
  <c r="AV1032" i="1"/>
  <c r="AW1031" i="1"/>
  <c r="AX1031" i="1" s="1"/>
  <c r="AT1031" i="1" s="1"/>
  <c r="AY1031" i="1" s="1"/>
  <c r="AV921" i="1"/>
  <c r="AW920" i="1"/>
  <c r="AX920" i="1" s="1"/>
  <c r="AT920" i="1" s="1"/>
  <c r="AY920" i="1" s="1"/>
  <c r="AW785" i="1"/>
  <c r="AX785" i="1" s="1"/>
  <c r="AT785" i="1" s="1"/>
  <c r="AY785" i="1" s="1"/>
  <c r="AV786" i="1"/>
  <c r="AV857" i="1"/>
  <c r="AW856" i="1"/>
  <c r="AX856" i="1" s="1"/>
  <c r="AT856" i="1" s="1"/>
  <c r="AY856" i="1" s="1"/>
  <c r="AV490" i="1"/>
  <c r="AW489" i="1"/>
  <c r="AX489" i="1" s="1"/>
  <c r="AT489" i="1" s="1"/>
  <c r="AY489" i="1" s="1"/>
  <c r="AV355" i="1"/>
  <c r="AW355" i="1" s="1"/>
  <c r="AX355" i="1" s="1"/>
  <c r="AT355" i="1" s="1"/>
  <c r="AY355" i="1" s="1"/>
  <c r="AW354" i="1"/>
  <c r="AX354" i="1" s="1"/>
  <c r="AT354" i="1" s="1"/>
  <c r="AY354" i="1" s="1"/>
  <c r="AV244" i="1"/>
  <c r="AW243" i="1"/>
  <c r="AX243" i="1" s="1"/>
  <c r="AT243" i="1" s="1"/>
  <c r="AY243" i="1" s="1"/>
  <c r="AW230" i="1"/>
  <c r="AX230" i="1" s="1"/>
  <c r="AT230" i="1" s="1"/>
  <c r="AY230" i="1" s="1"/>
  <c r="AV231" i="1"/>
  <c r="AV59" i="1"/>
  <c r="AW59" i="1" s="1"/>
  <c r="AX59" i="1" s="1"/>
  <c r="AT59" i="1" s="1"/>
  <c r="AY59" i="1" s="1"/>
  <c r="AW58" i="1"/>
  <c r="AX58" i="1" s="1"/>
  <c r="AT58" i="1" s="1"/>
  <c r="AY58" i="1" s="1"/>
  <c r="AW45" i="1"/>
  <c r="AX45" i="1" s="1"/>
  <c r="AT45" i="1" s="1"/>
  <c r="AY45" i="1" s="1"/>
  <c r="AV46" i="1"/>
  <c r="AV738" i="1"/>
  <c r="AW737" i="1"/>
  <c r="AX737" i="1" s="1"/>
  <c r="AT737" i="1" s="1"/>
  <c r="AY737" i="1" s="1"/>
  <c r="AW401" i="1"/>
  <c r="AX401" i="1" s="1"/>
  <c r="AT401" i="1" s="1"/>
  <c r="AY401" i="1" s="1"/>
  <c r="AV402" i="1"/>
  <c r="AV379" i="1"/>
  <c r="AW378" i="1"/>
  <c r="AX378" i="1" s="1"/>
  <c r="AT378" i="1" s="1"/>
  <c r="AY378" i="1" s="1"/>
  <c r="AV820" i="1"/>
  <c r="AW820" i="1" s="1"/>
  <c r="AX820" i="1" s="1"/>
  <c r="AT820" i="1" s="1"/>
  <c r="AY820" i="1" s="1"/>
  <c r="AW819" i="1"/>
  <c r="AX819" i="1" s="1"/>
  <c r="AT819" i="1" s="1"/>
  <c r="AY819" i="1" s="1"/>
  <c r="AW628" i="1"/>
  <c r="AX628" i="1" s="1"/>
  <c r="AT628" i="1" s="1"/>
  <c r="AY628" i="1" s="1"/>
  <c r="AV629" i="1"/>
  <c r="AV512" i="1"/>
  <c r="AW511" i="1"/>
  <c r="AX511" i="1" s="1"/>
  <c r="AT511" i="1" s="1"/>
  <c r="AY511" i="1" s="1"/>
  <c r="AW191" i="1"/>
  <c r="AX191" i="1" s="1"/>
  <c r="AT191" i="1" s="1"/>
  <c r="AY191" i="1" s="1"/>
  <c r="AV192" i="1"/>
  <c r="AW192" i="1" s="1"/>
  <c r="AX192" i="1" s="1"/>
  <c r="AT192" i="1" s="1"/>
  <c r="AY192" i="1" s="1"/>
  <c r="AW135" i="1"/>
  <c r="AX135" i="1" s="1"/>
  <c r="AT135" i="1" s="1"/>
  <c r="AY135" i="1" s="1"/>
  <c r="AV136" i="1"/>
  <c r="AV241" i="1"/>
  <c r="AW241" i="1" s="1"/>
  <c r="AX241" i="1" s="1"/>
  <c r="AT241" i="1" s="1"/>
  <c r="AY241" i="1" s="1"/>
  <c r="AW240" i="1"/>
  <c r="AX240" i="1" s="1"/>
  <c r="AT240" i="1" s="1"/>
  <c r="AY240" i="1" s="1"/>
  <c r="AV165" i="1"/>
  <c r="AW164" i="1"/>
  <c r="AX164" i="1" s="1"/>
  <c r="AT164" i="1" s="1"/>
  <c r="AY164" i="1" s="1"/>
  <c r="AV156" i="1"/>
  <c r="AW155" i="1"/>
  <c r="AX155" i="1" s="1"/>
  <c r="AT155" i="1" s="1"/>
  <c r="AY155" i="1" s="1"/>
  <c r="AV125" i="1"/>
  <c r="AW124" i="1"/>
  <c r="AX124" i="1" s="1"/>
  <c r="AT124" i="1" s="1"/>
  <c r="AY124" i="1" s="1"/>
  <c r="AV89" i="1"/>
  <c r="AW89" i="1" s="1"/>
  <c r="AX89" i="1" s="1"/>
  <c r="AT89" i="1" s="1"/>
  <c r="AY89" i="1" s="1"/>
  <c r="AW88" i="1"/>
  <c r="AX88" i="1" s="1"/>
  <c r="AT88" i="1" s="1"/>
  <c r="AY88" i="1" s="1"/>
  <c r="AV199" i="1"/>
  <c r="AW198" i="1"/>
  <c r="AX198" i="1" s="1"/>
  <c r="AT198" i="1" s="1"/>
  <c r="AY198" i="1" s="1"/>
  <c r="AV1170" i="1"/>
  <c r="AW1169" i="1"/>
  <c r="AX1169" i="1" s="1"/>
  <c r="AT1169" i="1" s="1"/>
  <c r="AY1169" i="1" s="1"/>
  <c r="AW1159" i="1"/>
  <c r="AX1159" i="1" s="1"/>
  <c r="AT1159" i="1" s="1"/>
  <c r="AY1159" i="1" s="1"/>
  <c r="AV1160" i="1"/>
  <c r="AV863" i="1"/>
  <c r="AW862" i="1"/>
  <c r="AX862" i="1" s="1"/>
  <c r="AT862" i="1" s="1"/>
  <c r="AY862" i="1" s="1"/>
  <c r="AW749" i="1"/>
  <c r="AX749" i="1" s="1"/>
  <c r="AT749" i="1" s="1"/>
  <c r="AY749" i="1" s="1"/>
  <c r="AV750" i="1"/>
  <c r="AV833" i="1"/>
  <c r="AW832" i="1"/>
  <c r="AX832" i="1" s="1"/>
  <c r="AT832" i="1" s="1"/>
  <c r="AY832" i="1" s="1"/>
  <c r="AW693" i="1"/>
  <c r="AX693" i="1" s="1"/>
  <c r="AT693" i="1" s="1"/>
  <c r="AY693" i="1" s="1"/>
  <c r="AV694" i="1"/>
  <c r="AW668" i="1"/>
  <c r="AX668" i="1" s="1"/>
  <c r="AT668" i="1" s="1"/>
  <c r="AY668" i="1" s="1"/>
  <c r="AV669" i="1"/>
  <c r="AW341" i="1"/>
  <c r="AX341" i="1" s="1"/>
  <c r="AT341" i="1" s="1"/>
  <c r="AY341" i="1" s="1"/>
  <c r="AV342" i="1"/>
  <c r="AV113" i="1"/>
  <c r="AW112" i="1"/>
  <c r="AX112" i="1" s="1"/>
  <c r="AT112" i="1" s="1"/>
  <c r="AY112" i="1" s="1"/>
  <c r="AV969" i="1"/>
  <c r="AW968" i="1"/>
  <c r="AX968" i="1" s="1"/>
  <c r="AT968" i="1" s="1"/>
  <c r="AY968" i="1" s="1"/>
  <c r="AV1113" i="1"/>
  <c r="AW1112" i="1"/>
  <c r="AX1112" i="1" s="1"/>
  <c r="AT1112" i="1" s="1"/>
  <c r="AY1112" i="1" s="1"/>
  <c r="AV1006" i="1"/>
  <c r="AW1005" i="1"/>
  <c r="AX1005" i="1" s="1"/>
  <c r="AT1005" i="1" s="1"/>
  <c r="AY1005" i="1" s="1"/>
  <c r="AW431" i="1"/>
  <c r="AX431" i="1" s="1"/>
  <c r="AT431" i="1" s="1"/>
  <c r="AY431" i="1" s="1"/>
  <c r="AV432" i="1"/>
  <c r="AW640" i="1"/>
  <c r="AX640" i="1" s="1"/>
  <c r="AT640" i="1" s="1"/>
  <c r="AY640" i="1" s="1"/>
  <c r="AV641" i="1"/>
  <c r="AV570" i="1"/>
  <c r="AW569" i="1"/>
  <c r="AX569" i="1" s="1"/>
  <c r="AT569" i="1" s="1"/>
  <c r="AY569" i="1" s="1"/>
  <c r="AW271" i="1"/>
  <c r="AX271" i="1" s="1"/>
  <c r="AT271" i="1" s="1"/>
  <c r="AY271" i="1" s="1"/>
  <c r="AV272" i="1"/>
  <c r="AV101" i="1"/>
  <c r="AW100" i="1"/>
  <c r="AX100" i="1" s="1"/>
  <c r="AT100" i="1" s="1"/>
  <c r="AY100" i="1" s="1"/>
  <c r="AV83" i="1"/>
  <c r="AW83" i="1" s="1"/>
  <c r="AX83" i="1" s="1"/>
  <c r="AT83" i="1" s="1"/>
  <c r="AY83" i="1" s="1"/>
  <c r="AW82" i="1"/>
  <c r="AX82" i="1" s="1"/>
  <c r="AT82" i="1" s="1"/>
  <c r="AY82" i="1" s="1"/>
  <c r="AV95" i="1"/>
  <c r="AW94" i="1"/>
  <c r="AX94" i="1" s="1"/>
  <c r="AT94" i="1" s="1"/>
  <c r="AY94" i="1" s="1"/>
  <c r="AV313" i="1"/>
  <c r="AW312" i="1"/>
  <c r="AX312" i="1" s="1"/>
  <c r="AT312" i="1" s="1"/>
  <c r="AY312" i="1" s="1"/>
  <c r="AV11" i="1"/>
  <c r="AW10" i="1"/>
  <c r="AX10" i="1" s="1"/>
  <c r="AT10" i="1" s="1"/>
  <c r="AY10" i="1" s="1"/>
  <c r="AV361" i="1"/>
  <c r="AW360" i="1"/>
  <c r="AX360" i="1" s="1"/>
  <c r="AT360" i="1" s="1"/>
  <c r="AY360" i="1" s="1"/>
  <c r="AW898" i="1"/>
  <c r="AX898" i="1" s="1"/>
  <c r="AT898" i="1" s="1"/>
  <c r="AY898" i="1" s="1"/>
  <c r="AV899" i="1"/>
  <c r="AV486" i="1"/>
  <c r="AW486" i="1" s="1"/>
  <c r="AX486" i="1" s="1"/>
  <c r="AT486" i="1" s="1"/>
  <c r="AY486" i="1" s="1"/>
  <c r="AW485" i="1"/>
  <c r="AX485" i="1" s="1"/>
  <c r="AT485" i="1" s="1"/>
  <c r="AY485" i="1" s="1"/>
  <c r="AW625" i="1"/>
  <c r="AX625" i="1" s="1"/>
  <c r="AT625" i="1" s="1"/>
  <c r="AY625" i="1" s="1"/>
  <c r="AV626" i="1"/>
  <c r="AW626" i="1" s="1"/>
  <c r="AX626" i="1" s="1"/>
  <c r="AT626" i="1" s="1"/>
  <c r="AY626" i="1" s="1"/>
  <c r="AW619" i="1"/>
  <c r="AX619" i="1" s="1"/>
  <c r="AT619" i="1" s="1"/>
  <c r="AY619" i="1" s="1"/>
  <c r="AV620" i="1"/>
  <c r="AW465" i="1"/>
  <c r="AX465" i="1" s="1"/>
  <c r="AT465" i="1" s="1"/>
  <c r="AY465" i="1" s="1"/>
  <c r="AV466" i="1"/>
  <c r="AW331" i="1"/>
  <c r="AX331" i="1" s="1"/>
  <c r="AT331" i="1" s="1"/>
  <c r="AY331" i="1" s="1"/>
  <c r="AV332" i="1"/>
  <c r="AV288" i="1"/>
  <c r="AW287" i="1"/>
  <c r="AX287" i="1" s="1"/>
  <c r="AT287" i="1" s="1"/>
  <c r="AY287" i="1" s="1"/>
  <c r="AV35" i="1"/>
  <c r="AW35" i="1" s="1"/>
  <c r="AX35" i="1" s="1"/>
  <c r="AT35" i="1" s="1"/>
  <c r="AY35" i="1" s="1"/>
  <c r="AW34" i="1"/>
  <c r="AX34" i="1" s="1"/>
  <c r="AT34" i="1" s="1"/>
  <c r="AY34" i="1" s="1"/>
  <c r="AW545" i="1"/>
  <c r="AX545" i="1" s="1"/>
  <c r="AT545" i="1" s="1"/>
  <c r="AY545" i="1" s="1"/>
  <c r="AV546" i="1"/>
  <c r="AV1077" i="1"/>
  <c r="AW1076" i="1"/>
  <c r="AX1076" i="1" s="1"/>
  <c r="AT1076" i="1" s="1"/>
  <c r="AY1076" i="1" s="1"/>
  <c r="AV939" i="1"/>
  <c r="AW938" i="1"/>
  <c r="AX938" i="1" s="1"/>
  <c r="AT938" i="1" s="1"/>
  <c r="AY938" i="1" s="1"/>
  <c r="AW663" i="1"/>
  <c r="AX663" i="1" s="1"/>
  <c r="AT663" i="1" s="1"/>
  <c r="AY663" i="1" s="1"/>
  <c r="AV664" i="1"/>
  <c r="AW515" i="1"/>
  <c r="AX515" i="1" s="1"/>
  <c r="AT515" i="1" s="1"/>
  <c r="AY515" i="1" s="1"/>
  <c r="AV516" i="1"/>
  <c r="AW210" i="1"/>
  <c r="AX210" i="1" s="1"/>
  <c r="AT210" i="1" s="1"/>
  <c r="AY210" i="1" s="1"/>
  <c r="AV211" i="1"/>
  <c r="AW211" i="1" s="1"/>
  <c r="AX211" i="1" s="1"/>
  <c r="AT211" i="1" s="1"/>
  <c r="AY211" i="1" s="1"/>
  <c r="AV1095" i="1"/>
  <c r="AW1094" i="1"/>
  <c r="AX1094" i="1" s="1"/>
  <c r="AT1094" i="1" s="1"/>
  <c r="AY1094" i="1" s="1"/>
  <c r="AV1000" i="1"/>
  <c r="AW999" i="1"/>
  <c r="AX999" i="1" s="1"/>
  <c r="AT999" i="1" s="1"/>
  <c r="AY999" i="1" s="1"/>
  <c r="AV778" i="1"/>
  <c r="AW778" i="1" s="1"/>
  <c r="AX778" i="1" s="1"/>
  <c r="AT778" i="1" s="1"/>
  <c r="AY778" i="1" s="1"/>
  <c r="AW777" i="1"/>
  <c r="AX777" i="1" s="1"/>
  <c r="AT777" i="1" s="1"/>
  <c r="AY777" i="1" s="1"/>
  <c r="AV888" i="1"/>
  <c r="AW887" i="1"/>
  <c r="AX887" i="1" s="1"/>
  <c r="AT887" i="1" s="1"/>
  <c r="AY887" i="1" s="1"/>
  <c r="AW714" i="1"/>
  <c r="AX714" i="1" s="1"/>
  <c r="AT714" i="1" s="1"/>
  <c r="AY714" i="1" s="1"/>
  <c r="AV715" i="1"/>
  <c r="AW634" i="1"/>
  <c r="AX634" i="1" s="1"/>
  <c r="AT634" i="1" s="1"/>
  <c r="AY634" i="1" s="1"/>
  <c r="AV635" i="1"/>
  <c r="AW524" i="1"/>
  <c r="AX524" i="1" s="1"/>
  <c r="AT524" i="1" s="1"/>
  <c r="AY524" i="1" s="1"/>
  <c r="AV525" i="1"/>
  <c r="AW407" i="1"/>
  <c r="AX407" i="1" s="1"/>
  <c r="AT407" i="1" s="1"/>
  <c r="AY407" i="1" s="1"/>
  <c r="AV408" i="1"/>
  <c r="AV71" i="1"/>
  <c r="AW70" i="1"/>
  <c r="AX70" i="1" s="1"/>
  <c r="AT70" i="1" s="1"/>
  <c r="AY70" i="1" s="1"/>
  <c r="AV1131" i="1"/>
  <c r="AW1130" i="1"/>
  <c r="AX1130" i="1" s="1"/>
  <c r="AT1130" i="1" s="1"/>
  <c r="AY1130" i="1" s="1"/>
  <c r="AV1152" i="1"/>
  <c r="AW1151" i="1"/>
  <c r="AX1151" i="1" s="1"/>
  <c r="AT1151" i="1" s="1"/>
  <c r="AY1151" i="1" s="1"/>
  <c r="AW437" i="1"/>
  <c r="AX437" i="1" s="1"/>
  <c r="AT437" i="1" s="1"/>
  <c r="AY437" i="1" s="1"/>
  <c r="AV438" i="1"/>
  <c r="AV422" i="1"/>
  <c r="AW421" i="1"/>
  <c r="AX421" i="1" s="1"/>
  <c r="AT421" i="1" s="1"/>
  <c r="AY421" i="1" s="1"/>
  <c r="AV498" i="1"/>
  <c r="AW497" i="1"/>
  <c r="AX497" i="1" s="1"/>
  <c r="AT497" i="1" s="1"/>
  <c r="AY497" i="1" s="1"/>
  <c r="AV578" i="1"/>
  <c r="AW577" i="1"/>
  <c r="AX577" i="1" s="1"/>
  <c r="AT577" i="1" s="1"/>
  <c r="AY577" i="1" s="1"/>
  <c r="AV1056" i="1"/>
  <c r="AW1055" i="1"/>
  <c r="AX1055" i="1" s="1"/>
  <c r="AT1055" i="1" s="1"/>
  <c r="AY1055" i="1" s="1"/>
  <c r="AW952" i="1"/>
  <c r="AX952" i="1" s="1"/>
  <c r="AT952" i="1" s="1"/>
  <c r="AY952" i="1" s="1"/>
  <c r="AV953" i="1"/>
  <c r="AW791" i="1"/>
  <c r="AX791" i="1" s="1"/>
  <c r="AT791" i="1" s="1"/>
  <c r="AY791" i="1" s="1"/>
  <c r="AV792" i="1"/>
  <c r="AV600" i="1"/>
  <c r="AW600" i="1" s="1"/>
  <c r="AX600" i="1" s="1"/>
  <c r="AT600" i="1" s="1"/>
  <c r="AY600" i="1" s="1"/>
  <c r="AW599" i="1"/>
  <c r="AX599" i="1" s="1"/>
  <c r="AT599" i="1" s="1"/>
  <c r="AY599" i="1" s="1"/>
  <c r="AW603" i="1"/>
  <c r="AX603" i="1" s="1"/>
  <c r="AT603" i="1" s="1"/>
  <c r="AY603" i="1" s="1"/>
  <c r="AV604" i="1"/>
  <c r="AW687" i="1"/>
  <c r="AX687" i="1" s="1"/>
  <c r="AT687" i="1" s="1"/>
  <c r="AY687" i="1" s="1"/>
  <c r="AV688" i="1"/>
  <c r="AW688" i="1" s="1"/>
  <c r="AX688" i="1" s="1"/>
  <c r="AT688" i="1" s="1"/>
  <c r="AY688" i="1" s="1"/>
  <c r="AV217" i="1"/>
  <c r="AW216" i="1"/>
  <c r="AX216" i="1" s="1"/>
  <c r="AT216" i="1" s="1"/>
  <c r="AY216" i="1" s="1"/>
  <c r="AW150" i="1"/>
  <c r="AX150" i="1" s="1"/>
  <c r="AT150" i="1" s="1"/>
  <c r="AY150" i="1" s="1"/>
  <c r="AV151" i="1"/>
  <c r="AV29" i="1"/>
  <c r="AW28" i="1"/>
  <c r="AX28" i="1" s="1"/>
  <c r="AT28" i="1" s="1"/>
  <c r="AY28" i="1" s="1"/>
  <c r="AW872" i="1"/>
  <c r="AX872" i="1" s="1"/>
  <c r="AT872" i="1" s="1"/>
  <c r="AY872" i="1" s="1"/>
  <c r="AV873" i="1"/>
  <c r="AV1125" i="1"/>
  <c r="AW1124" i="1"/>
  <c r="AX1124" i="1" s="1"/>
  <c r="AT1124" i="1" s="1"/>
  <c r="AY1124" i="1" s="1"/>
  <c r="AV1025" i="1"/>
  <c r="AW1025" i="1" s="1"/>
  <c r="AX1025" i="1" s="1"/>
  <c r="AT1025" i="1" s="1"/>
  <c r="AY1025" i="1" s="1"/>
  <c r="AW1024" i="1"/>
  <c r="AX1024" i="1" s="1"/>
  <c r="AT1024" i="1" s="1"/>
  <c r="AY1024" i="1" s="1"/>
  <c r="AV1140" i="1"/>
  <c r="AW1139" i="1"/>
  <c r="AX1139" i="1" s="1"/>
  <c r="AT1139" i="1" s="1"/>
  <c r="AY1139" i="1" s="1"/>
  <c r="AV957" i="1"/>
  <c r="AW956" i="1"/>
  <c r="AX956" i="1" s="1"/>
  <c r="AT956" i="1" s="1"/>
  <c r="AY956" i="1" s="1"/>
  <c r="AV848" i="1"/>
  <c r="AW848" i="1" s="1"/>
  <c r="AX848" i="1" s="1"/>
  <c r="AT848" i="1" s="1"/>
  <c r="AY848" i="1" s="1"/>
  <c r="AW847" i="1"/>
  <c r="AX847" i="1" s="1"/>
  <c r="AT847" i="1" s="1"/>
  <c r="AY847" i="1" s="1"/>
  <c r="AW756" i="1"/>
  <c r="AX756" i="1" s="1"/>
  <c r="AT756" i="1" s="1"/>
  <c r="AY756" i="1" s="1"/>
  <c r="AV757" i="1"/>
  <c r="AW809" i="1"/>
  <c r="AX809" i="1" s="1"/>
  <c r="AT809" i="1" s="1"/>
  <c r="AY809" i="1" s="1"/>
  <c r="AV810" i="1"/>
  <c r="AW762" i="1"/>
  <c r="AX762" i="1" s="1"/>
  <c r="AT762" i="1" s="1"/>
  <c r="AY762" i="1" s="1"/>
  <c r="AV763" i="1"/>
  <c r="AV552" i="1"/>
  <c r="AW551" i="1"/>
  <c r="AX551" i="1" s="1"/>
  <c r="AT551" i="1" s="1"/>
  <c r="AY551" i="1" s="1"/>
  <c r="AV584" i="1"/>
  <c r="AW583" i="1"/>
  <c r="AX583" i="1" s="1"/>
  <c r="AT583" i="1" s="1"/>
  <c r="AY583" i="1" s="1"/>
  <c r="AV480" i="1"/>
  <c r="AW480" i="1" s="1"/>
  <c r="AX480" i="1" s="1"/>
  <c r="AT480" i="1" s="1"/>
  <c r="AY480" i="1" s="1"/>
  <c r="AW479" i="1"/>
  <c r="AX479" i="1" s="1"/>
  <c r="AT479" i="1" s="1"/>
  <c r="AY479" i="1" s="1"/>
  <c r="AV326" i="1"/>
  <c r="AW326" i="1" s="1"/>
  <c r="AX326" i="1" s="1"/>
  <c r="AT326" i="1" s="1"/>
  <c r="AY326" i="1" s="1"/>
  <c r="AW325" i="1"/>
  <c r="AX325" i="1" s="1"/>
  <c r="AT325" i="1" s="1"/>
  <c r="AY325" i="1" s="1"/>
  <c r="AV253" i="1"/>
  <c r="AW252" i="1"/>
  <c r="AX252" i="1" s="1"/>
  <c r="AT252" i="1" s="1"/>
  <c r="AY252" i="1" s="1"/>
  <c r="AW715" i="1" l="1"/>
  <c r="AX715" i="1" s="1"/>
  <c r="AT715" i="1" s="1"/>
  <c r="AY715" i="1" s="1"/>
  <c r="AV716" i="1"/>
  <c r="AV517" i="1"/>
  <c r="AW517" i="1" s="1"/>
  <c r="AX517" i="1" s="1"/>
  <c r="AT517" i="1" s="1"/>
  <c r="AY517" i="1" s="1"/>
  <c r="AW516" i="1"/>
  <c r="AX516" i="1" s="1"/>
  <c r="AT516" i="1" s="1"/>
  <c r="AY516" i="1" s="1"/>
  <c r="AV900" i="1"/>
  <c r="AW899" i="1"/>
  <c r="AX899" i="1" s="1"/>
  <c r="AT899" i="1" s="1"/>
  <c r="AY899" i="1" s="1"/>
  <c r="AW584" i="1"/>
  <c r="AX584" i="1" s="1"/>
  <c r="AT584" i="1" s="1"/>
  <c r="AY584" i="1" s="1"/>
  <c r="AV585" i="1"/>
  <c r="AW957" i="1"/>
  <c r="AX957" i="1" s="1"/>
  <c r="AT957" i="1" s="1"/>
  <c r="AY957" i="1" s="1"/>
  <c r="AV958" i="1"/>
  <c r="AW958" i="1" s="1"/>
  <c r="AX958" i="1" s="1"/>
  <c r="AT958" i="1" s="1"/>
  <c r="AY958" i="1" s="1"/>
  <c r="AW1152" i="1"/>
  <c r="AX1152" i="1" s="1"/>
  <c r="AT1152" i="1" s="1"/>
  <c r="AY1152" i="1" s="1"/>
  <c r="AV1153" i="1"/>
  <c r="AV289" i="1"/>
  <c r="AW288" i="1"/>
  <c r="AX288" i="1" s="1"/>
  <c r="AT288" i="1" s="1"/>
  <c r="AY288" i="1" s="1"/>
  <c r="AV102" i="1"/>
  <c r="AW101" i="1"/>
  <c r="AX101" i="1" s="1"/>
  <c r="AT101" i="1" s="1"/>
  <c r="AY101" i="1" s="1"/>
  <c r="AV1114" i="1"/>
  <c r="AW1113" i="1"/>
  <c r="AX1113" i="1" s="1"/>
  <c r="AT1113" i="1" s="1"/>
  <c r="AY1113" i="1" s="1"/>
  <c r="AV834" i="1"/>
  <c r="AW833" i="1"/>
  <c r="AX833" i="1" s="1"/>
  <c r="AT833" i="1" s="1"/>
  <c r="AY833" i="1" s="1"/>
  <c r="AW738" i="1"/>
  <c r="AX738" i="1" s="1"/>
  <c r="AT738" i="1" s="1"/>
  <c r="AY738" i="1" s="1"/>
  <c r="AV739" i="1"/>
  <c r="AW490" i="1"/>
  <c r="AX490" i="1" s="1"/>
  <c r="AT490" i="1" s="1"/>
  <c r="AY490" i="1" s="1"/>
  <c r="AV491" i="1"/>
  <c r="AV47" i="1"/>
  <c r="AW46" i="1"/>
  <c r="AX46" i="1" s="1"/>
  <c r="AT46" i="1" s="1"/>
  <c r="AY46" i="1" s="1"/>
  <c r="AW552" i="1"/>
  <c r="AX552" i="1" s="1"/>
  <c r="AT552" i="1" s="1"/>
  <c r="AY552" i="1" s="1"/>
  <c r="AV553" i="1"/>
  <c r="AW1140" i="1"/>
  <c r="AX1140" i="1" s="1"/>
  <c r="AT1140" i="1" s="1"/>
  <c r="AY1140" i="1" s="1"/>
  <c r="AV1141" i="1"/>
  <c r="AW217" i="1"/>
  <c r="AX217" i="1" s="1"/>
  <c r="AT217" i="1" s="1"/>
  <c r="AY217" i="1" s="1"/>
  <c r="AV218" i="1"/>
  <c r="AV1057" i="1"/>
  <c r="AW1056" i="1"/>
  <c r="AX1056" i="1" s="1"/>
  <c r="AT1056" i="1" s="1"/>
  <c r="AY1056" i="1" s="1"/>
  <c r="AV1132" i="1"/>
  <c r="AW1131" i="1"/>
  <c r="AX1131" i="1" s="1"/>
  <c r="AT1131" i="1" s="1"/>
  <c r="AY1131" i="1" s="1"/>
  <c r="AV889" i="1"/>
  <c r="AW889" i="1" s="1"/>
  <c r="AX889" i="1" s="1"/>
  <c r="AT889" i="1" s="1"/>
  <c r="AY889" i="1" s="1"/>
  <c r="AW888" i="1"/>
  <c r="AX888" i="1" s="1"/>
  <c r="AT888" i="1" s="1"/>
  <c r="AY888" i="1" s="1"/>
  <c r="AV362" i="1"/>
  <c r="AW361" i="1"/>
  <c r="AX361" i="1" s="1"/>
  <c r="AT361" i="1" s="1"/>
  <c r="AY361" i="1" s="1"/>
  <c r="AW969" i="1"/>
  <c r="AX969" i="1" s="1"/>
  <c r="AT969" i="1" s="1"/>
  <c r="AY969" i="1" s="1"/>
  <c r="AV970" i="1"/>
  <c r="AW125" i="1"/>
  <c r="AX125" i="1" s="1"/>
  <c r="AT125" i="1" s="1"/>
  <c r="AY125" i="1" s="1"/>
  <c r="AV126" i="1"/>
  <c r="AW512" i="1"/>
  <c r="AX512" i="1" s="1"/>
  <c r="AT512" i="1" s="1"/>
  <c r="AY512" i="1" s="1"/>
  <c r="AV513" i="1"/>
  <c r="AW513" i="1" s="1"/>
  <c r="AX513" i="1" s="1"/>
  <c r="AT513" i="1" s="1"/>
  <c r="AY513" i="1" s="1"/>
  <c r="AV858" i="1"/>
  <c r="AW857" i="1"/>
  <c r="AX857" i="1" s="1"/>
  <c r="AT857" i="1" s="1"/>
  <c r="AY857" i="1" s="1"/>
  <c r="AV954" i="1"/>
  <c r="AW954" i="1" s="1"/>
  <c r="AX954" i="1" s="1"/>
  <c r="AT954" i="1" s="1"/>
  <c r="AY954" i="1" s="1"/>
  <c r="AW953" i="1"/>
  <c r="AX953" i="1" s="1"/>
  <c r="AT953" i="1" s="1"/>
  <c r="AY953" i="1" s="1"/>
  <c r="AV764" i="1"/>
  <c r="AW763" i="1"/>
  <c r="AX763" i="1" s="1"/>
  <c r="AT763" i="1" s="1"/>
  <c r="AY763" i="1" s="1"/>
  <c r="AW466" i="1"/>
  <c r="AX466" i="1" s="1"/>
  <c r="AT466" i="1" s="1"/>
  <c r="AY466" i="1" s="1"/>
  <c r="AV467" i="1"/>
  <c r="AV630" i="1"/>
  <c r="AW629" i="1"/>
  <c r="AX629" i="1" s="1"/>
  <c r="AT629" i="1" s="1"/>
  <c r="AY629" i="1" s="1"/>
  <c r="AW786" i="1"/>
  <c r="AX786" i="1" s="1"/>
  <c r="AT786" i="1" s="1"/>
  <c r="AY786" i="1" s="1"/>
  <c r="AV787" i="1"/>
  <c r="AW787" i="1" s="1"/>
  <c r="AX787" i="1" s="1"/>
  <c r="AT787" i="1" s="1"/>
  <c r="AY787" i="1" s="1"/>
  <c r="AW578" i="1"/>
  <c r="AX578" i="1" s="1"/>
  <c r="AT578" i="1" s="1"/>
  <c r="AY578" i="1" s="1"/>
  <c r="AV579" i="1"/>
  <c r="AW71" i="1"/>
  <c r="AX71" i="1" s="1"/>
  <c r="AT71" i="1" s="1"/>
  <c r="AY71" i="1" s="1"/>
  <c r="AV72" i="1"/>
  <c r="AW939" i="1"/>
  <c r="AX939" i="1" s="1"/>
  <c r="AT939" i="1" s="1"/>
  <c r="AY939" i="1" s="1"/>
  <c r="AV940" i="1"/>
  <c r="AW11" i="1"/>
  <c r="AX11" i="1" s="1"/>
  <c r="AT11" i="1" s="1"/>
  <c r="AY11" i="1" s="1"/>
  <c r="AV12" i="1"/>
  <c r="AW570" i="1"/>
  <c r="AX570" i="1" s="1"/>
  <c r="AT570" i="1" s="1"/>
  <c r="AY570" i="1" s="1"/>
  <c r="AV571" i="1"/>
  <c r="AW113" i="1"/>
  <c r="AX113" i="1" s="1"/>
  <c r="AT113" i="1" s="1"/>
  <c r="AY113" i="1" s="1"/>
  <c r="AV114" i="1"/>
  <c r="AV864" i="1"/>
  <c r="AW864" i="1" s="1"/>
  <c r="AX864" i="1" s="1"/>
  <c r="AT864" i="1" s="1"/>
  <c r="AY864" i="1" s="1"/>
  <c r="AW863" i="1"/>
  <c r="AX863" i="1" s="1"/>
  <c r="AT863" i="1" s="1"/>
  <c r="AY863" i="1" s="1"/>
  <c r="AW156" i="1"/>
  <c r="AX156" i="1" s="1"/>
  <c r="AT156" i="1" s="1"/>
  <c r="AY156" i="1" s="1"/>
  <c r="AV157" i="1"/>
  <c r="AW810" i="1"/>
  <c r="AX810" i="1" s="1"/>
  <c r="AT810" i="1" s="1"/>
  <c r="AY810" i="1" s="1"/>
  <c r="AV811" i="1"/>
  <c r="AW604" i="1"/>
  <c r="AX604" i="1" s="1"/>
  <c r="AT604" i="1" s="1"/>
  <c r="AY604" i="1" s="1"/>
  <c r="AV605" i="1"/>
  <c r="AV409" i="1"/>
  <c r="AW408" i="1"/>
  <c r="AX408" i="1" s="1"/>
  <c r="AT408" i="1" s="1"/>
  <c r="AY408" i="1" s="1"/>
  <c r="AW620" i="1"/>
  <c r="AX620" i="1" s="1"/>
  <c r="AT620" i="1" s="1"/>
  <c r="AY620" i="1" s="1"/>
  <c r="AV621" i="1"/>
  <c r="AW641" i="1"/>
  <c r="AX641" i="1" s="1"/>
  <c r="AT641" i="1" s="1"/>
  <c r="AY641" i="1" s="1"/>
  <c r="AV642" i="1"/>
  <c r="AV343" i="1"/>
  <c r="AW342" i="1"/>
  <c r="AX342" i="1" s="1"/>
  <c r="AT342" i="1" s="1"/>
  <c r="AY342" i="1" s="1"/>
  <c r="AV1161" i="1"/>
  <c r="AW1160" i="1"/>
  <c r="AX1160" i="1" s="1"/>
  <c r="AT1160" i="1" s="1"/>
  <c r="AY1160" i="1" s="1"/>
  <c r="AV232" i="1"/>
  <c r="AW231" i="1"/>
  <c r="AX231" i="1" s="1"/>
  <c r="AT231" i="1" s="1"/>
  <c r="AY231" i="1" s="1"/>
  <c r="AV333" i="1"/>
  <c r="AW332" i="1"/>
  <c r="AX332" i="1" s="1"/>
  <c r="AT332" i="1" s="1"/>
  <c r="AY332" i="1" s="1"/>
  <c r="AV254" i="1"/>
  <c r="AW253" i="1"/>
  <c r="AX253" i="1" s="1"/>
  <c r="AT253" i="1" s="1"/>
  <c r="AY253" i="1" s="1"/>
  <c r="AV1126" i="1"/>
  <c r="AW1126" i="1" s="1"/>
  <c r="AX1126" i="1" s="1"/>
  <c r="AT1126" i="1" s="1"/>
  <c r="AY1126" i="1" s="1"/>
  <c r="AW1125" i="1"/>
  <c r="AX1125" i="1" s="1"/>
  <c r="AT1125" i="1" s="1"/>
  <c r="AY1125" i="1" s="1"/>
  <c r="AW498" i="1"/>
  <c r="AX498" i="1" s="1"/>
  <c r="AT498" i="1" s="1"/>
  <c r="AY498" i="1" s="1"/>
  <c r="AV499" i="1"/>
  <c r="AW1000" i="1"/>
  <c r="AX1000" i="1" s="1"/>
  <c r="AT1000" i="1" s="1"/>
  <c r="AY1000" i="1" s="1"/>
  <c r="AV1001" i="1"/>
  <c r="AW1001" i="1" s="1"/>
  <c r="AX1001" i="1" s="1"/>
  <c r="AT1001" i="1" s="1"/>
  <c r="AY1001" i="1" s="1"/>
  <c r="AV1078" i="1"/>
  <c r="AW1077" i="1"/>
  <c r="AX1077" i="1" s="1"/>
  <c r="AT1077" i="1" s="1"/>
  <c r="AY1077" i="1" s="1"/>
  <c r="AV314" i="1"/>
  <c r="AW313" i="1"/>
  <c r="AX313" i="1" s="1"/>
  <c r="AT313" i="1" s="1"/>
  <c r="AY313" i="1" s="1"/>
  <c r="AV166" i="1"/>
  <c r="AW165" i="1"/>
  <c r="AX165" i="1" s="1"/>
  <c r="AT165" i="1" s="1"/>
  <c r="AY165" i="1" s="1"/>
  <c r="AV922" i="1"/>
  <c r="AW921" i="1"/>
  <c r="AX921" i="1" s="1"/>
  <c r="AT921" i="1" s="1"/>
  <c r="AY921" i="1" s="1"/>
  <c r="AW750" i="1"/>
  <c r="AX750" i="1" s="1"/>
  <c r="AT750" i="1" s="1"/>
  <c r="AY750" i="1" s="1"/>
  <c r="AV751" i="1"/>
  <c r="AW751" i="1" s="1"/>
  <c r="AX751" i="1" s="1"/>
  <c r="AT751" i="1" s="1"/>
  <c r="AY751" i="1" s="1"/>
  <c r="AV758" i="1"/>
  <c r="AW757" i="1"/>
  <c r="AX757" i="1" s="1"/>
  <c r="AT757" i="1" s="1"/>
  <c r="AY757" i="1" s="1"/>
  <c r="AW873" i="1"/>
  <c r="AX873" i="1" s="1"/>
  <c r="AT873" i="1" s="1"/>
  <c r="AY873" i="1" s="1"/>
  <c r="AV874" i="1"/>
  <c r="AV526" i="1"/>
  <c r="AW525" i="1"/>
  <c r="AX525" i="1" s="1"/>
  <c r="AT525" i="1" s="1"/>
  <c r="AY525" i="1" s="1"/>
  <c r="AV547" i="1"/>
  <c r="AW546" i="1"/>
  <c r="AX546" i="1" s="1"/>
  <c r="AT546" i="1" s="1"/>
  <c r="AY546" i="1" s="1"/>
  <c r="AV433" i="1"/>
  <c r="AW432" i="1"/>
  <c r="AX432" i="1" s="1"/>
  <c r="AT432" i="1" s="1"/>
  <c r="AY432" i="1" s="1"/>
  <c r="AW669" i="1"/>
  <c r="AX669" i="1" s="1"/>
  <c r="AT669" i="1" s="1"/>
  <c r="AY669" i="1" s="1"/>
  <c r="AV670" i="1"/>
  <c r="AW151" i="1"/>
  <c r="AX151" i="1" s="1"/>
  <c r="AT151" i="1" s="1"/>
  <c r="AY151" i="1" s="1"/>
  <c r="AV152" i="1"/>
  <c r="AW152" i="1" s="1"/>
  <c r="AX152" i="1" s="1"/>
  <c r="AT152" i="1" s="1"/>
  <c r="AY152" i="1" s="1"/>
  <c r="AV423" i="1"/>
  <c r="AW422" i="1"/>
  <c r="AX422" i="1" s="1"/>
  <c r="AT422" i="1" s="1"/>
  <c r="AY422" i="1" s="1"/>
  <c r="AV1096" i="1"/>
  <c r="AW1095" i="1"/>
  <c r="AX1095" i="1" s="1"/>
  <c r="AT1095" i="1" s="1"/>
  <c r="AY1095" i="1" s="1"/>
  <c r="AV96" i="1"/>
  <c r="AW95" i="1"/>
  <c r="AX95" i="1" s="1"/>
  <c r="AT95" i="1" s="1"/>
  <c r="AY95" i="1" s="1"/>
  <c r="AW1170" i="1"/>
  <c r="AX1170" i="1" s="1"/>
  <c r="AT1170" i="1" s="1"/>
  <c r="AY1170" i="1" s="1"/>
  <c r="AV1171" i="1"/>
  <c r="AV380" i="1"/>
  <c r="AW379" i="1"/>
  <c r="AX379" i="1" s="1"/>
  <c r="AT379" i="1" s="1"/>
  <c r="AY379" i="1" s="1"/>
  <c r="AV245" i="1"/>
  <c r="AW244" i="1"/>
  <c r="AX244" i="1" s="1"/>
  <c r="AT244" i="1" s="1"/>
  <c r="AY244" i="1" s="1"/>
  <c r="AW1032" i="1"/>
  <c r="AX1032" i="1" s="1"/>
  <c r="AT1032" i="1" s="1"/>
  <c r="AY1032" i="1" s="1"/>
  <c r="AV1033" i="1"/>
  <c r="AW664" i="1"/>
  <c r="AX664" i="1" s="1"/>
  <c r="AT664" i="1" s="1"/>
  <c r="AY664" i="1" s="1"/>
  <c r="AV665" i="1"/>
  <c r="AW665" i="1" s="1"/>
  <c r="AX665" i="1" s="1"/>
  <c r="AT665" i="1" s="1"/>
  <c r="AY665" i="1" s="1"/>
  <c r="AV273" i="1"/>
  <c r="AW272" i="1"/>
  <c r="AX272" i="1" s="1"/>
  <c r="AT272" i="1" s="1"/>
  <c r="AY272" i="1" s="1"/>
  <c r="AW792" i="1"/>
  <c r="AX792" i="1" s="1"/>
  <c r="AT792" i="1" s="1"/>
  <c r="AY792" i="1" s="1"/>
  <c r="AV793" i="1"/>
  <c r="AV439" i="1"/>
  <c r="AW438" i="1"/>
  <c r="AX438" i="1" s="1"/>
  <c r="AT438" i="1" s="1"/>
  <c r="AY438" i="1" s="1"/>
  <c r="AW635" i="1"/>
  <c r="AX635" i="1" s="1"/>
  <c r="AT635" i="1" s="1"/>
  <c r="AY635" i="1" s="1"/>
  <c r="AV636" i="1"/>
  <c r="AW694" i="1"/>
  <c r="AX694" i="1" s="1"/>
  <c r="AT694" i="1" s="1"/>
  <c r="AY694" i="1" s="1"/>
  <c r="AV695" i="1"/>
  <c r="AW136" i="1"/>
  <c r="AX136" i="1" s="1"/>
  <c r="AT136" i="1" s="1"/>
  <c r="AY136" i="1" s="1"/>
  <c r="AV137" i="1"/>
  <c r="AV403" i="1"/>
  <c r="AW403" i="1" s="1"/>
  <c r="AX403" i="1" s="1"/>
  <c r="AT403" i="1" s="1"/>
  <c r="AY403" i="1" s="1"/>
  <c r="AW402" i="1"/>
  <c r="AX402" i="1" s="1"/>
  <c r="AT402" i="1" s="1"/>
  <c r="AY402" i="1" s="1"/>
  <c r="AV30" i="1"/>
  <c r="AW29" i="1"/>
  <c r="AX29" i="1" s="1"/>
  <c r="AT29" i="1" s="1"/>
  <c r="AY29" i="1" s="1"/>
  <c r="AV1007" i="1"/>
  <c r="AW1006" i="1"/>
  <c r="AX1006" i="1" s="1"/>
  <c r="AT1006" i="1" s="1"/>
  <c r="AY1006" i="1" s="1"/>
  <c r="AW199" i="1"/>
  <c r="AX199" i="1" s="1"/>
  <c r="AT199" i="1" s="1"/>
  <c r="AY199" i="1" s="1"/>
  <c r="AV200" i="1"/>
  <c r="AV179" i="1"/>
  <c r="AW178" i="1"/>
  <c r="AX178" i="1" s="1"/>
  <c r="AT178" i="1" s="1"/>
  <c r="AY178" i="1" s="1"/>
  <c r="AW642" i="1" l="1"/>
  <c r="AX642" i="1" s="1"/>
  <c r="AT642" i="1" s="1"/>
  <c r="AY642" i="1" s="1"/>
  <c r="AV643" i="1"/>
  <c r="AV580" i="1"/>
  <c r="AW580" i="1" s="1"/>
  <c r="AX580" i="1" s="1"/>
  <c r="AT580" i="1" s="1"/>
  <c r="AY580" i="1" s="1"/>
  <c r="AW579" i="1"/>
  <c r="AX579" i="1" s="1"/>
  <c r="AT579" i="1" s="1"/>
  <c r="AY579" i="1" s="1"/>
  <c r="AW491" i="1"/>
  <c r="AX491" i="1" s="1"/>
  <c r="AT491" i="1" s="1"/>
  <c r="AY491" i="1" s="1"/>
  <c r="AV492" i="1"/>
  <c r="AW492" i="1" s="1"/>
  <c r="AX492" i="1" s="1"/>
  <c r="AT492" i="1" s="1"/>
  <c r="AY492" i="1" s="1"/>
  <c r="AW1153" i="1"/>
  <c r="AX1153" i="1" s="1"/>
  <c r="AT1153" i="1" s="1"/>
  <c r="AY1153" i="1" s="1"/>
  <c r="AV1154" i="1"/>
  <c r="AV31" i="1"/>
  <c r="AW31" i="1" s="1"/>
  <c r="AX31" i="1" s="1"/>
  <c r="AT31" i="1" s="1"/>
  <c r="AY31" i="1" s="1"/>
  <c r="AW30" i="1"/>
  <c r="AX30" i="1" s="1"/>
  <c r="AT30" i="1" s="1"/>
  <c r="AY30" i="1" s="1"/>
  <c r="AV434" i="1"/>
  <c r="AW434" i="1" s="1"/>
  <c r="AX434" i="1" s="1"/>
  <c r="AT434" i="1" s="1"/>
  <c r="AY434" i="1" s="1"/>
  <c r="AW433" i="1"/>
  <c r="AX433" i="1" s="1"/>
  <c r="AT433" i="1" s="1"/>
  <c r="AY433" i="1" s="1"/>
  <c r="AW922" i="1"/>
  <c r="AX922" i="1" s="1"/>
  <c r="AT922" i="1" s="1"/>
  <c r="AY922" i="1" s="1"/>
  <c r="AV923" i="1"/>
  <c r="AV859" i="1"/>
  <c r="AW858" i="1"/>
  <c r="AX858" i="1" s="1"/>
  <c r="AT858" i="1" s="1"/>
  <c r="AY858" i="1" s="1"/>
  <c r="AW1132" i="1"/>
  <c r="AX1132" i="1" s="1"/>
  <c r="AT1132" i="1" s="1"/>
  <c r="AY1132" i="1" s="1"/>
  <c r="AV1133" i="1"/>
  <c r="AW793" i="1"/>
  <c r="AX793" i="1" s="1"/>
  <c r="AT793" i="1" s="1"/>
  <c r="AY793" i="1" s="1"/>
  <c r="AV794" i="1"/>
  <c r="AV274" i="1"/>
  <c r="AW273" i="1"/>
  <c r="AX273" i="1" s="1"/>
  <c r="AT273" i="1" s="1"/>
  <c r="AY273" i="1" s="1"/>
  <c r="AV97" i="1"/>
  <c r="AW96" i="1"/>
  <c r="AX96" i="1" s="1"/>
  <c r="AT96" i="1" s="1"/>
  <c r="AY96" i="1" s="1"/>
  <c r="AV548" i="1"/>
  <c r="AW548" i="1" s="1"/>
  <c r="AX548" i="1" s="1"/>
  <c r="AT548" i="1" s="1"/>
  <c r="AY548" i="1" s="1"/>
  <c r="AW547" i="1"/>
  <c r="AX547" i="1" s="1"/>
  <c r="AT547" i="1" s="1"/>
  <c r="AY547" i="1" s="1"/>
  <c r="AW166" i="1"/>
  <c r="AX166" i="1" s="1"/>
  <c r="AT166" i="1" s="1"/>
  <c r="AY166" i="1" s="1"/>
  <c r="AV167" i="1"/>
  <c r="AV255" i="1"/>
  <c r="AW254" i="1"/>
  <c r="AX254" i="1" s="1"/>
  <c r="AT254" i="1" s="1"/>
  <c r="AY254" i="1" s="1"/>
  <c r="AW1057" i="1"/>
  <c r="AX1057" i="1" s="1"/>
  <c r="AT1057" i="1" s="1"/>
  <c r="AY1057" i="1" s="1"/>
  <c r="AV1058" i="1"/>
  <c r="AV740" i="1"/>
  <c r="AW739" i="1"/>
  <c r="AX739" i="1" s="1"/>
  <c r="AT739" i="1" s="1"/>
  <c r="AY739" i="1" s="1"/>
  <c r="AV138" i="1"/>
  <c r="AW137" i="1"/>
  <c r="AX137" i="1" s="1"/>
  <c r="AT137" i="1" s="1"/>
  <c r="AY137" i="1" s="1"/>
  <c r="AV572" i="1"/>
  <c r="AW572" i="1" s="1"/>
  <c r="AX572" i="1" s="1"/>
  <c r="AT572" i="1" s="1"/>
  <c r="AY572" i="1" s="1"/>
  <c r="AW571" i="1"/>
  <c r="AX571" i="1" s="1"/>
  <c r="AT571" i="1" s="1"/>
  <c r="AY571" i="1" s="1"/>
  <c r="AV127" i="1"/>
  <c r="AW126" i="1"/>
  <c r="AX126" i="1" s="1"/>
  <c r="AT126" i="1" s="1"/>
  <c r="AY126" i="1" s="1"/>
  <c r="AW218" i="1"/>
  <c r="AX218" i="1" s="1"/>
  <c r="AT218" i="1" s="1"/>
  <c r="AY218" i="1" s="1"/>
  <c r="AV219" i="1"/>
  <c r="AV586" i="1"/>
  <c r="AW585" i="1"/>
  <c r="AX585" i="1" s="1"/>
  <c r="AT585" i="1" s="1"/>
  <c r="AY585" i="1" s="1"/>
  <c r="AV1097" i="1"/>
  <c r="AW1096" i="1"/>
  <c r="AX1096" i="1" s="1"/>
  <c r="AT1096" i="1" s="1"/>
  <c r="AY1096" i="1" s="1"/>
  <c r="AW526" i="1"/>
  <c r="AX526" i="1" s="1"/>
  <c r="AT526" i="1" s="1"/>
  <c r="AY526" i="1" s="1"/>
  <c r="AV527" i="1"/>
  <c r="AV315" i="1"/>
  <c r="AW314" i="1"/>
  <c r="AX314" i="1" s="1"/>
  <c r="AT314" i="1" s="1"/>
  <c r="AY314" i="1" s="1"/>
  <c r="AW333" i="1"/>
  <c r="AX333" i="1" s="1"/>
  <c r="AT333" i="1" s="1"/>
  <c r="AY333" i="1" s="1"/>
  <c r="AV334" i="1"/>
  <c r="AV410" i="1"/>
  <c r="AW409" i="1"/>
  <c r="AX409" i="1" s="1"/>
  <c r="AT409" i="1" s="1"/>
  <c r="AY409" i="1" s="1"/>
  <c r="AW630" i="1"/>
  <c r="AX630" i="1" s="1"/>
  <c r="AT630" i="1" s="1"/>
  <c r="AY630" i="1" s="1"/>
  <c r="AV631" i="1"/>
  <c r="AW631" i="1" s="1"/>
  <c r="AX631" i="1" s="1"/>
  <c r="AT631" i="1" s="1"/>
  <c r="AY631" i="1" s="1"/>
  <c r="AV835" i="1"/>
  <c r="AW834" i="1"/>
  <c r="AX834" i="1" s="1"/>
  <c r="AT834" i="1" s="1"/>
  <c r="AY834" i="1" s="1"/>
  <c r="AW695" i="1"/>
  <c r="AX695" i="1" s="1"/>
  <c r="AT695" i="1" s="1"/>
  <c r="AY695" i="1" s="1"/>
  <c r="AV696" i="1"/>
  <c r="AV1034" i="1"/>
  <c r="AW1033" i="1"/>
  <c r="AX1033" i="1" s="1"/>
  <c r="AT1033" i="1" s="1"/>
  <c r="AY1033" i="1" s="1"/>
  <c r="AW874" i="1"/>
  <c r="AX874" i="1" s="1"/>
  <c r="AT874" i="1" s="1"/>
  <c r="AY874" i="1" s="1"/>
  <c r="AV875" i="1"/>
  <c r="AW605" i="1"/>
  <c r="AX605" i="1" s="1"/>
  <c r="AT605" i="1" s="1"/>
  <c r="AY605" i="1" s="1"/>
  <c r="AV606" i="1"/>
  <c r="AV13" i="1"/>
  <c r="AW12" i="1"/>
  <c r="AX12" i="1" s="1"/>
  <c r="AT12" i="1" s="1"/>
  <c r="AY12" i="1" s="1"/>
  <c r="AW467" i="1"/>
  <c r="AX467" i="1" s="1"/>
  <c r="AT467" i="1" s="1"/>
  <c r="AY467" i="1" s="1"/>
  <c r="AV468" i="1"/>
  <c r="AV971" i="1"/>
  <c r="AW970" i="1"/>
  <c r="AX970" i="1" s="1"/>
  <c r="AT970" i="1" s="1"/>
  <c r="AY970" i="1" s="1"/>
  <c r="AW1141" i="1"/>
  <c r="AX1141" i="1" s="1"/>
  <c r="AT1141" i="1" s="1"/>
  <c r="AY1141" i="1" s="1"/>
  <c r="AV1142" i="1"/>
  <c r="AV115" i="1"/>
  <c r="AW114" i="1"/>
  <c r="AX114" i="1" s="1"/>
  <c r="AT114" i="1" s="1"/>
  <c r="AY114" i="1" s="1"/>
  <c r="AW179" i="1"/>
  <c r="AX179" i="1" s="1"/>
  <c r="AT179" i="1" s="1"/>
  <c r="AY179" i="1" s="1"/>
  <c r="AV180" i="1"/>
  <c r="AW423" i="1"/>
  <c r="AX423" i="1" s="1"/>
  <c r="AT423" i="1" s="1"/>
  <c r="AY423" i="1" s="1"/>
  <c r="AV424" i="1"/>
  <c r="AW424" i="1" s="1"/>
  <c r="AX424" i="1" s="1"/>
  <c r="AT424" i="1" s="1"/>
  <c r="AY424" i="1" s="1"/>
  <c r="AV1079" i="1"/>
  <c r="AW1079" i="1" s="1"/>
  <c r="AX1079" i="1" s="1"/>
  <c r="AT1079" i="1" s="1"/>
  <c r="AY1079" i="1" s="1"/>
  <c r="AW1078" i="1"/>
  <c r="AX1078" i="1" s="1"/>
  <c r="AT1078" i="1" s="1"/>
  <c r="AY1078" i="1" s="1"/>
  <c r="AV233" i="1"/>
  <c r="AW232" i="1"/>
  <c r="AX232" i="1" s="1"/>
  <c r="AT232" i="1" s="1"/>
  <c r="AY232" i="1" s="1"/>
  <c r="AV1115" i="1"/>
  <c r="AW1114" i="1"/>
  <c r="AX1114" i="1" s="1"/>
  <c r="AT1114" i="1" s="1"/>
  <c r="AY1114" i="1" s="1"/>
  <c r="AW900" i="1"/>
  <c r="AX900" i="1" s="1"/>
  <c r="AT900" i="1" s="1"/>
  <c r="AY900" i="1" s="1"/>
  <c r="AV901" i="1"/>
  <c r="AW1171" i="1"/>
  <c r="AX1171" i="1" s="1"/>
  <c r="AT1171" i="1" s="1"/>
  <c r="AY1171" i="1" s="1"/>
  <c r="AV1172" i="1"/>
  <c r="AW621" i="1"/>
  <c r="AX621" i="1" s="1"/>
  <c r="AT621" i="1" s="1"/>
  <c r="AY621" i="1" s="1"/>
  <c r="AV622" i="1"/>
  <c r="AV201" i="1"/>
  <c r="AW200" i="1"/>
  <c r="AX200" i="1" s="1"/>
  <c r="AT200" i="1" s="1"/>
  <c r="AY200" i="1" s="1"/>
  <c r="AW636" i="1"/>
  <c r="AX636" i="1" s="1"/>
  <c r="AT636" i="1" s="1"/>
  <c r="AY636" i="1" s="1"/>
  <c r="AV637" i="1"/>
  <c r="AW637" i="1" s="1"/>
  <c r="AX637" i="1" s="1"/>
  <c r="AT637" i="1" s="1"/>
  <c r="AY637" i="1" s="1"/>
  <c r="AW811" i="1"/>
  <c r="AX811" i="1" s="1"/>
  <c r="AT811" i="1" s="1"/>
  <c r="AY811" i="1" s="1"/>
  <c r="AV812" i="1"/>
  <c r="AW940" i="1"/>
  <c r="AX940" i="1" s="1"/>
  <c r="AT940" i="1" s="1"/>
  <c r="AY940" i="1" s="1"/>
  <c r="AV941" i="1"/>
  <c r="AV554" i="1"/>
  <c r="AW553" i="1"/>
  <c r="AX553" i="1" s="1"/>
  <c r="AT553" i="1" s="1"/>
  <c r="AY553" i="1" s="1"/>
  <c r="AW245" i="1"/>
  <c r="AX245" i="1" s="1"/>
  <c r="AT245" i="1" s="1"/>
  <c r="AY245" i="1" s="1"/>
  <c r="AV246" i="1"/>
  <c r="AW758" i="1"/>
  <c r="AX758" i="1" s="1"/>
  <c r="AT758" i="1" s="1"/>
  <c r="AY758" i="1" s="1"/>
  <c r="AV759" i="1"/>
  <c r="AW759" i="1" s="1"/>
  <c r="AX759" i="1" s="1"/>
  <c r="AT759" i="1" s="1"/>
  <c r="AY759" i="1" s="1"/>
  <c r="AV1162" i="1"/>
  <c r="AW1161" i="1"/>
  <c r="AX1161" i="1" s="1"/>
  <c r="AT1161" i="1" s="1"/>
  <c r="AY1161" i="1" s="1"/>
  <c r="AW764" i="1"/>
  <c r="AX764" i="1" s="1"/>
  <c r="AT764" i="1" s="1"/>
  <c r="AY764" i="1" s="1"/>
  <c r="AV765" i="1"/>
  <c r="AV363" i="1"/>
  <c r="AW362" i="1"/>
  <c r="AX362" i="1" s="1"/>
  <c r="AT362" i="1" s="1"/>
  <c r="AY362" i="1" s="1"/>
  <c r="AV103" i="1"/>
  <c r="AW102" i="1"/>
  <c r="AX102" i="1" s="1"/>
  <c r="AT102" i="1" s="1"/>
  <c r="AY102" i="1" s="1"/>
  <c r="AW670" i="1"/>
  <c r="AX670" i="1" s="1"/>
  <c r="AT670" i="1" s="1"/>
  <c r="AY670" i="1" s="1"/>
  <c r="AV671" i="1"/>
  <c r="AV500" i="1"/>
  <c r="AW499" i="1"/>
  <c r="AX499" i="1" s="1"/>
  <c r="AT499" i="1" s="1"/>
  <c r="AY499" i="1" s="1"/>
  <c r="AW157" i="1"/>
  <c r="AX157" i="1" s="1"/>
  <c r="AT157" i="1" s="1"/>
  <c r="AY157" i="1" s="1"/>
  <c r="AV158" i="1"/>
  <c r="AW158" i="1" s="1"/>
  <c r="AX158" i="1" s="1"/>
  <c r="AT158" i="1" s="1"/>
  <c r="AY158" i="1" s="1"/>
  <c r="AV73" i="1"/>
  <c r="AW72" i="1"/>
  <c r="AX72" i="1" s="1"/>
  <c r="AT72" i="1" s="1"/>
  <c r="AY72" i="1" s="1"/>
  <c r="AW716" i="1"/>
  <c r="AX716" i="1" s="1"/>
  <c r="AT716" i="1" s="1"/>
  <c r="AY716" i="1" s="1"/>
  <c r="AV717" i="1"/>
  <c r="AV1008" i="1"/>
  <c r="AW1007" i="1"/>
  <c r="AX1007" i="1" s="1"/>
  <c r="AT1007" i="1" s="1"/>
  <c r="AY1007" i="1" s="1"/>
  <c r="AV440" i="1"/>
  <c r="AW439" i="1"/>
  <c r="AX439" i="1" s="1"/>
  <c r="AT439" i="1" s="1"/>
  <c r="AY439" i="1" s="1"/>
  <c r="AV381" i="1"/>
  <c r="AW380" i="1"/>
  <c r="AX380" i="1" s="1"/>
  <c r="AT380" i="1" s="1"/>
  <c r="AY380" i="1" s="1"/>
  <c r="AW343" i="1"/>
  <c r="AX343" i="1" s="1"/>
  <c r="AT343" i="1" s="1"/>
  <c r="AY343" i="1" s="1"/>
  <c r="AV344" i="1"/>
  <c r="AV48" i="1"/>
  <c r="AW47" i="1"/>
  <c r="AX47" i="1" s="1"/>
  <c r="AT47" i="1" s="1"/>
  <c r="AY47" i="1" s="1"/>
  <c r="AW289" i="1"/>
  <c r="AX289" i="1" s="1"/>
  <c r="AT289" i="1" s="1"/>
  <c r="AY289" i="1" s="1"/>
  <c r="AV290" i="1"/>
  <c r="AW1162" i="1" l="1"/>
  <c r="AX1162" i="1" s="1"/>
  <c r="AT1162" i="1" s="1"/>
  <c r="AY1162" i="1" s="1"/>
  <c r="AV1163" i="1"/>
  <c r="AW233" i="1"/>
  <c r="AX233" i="1" s="1"/>
  <c r="AT233" i="1" s="1"/>
  <c r="AY233" i="1" s="1"/>
  <c r="AV234" i="1"/>
  <c r="AV972" i="1"/>
  <c r="AW971" i="1"/>
  <c r="AX971" i="1" s="1"/>
  <c r="AT971" i="1" s="1"/>
  <c r="AY971" i="1" s="1"/>
  <c r="AW138" i="1"/>
  <c r="AX138" i="1" s="1"/>
  <c r="AT138" i="1" s="1"/>
  <c r="AY138" i="1" s="1"/>
  <c r="AV139" i="1"/>
  <c r="AV98" i="1"/>
  <c r="AW98" i="1" s="1"/>
  <c r="AX98" i="1" s="1"/>
  <c r="AT98" i="1" s="1"/>
  <c r="AY98" i="1" s="1"/>
  <c r="AW97" i="1"/>
  <c r="AX97" i="1" s="1"/>
  <c r="AT97" i="1" s="1"/>
  <c r="AY97" i="1" s="1"/>
  <c r="AV469" i="1"/>
  <c r="AW468" i="1"/>
  <c r="AX468" i="1" s="1"/>
  <c r="AT468" i="1" s="1"/>
  <c r="AY468" i="1" s="1"/>
  <c r="AW381" i="1"/>
  <c r="AX381" i="1" s="1"/>
  <c r="AT381" i="1" s="1"/>
  <c r="AY381" i="1" s="1"/>
  <c r="AV382" i="1"/>
  <c r="AW500" i="1"/>
  <c r="AX500" i="1" s="1"/>
  <c r="AT500" i="1" s="1"/>
  <c r="AY500" i="1" s="1"/>
  <c r="AV501" i="1"/>
  <c r="AV202" i="1"/>
  <c r="AW201" i="1"/>
  <c r="AX201" i="1" s="1"/>
  <c r="AT201" i="1" s="1"/>
  <c r="AY201" i="1" s="1"/>
  <c r="AV836" i="1"/>
  <c r="AW835" i="1"/>
  <c r="AX835" i="1" s="1"/>
  <c r="AT835" i="1" s="1"/>
  <c r="AY835" i="1" s="1"/>
  <c r="AV1098" i="1"/>
  <c r="AW1097" i="1"/>
  <c r="AX1097" i="1" s="1"/>
  <c r="AT1097" i="1" s="1"/>
  <c r="AY1097" i="1" s="1"/>
  <c r="AW740" i="1"/>
  <c r="AX740" i="1" s="1"/>
  <c r="AT740" i="1" s="1"/>
  <c r="AY740" i="1" s="1"/>
  <c r="AV741" i="1"/>
  <c r="AV275" i="1"/>
  <c r="AW274" i="1"/>
  <c r="AX274" i="1" s="1"/>
  <c r="AT274" i="1" s="1"/>
  <c r="AY274" i="1" s="1"/>
  <c r="AV345" i="1"/>
  <c r="AW344" i="1"/>
  <c r="AX344" i="1" s="1"/>
  <c r="AT344" i="1" s="1"/>
  <c r="AY344" i="1" s="1"/>
  <c r="AV672" i="1"/>
  <c r="AW671" i="1"/>
  <c r="AX671" i="1" s="1"/>
  <c r="AT671" i="1" s="1"/>
  <c r="AY671" i="1" s="1"/>
  <c r="AV247" i="1"/>
  <c r="AW246" i="1"/>
  <c r="AX246" i="1" s="1"/>
  <c r="AT246" i="1" s="1"/>
  <c r="AY246" i="1" s="1"/>
  <c r="AW622" i="1"/>
  <c r="AX622" i="1" s="1"/>
  <c r="AT622" i="1" s="1"/>
  <c r="AY622" i="1" s="1"/>
  <c r="AV623" i="1"/>
  <c r="AW623" i="1" s="1"/>
  <c r="AX623" i="1" s="1"/>
  <c r="AT623" i="1" s="1"/>
  <c r="AY623" i="1" s="1"/>
  <c r="AV1059" i="1"/>
  <c r="AW1058" i="1"/>
  <c r="AX1058" i="1" s="1"/>
  <c r="AT1058" i="1" s="1"/>
  <c r="AY1058" i="1" s="1"/>
  <c r="AW794" i="1"/>
  <c r="AX794" i="1" s="1"/>
  <c r="AT794" i="1" s="1"/>
  <c r="AY794" i="1" s="1"/>
  <c r="AV795" i="1"/>
  <c r="AV1155" i="1"/>
  <c r="AW1154" i="1"/>
  <c r="AX1154" i="1" s="1"/>
  <c r="AT1154" i="1" s="1"/>
  <c r="AY1154" i="1" s="1"/>
  <c r="AV528" i="1"/>
  <c r="AW527" i="1"/>
  <c r="AX527" i="1" s="1"/>
  <c r="AT527" i="1" s="1"/>
  <c r="AY527" i="1" s="1"/>
  <c r="AV14" i="1"/>
  <c r="AW13" i="1"/>
  <c r="AX13" i="1" s="1"/>
  <c r="AT13" i="1" s="1"/>
  <c r="AY13" i="1" s="1"/>
  <c r="AW586" i="1"/>
  <c r="AX586" i="1" s="1"/>
  <c r="AT586" i="1" s="1"/>
  <c r="AY586" i="1" s="1"/>
  <c r="AV587" i="1"/>
  <c r="AW1172" i="1"/>
  <c r="AX1172" i="1" s="1"/>
  <c r="AT1172" i="1" s="1"/>
  <c r="AY1172" i="1" s="1"/>
  <c r="AV1173" i="1"/>
  <c r="AW180" i="1"/>
  <c r="AX180" i="1" s="1"/>
  <c r="AT180" i="1" s="1"/>
  <c r="AY180" i="1" s="1"/>
  <c r="AV181" i="1"/>
  <c r="AV607" i="1"/>
  <c r="AW606" i="1"/>
  <c r="AX606" i="1" s="1"/>
  <c r="AT606" i="1" s="1"/>
  <c r="AY606" i="1" s="1"/>
  <c r="AV220" i="1"/>
  <c r="AW219" i="1"/>
  <c r="AX219" i="1" s="1"/>
  <c r="AT219" i="1" s="1"/>
  <c r="AY219" i="1" s="1"/>
  <c r="AV1134" i="1"/>
  <c r="AW1133" i="1"/>
  <c r="AX1133" i="1" s="1"/>
  <c r="AT1133" i="1" s="1"/>
  <c r="AY1133" i="1" s="1"/>
  <c r="AV1009" i="1"/>
  <c r="AW1008" i="1"/>
  <c r="AX1008" i="1" s="1"/>
  <c r="AT1008" i="1" s="1"/>
  <c r="AY1008" i="1" s="1"/>
  <c r="AV104" i="1"/>
  <c r="AW103" i="1"/>
  <c r="AX103" i="1" s="1"/>
  <c r="AT103" i="1" s="1"/>
  <c r="AY103" i="1" s="1"/>
  <c r="AW554" i="1"/>
  <c r="AX554" i="1" s="1"/>
  <c r="AT554" i="1" s="1"/>
  <c r="AY554" i="1" s="1"/>
  <c r="AV555" i="1"/>
  <c r="AW410" i="1"/>
  <c r="AX410" i="1" s="1"/>
  <c r="AT410" i="1" s="1"/>
  <c r="AY410" i="1" s="1"/>
  <c r="AV411" i="1"/>
  <c r="AV256" i="1"/>
  <c r="AW255" i="1"/>
  <c r="AX255" i="1" s="1"/>
  <c r="AT255" i="1" s="1"/>
  <c r="AY255" i="1" s="1"/>
  <c r="AV291" i="1"/>
  <c r="AW290" i="1"/>
  <c r="AX290" i="1" s="1"/>
  <c r="AT290" i="1" s="1"/>
  <c r="AY290" i="1" s="1"/>
  <c r="AW717" i="1"/>
  <c r="AX717" i="1" s="1"/>
  <c r="AT717" i="1" s="1"/>
  <c r="AY717" i="1" s="1"/>
  <c r="AV718" i="1"/>
  <c r="AV942" i="1"/>
  <c r="AW941" i="1"/>
  <c r="AX941" i="1" s="1"/>
  <c r="AT941" i="1" s="1"/>
  <c r="AY941" i="1" s="1"/>
  <c r="AW901" i="1"/>
  <c r="AX901" i="1" s="1"/>
  <c r="AT901" i="1" s="1"/>
  <c r="AY901" i="1" s="1"/>
  <c r="AV902" i="1"/>
  <c r="AV876" i="1"/>
  <c r="AW875" i="1"/>
  <c r="AX875" i="1" s="1"/>
  <c r="AT875" i="1" s="1"/>
  <c r="AY875" i="1" s="1"/>
  <c r="AV335" i="1"/>
  <c r="AW335" i="1" s="1"/>
  <c r="AX335" i="1" s="1"/>
  <c r="AT335" i="1" s="1"/>
  <c r="AY335" i="1" s="1"/>
  <c r="AW334" i="1"/>
  <c r="AX334" i="1" s="1"/>
  <c r="AT334" i="1" s="1"/>
  <c r="AY334" i="1" s="1"/>
  <c r="AV168" i="1"/>
  <c r="AW167" i="1"/>
  <c r="AX167" i="1" s="1"/>
  <c r="AT167" i="1" s="1"/>
  <c r="AY167" i="1" s="1"/>
  <c r="AW696" i="1"/>
  <c r="AX696" i="1" s="1"/>
  <c r="AT696" i="1" s="1"/>
  <c r="AY696" i="1" s="1"/>
  <c r="AV697" i="1"/>
  <c r="AW363" i="1"/>
  <c r="AX363" i="1" s="1"/>
  <c r="AT363" i="1" s="1"/>
  <c r="AY363" i="1" s="1"/>
  <c r="AV364" i="1"/>
  <c r="AV116" i="1"/>
  <c r="AW115" i="1"/>
  <c r="AX115" i="1" s="1"/>
  <c r="AT115" i="1" s="1"/>
  <c r="AY115" i="1" s="1"/>
  <c r="AV128" i="1"/>
  <c r="AW127" i="1"/>
  <c r="AX127" i="1" s="1"/>
  <c r="AT127" i="1" s="1"/>
  <c r="AY127" i="1" s="1"/>
  <c r="AV860" i="1"/>
  <c r="AW860" i="1" s="1"/>
  <c r="AX860" i="1" s="1"/>
  <c r="AT860" i="1" s="1"/>
  <c r="AY860" i="1" s="1"/>
  <c r="AW859" i="1"/>
  <c r="AX859" i="1" s="1"/>
  <c r="AT859" i="1" s="1"/>
  <c r="AY859" i="1" s="1"/>
  <c r="AW440" i="1"/>
  <c r="AX440" i="1" s="1"/>
  <c r="AT440" i="1" s="1"/>
  <c r="AY440" i="1" s="1"/>
  <c r="AV441" i="1"/>
  <c r="AW765" i="1"/>
  <c r="AX765" i="1" s="1"/>
  <c r="AT765" i="1" s="1"/>
  <c r="AY765" i="1" s="1"/>
  <c r="AV766" i="1"/>
  <c r="AW812" i="1"/>
  <c r="AX812" i="1" s="1"/>
  <c r="AT812" i="1" s="1"/>
  <c r="AY812" i="1" s="1"/>
  <c r="AV813" i="1"/>
  <c r="AV1143" i="1"/>
  <c r="AW1142" i="1"/>
  <c r="AX1142" i="1" s="1"/>
  <c r="AT1142" i="1" s="1"/>
  <c r="AY1142" i="1" s="1"/>
  <c r="AV924" i="1"/>
  <c r="AW923" i="1"/>
  <c r="AX923" i="1" s="1"/>
  <c r="AT923" i="1" s="1"/>
  <c r="AY923" i="1" s="1"/>
  <c r="AW643" i="1"/>
  <c r="AX643" i="1" s="1"/>
  <c r="AT643" i="1" s="1"/>
  <c r="AY643" i="1" s="1"/>
  <c r="AV644" i="1"/>
  <c r="AV49" i="1"/>
  <c r="AW48" i="1"/>
  <c r="AX48" i="1" s="1"/>
  <c r="AT48" i="1" s="1"/>
  <c r="AY48" i="1" s="1"/>
  <c r="AV74" i="1"/>
  <c r="AW73" i="1"/>
  <c r="AX73" i="1" s="1"/>
  <c r="AT73" i="1" s="1"/>
  <c r="AY73" i="1" s="1"/>
  <c r="AV1116" i="1"/>
  <c r="AW1115" i="1"/>
  <c r="AX1115" i="1" s="1"/>
  <c r="AT1115" i="1" s="1"/>
  <c r="AY1115" i="1" s="1"/>
  <c r="AW1034" i="1"/>
  <c r="AX1034" i="1" s="1"/>
  <c r="AT1034" i="1" s="1"/>
  <c r="AY1034" i="1" s="1"/>
  <c r="AV1035" i="1"/>
  <c r="AV316" i="1"/>
  <c r="AW315" i="1"/>
  <c r="AX315" i="1" s="1"/>
  <c r="AT315" i="1" s="1"/>
  <c r="AY315" i="1" s="1"/>
  <c r="AV742" i="1" l="1"/>
  <c r="AW741" i="1"/>
  <c r="AX741" i="1" s="1"/>
  <c r="AT741" i="1" s="1"/>
  <c r="AY741" i="1" s="1"/>
  <c r="AV1117" i="1"/>
  <c r="AW1117" i="1" s="1"/>
  <c r="AX1117" i="1" s="1"/>
  <c r="AT1117" i="1" s="1"/>
  <c r="AY1117" i="1" s="1"/>
  <c r="AW1116" i="1"/>
  <c r="AX1116" i="1" s="1"/>
  <c r="AT1116" i="1" s="1"/>
  <c r="AY1116" i="1" s="1"/>
  <c r="AW942" i="1"/>
  <c r="AX942" i="1" s="1"/>
  <c r="AT942" i="1" s="1"/>
  <c r="AY942" i="1" s="1"/>
  <c r="AV943" i="1"/>
  <c r="AV105" i="1"/>
  <c r="AW104" i="1"/>
  <c r="AX104" i="1" s="1"/>
  <c r="AT104" i="1" s="1"/>
  <c r="AY104" i="1" s="1"/>
  <c r="AV1060" i="1"/>
  <c r="AW1059" i="1"/>
  <c r="AX1059" i="1" s="1"/>
  <c r="AT1059" i="1" s="1"/>
  <c r="AY1059" i="1" s="1"/>
  <c r="AV470" i="1"/>
  <c r="AW469" i="1"/>
  <c r="AX469" i="1" s="1"/>
  <c r="AT469" i="1" s="1"/>
  <c r="AY469" i="1" s="1"/>
  <c r="AW1009" i="1"/>
  <c r="AX1009" i="1" s="1"/>
  <c r="AT1009" i="1" s="1"/>
  <c r="AY1009" i="1" s="1"/>
  <c r="AV1010" i="1"/>
  <c r="AV1099" i="1"/>
  <c r="AW1098" i="1"/>
  <c r="AX1098" i="1" s="1"/>
  <c r="AT1098" i="1" s="1"/>
  <c r="AY1098" i="1" s="1"/>
  <c r="AV140" i="1"/>
  <c r="AW139" i="1"/>
  <c r="AX139" i="1" s="1"/>
  <c r="AT139" i="1" s="1"/>
  <c r="AY139" i="1" s="1"/>
  <c r="AV1144" i="1"/>
  <c r="AW1143" i="1"/>
  <c r="AX1143" i="1" s="1"/>
  <c r="AT1143" i="1" s="1"/>
  <c r="AY1143" i="1" s="1"/>
  <c r="AV117" i="1"/>
  <c r="AW116" i="1"/>
  <c r="AX116" i="1" s="1"/>
  <c r="AT116" i="1" s="1"/>
  <c r="AY116" i="1" s="1"/>
  <c r="AW813" i="1"/>
  <c r="AX813" i="1" s="1"/>
  <c r="AT813" i="1" s="1"/>
  <c r="AY813" i="1" s="1"/>
  <c r="AV814" i="1"/>
  <c r="AW364" i="1"/>
  <c r="AX364" i="1" s="1"/>
  <c r="AT364" i="1" s="1"/>
  <c r="AY364" i="1" s="1"/>
  <c r="AV365" i="1"/>
  <c r="AV75" i="1"/>
  <c r="AW74" i="1"/>
  <c r="AX74" i="1" s="1"/>
  <c r="AT74" i="1" s="1"/>
  <c r="AY74" i="1" s="1"/>
  <c r="AV50" i="1"/>
  <c r="AW49" i="1"/>
  <c r="AX49" i="1" s="1"/>
  <c r="AT49" i="1" s="1"/>
  <c r="AY49" i="1" s="1"/>
  <c r="AW168" i="1"/>
  <c r="AX168" i="1" s="1"/>
  <c r="AT168" i="1" s="1"/>
  <c r="AY168" i="1" s="1"/>
  <c r="AV169" i="1"/>
  <c r="AW291" i="1"/>
  <c r="AX291" i="1" s="1"/>
  <c r="AT291" i="1" s="1"/>
  <c r="AY291" i="1" s="1"/>
  <c r="AV292" i="1"/>
  <c r="AW1134" i="1"/>
  <c r="AX1134" i="1" s="1"/>
  <c r="AT1134" i="1" s="1"/>
  <c r="AY1134" i="1" s="1"/>
  <c r="AV1135" i="1"/>
  <c r="AW1135" i="1" s="1"/>
  <c r="AX1135" i="1" s="1"/>
  <c r="AT1135" i="1" s="1"/>
  <c r="AY1135" i="1" s="1"/>
  <c r="AV15" i="1"/>
  <c r="AW14" i="1"/>
  <c r="AX14" i="1" s="1"/>
  <c r="AT14" i="1" s="1"/>
  <c r="AY14" i="1" s="1"/>
  <c r="AW247" i="1"/>
  <c r="AX247" i="1" s="1"/>
  <c r="AT247" i="1" s="1"/>
  <c r="AY247" i="1" s="1"/>
  <c r="AV248" i="1"/>
  <c r="AW248" i="1" s="1"/>
  <c r="AX248" i="1" s="1"/>
  <c r="AT248" i="1" s="1"/>
  <c r="AY248" i="1" s="1"/>
  <c r="AW836" i="1"/>
  <c r="AX836" i="1" s="1"/>
  <c r="AT836" i="1" s="1"/>
  <c r="AY836" i="1" s="1"/>
  <c r="AV837" i="1"/>
  <c r="AV588" i="1"/>
  <c r="AW587" i="1"/>
  <c r="AX587" i="1" s="1"/>
  <c r="AT587" i="1" s="1"/>
  <c r="AY587" i="1" s="1"/>
  <c r="AW766" i="1"/>
  <c r="AX766" i="1" s="1"/>
  <c r="AT766" i="1" s="1"/>
  <c r="AY766" i="1" s="1"/>
  <c r="AV767" i="1"/>
  <c r="AW718" i="1"/>
  <c r="AX718" i="1" s="1"/>
  <c r="AT718" i="1" s="1"/>
  <c r="AY718" i="1" s="1"/>
  <c r="AV719" i="1"/>
  <c r="AV442" i="1"/>
  <c r="AW441" i="1"/>
  <c r="AX441" i="1" s="1"/>
  <c r="AT441" i="1" s="1"/>
  <c r="AY441" i="1" s="1"/>
  <c r="AW644" i="1"/>
  <c r="AX644" i="1" s="1"/>
  <c r="AT644" i="1" s="1"/>
  <c r="AY644" i="1" s="1"/>
  <c r="AV645" i="1"/>
  <c r="AV257" i="1"/>
  <c r="AW256" i="1"/>
  <c r="AX256" i="1" s="1"/>
  <c r="AT256" i="1" s="1"/>
  <c r="AY256" i="1" s="1"/>
  <c r="AV221" i="1"/>
  <c r="AW220" i="1"/>
  <c r="AX220" i="1" s="1"/>
  <c r="AT220" i="1" s="1"/>
  <c r="AY220" i="1" s="1"/>
  <c r="AW528" i="1"/>
  <c r="AX528" i="1" s="1"/>
  <c r="AT528" i="1" s="1"/>
  <c r="AY528" i="1" s="1"/>
  <c r="AV529" i="1"/>
  <c r="AW672" i="1"/>
  <c r="AX672" i="1" s="1"/>
  <c r="AT672" i="1" s="1"/>
  <c r="AY672" i="1" s="1"/>
  <c r="AV673" i="1"/>
  <c r="AV203" i="1"/>
  <c r="AW202" i="1"/>
  <c r="AX202" i="1" s="1"/>
  <c r="AT202" i="1" s="1"/>
  <c r="AY202" i="1" s="1"/>
  <c r="AV973" i="1"/>
  <c r="AW972" i="1"/>
  <c r="AX972" i="1" s="1"/>
  <c r="AT972" i="1" s="1"/>
  <c r="AY972" i="1" s="1"/>
  <c r="AV502" i="1"/>
  <c r="AW501" i="1"/>
  <c r="AX501" i="1" s="1"/>
  <c r="AT501" i="1" s="1"/>
  <c r="AY501" i="1" s="1"/>
  <c r="AV235" i="1"/>
  <c r="AW234" i="1"/>
  <c r="AX234" i="1" s="1"/>
  <c r="AT234" i="1" s="1"/>
  <c r="AY234" i="1" s="1"/>
  <c r="AW1173" i="1"/>
  <c r="AX1173" i="1" s="1"/>
  <c r="AT1173" i="1" s="1"/>
  <c r="AY1173" i="1" s="1"/>
  <c r="AV1174" i="1"/>
  <c r="AW697" i="1"/>
  <c r="AX697" i="1" s="1"/>
  <c r="AT697" i="1" s="1"/>
  <c r="AY697" i="1" s="1"/>
  <c r="AV698" i="1"/>
  <c r="AW411" i="1"/>
  <c r="AX411" i="1" s="1"/>
  <c r="AT411" i="1" s="1"/>
  <c r="AY411" i="1" s="1"/>
  <c r="AV412" i="1"/>
  <c r="AW316" i="1"/>
  <c r="AX316" i="1" s="1"/>
  <c r="AT316" i="1" s="1"/>
  <c r="AY316" i="1" s="1"/>
  <c r="AV317" i="1"/>
  <c r="AW924" i="1"/>
  <c r="AX924" i="1" s="1"/>
  <c r="AT924" i="1" s="1"/>
  <c r="AY924" i="1" s="1"/>
  <c r="AV925" i="1"/>
  <c r="AV129" i="1"/>
  <c r="AW128" i="1"/>
  <c r="AX128" i="1" s="1"/>
  <c r="AT128" i="1" s="1"/>
  <c r="AY128" i="1" s="1"/>
  <c r="AV877" i="1"/>
  <c r="AW876" i="1"/>
  <c r="AX876" i="1" s="1"/>
  <c r="AT876" i="1" s="1"/>
  <c r="AY876" i="1" s="1"/>
  <c r="AW607" i="1"/>
  <c r="AX607" i="1" s="1"/>
  <c r="AT607" i="1" s="1"/>
  <c r="AY607" i="1" s="1"/>
  <c r="AV608" i="1"/>
  <c r="AV1156" i="1"/>
  <c r="AW1156" i="1" s="1"/>
  <c r="AX1156" i="1" s="1"/>
  <c r="AT1156" i="1" s="1"/>
  <c r="AY1156" i="1" s="1"/>
  <c r="AW1155" i="1"/>
  <c r="AX1155" i="1" s="1"/>
  <c r="AT1155" i="1" s="1"/>
  <c r="AY1155" i="1" s="1"/>
  <c r="AW345" i="1"/>
  <c r="AX345" i="1" s="1"/>
  <c r="AT345" i="1" s="1"/>
  <c r="AY345" i="1" s="1"/>
  <c r="AV346" i="1"/>
  <c r="AW1035" i="1"/>
  <c r="AX1035" i="1" s="1"/>
  <c r="AT1035" i="1" s="1"/>
  <c r="AY1035" i="1" s="1"/>
  <c r="AV1036" i="1"/>
  <c r="AV903" i="1"/>
  <c r="AW902" i="1"/>
  <c r="AX902" i="1" s="1"/>
  <c r="AT902" i="1" s="1"/>
  <c r="AY902" i="1" s="1"/>
  <c r="AV556" i="1"/>
  <c r="AW555" i="1"/>
  <c r="AX555" i="1" s="1"/>
  <c r="AT555" i="1" s="1"/>
  <c r="AY555" i="1" s="1"/>
  <c r="AW181" i="1"/>
  <c r="AX181" i="1" s="1"/>
  <c r="AT181" i="1" s="1"/>
  <c r="AY181" i="1" s="1"/>
  <c r="AV182" i="1"/>
  <c r="AW795" i="1"/>
  <c r="AX795" i="1" s="1"/>
  <c r="AT795" i="1" s="1"/>
  <c r="AY795" i="1" s="1"/>
  <c r="AV796" i="1"/>
  <c r="AV383" i="1"/>
  <c r="AW382" i="1"/>
  <c r="AX382" i="1" s="1"/>
  <c r="AT382" i="1" s="1"/>
  <c r="AY382" i="1" s="1"/>
  <c r="AV1164" i="1"/>
  <c r="AW1163" i="1"/>
  <c r="AX1163" i="1" s="1"/>
  <c r="AT1163" i="1" s="1"/>
  <c r="AY1163" i="1" s="1"/>
  <c r="AV276" i="1"/>
  <c r="AW275" i="1"/>
  <c r="AX275" i="1" s="1"/>
  <c r="AT275" i="1" s="1"/>
  <c r="AY275" i="1" s="1"/>
  <c r="AV815" i="1" l="1"/>
  <c r="AW814" i="1"/>
  <c r="AX814" i="1" s="1"/>
  <c r="AT814" i="1" s="1"/>
  <c r="AY814" i="1" s="1"/>
  <c r="AW1174" i="1"/>
  <c r="AX1174" i="1" s="1"/>
  <c r="AT1174" i="1" s="1"/>
  <c r="AY1174" i="1" s="1"/>
  <c r="AV1175" i="1"/>
  <c r="AV530" i="1"/>
  <c r="AW529" i="1"/>
  <c r="AX529" i="1" s="1"/>
  <c r="AT529" i="1" s="1"/>
  <c r="AY529" i="1" s="1"/>
  <c r="AW767" i="1"/>
  <c r="AX767" i="1" s="1"/>
  <c r="AT767" i="1" s="1"/>
  <c r="AY767" i="1" s="1"/>
  <c r="AV768" i="1"/>
  <c r="AW292" i="1"/>
  <c r="AX292" i="1" s="1"/>
  <c r="AT292" i="1" s="1"/>
  <c r="AY292" i="1" s="1"/>
  <c r="AV293" i="1"/>
  <c r="AW608" i="1"/>
  <c r="AX608" i="1" s="1"/>
  <c r="AT608" i="1" s="1"/>
  <c r="AY608" i="1" s="1"/>
  <c r="AV609" i="1"/>
  <c r="AW117" i="1"/>
  <c r="AX117" i="1" s="1"/>
  <c r="AT117" i="1" s="1"/>
  <c r="AY117" i="1" s="1"/>
  <c r="AV118" i="1"/>
  <c r="AW118" i="1" s="1"/>
  <c r="AX118" i="1" s="1"/>
  <c r="AT118" i="1" s="1"/>
  <c r="AY118" i="1" s="1"/>
  <c r="AV1061" i="1"/>
  <c r="AW1060" i="1"/>
  <c r="AX1060" i="1" s="1"/>
  <c r="AT1060" i="1" s="1"/>
  <c r="AY1060" i="1" s="1"/>
  <c r="AW169" i="1"/>
  <c r="AX169" i="1" s="1"/>
  <c r="AT169" i="1" s="1"/>
  <c r="AY169" i="1" s="1"/>
  <c r="AV170" i="1"/>
  <c r="AV277" i="1"/>
  <c r="AW277" i="1" s="1"/>
  <c r="AX277" i="1" s="1"/>
  <c r="AT277" i="1" s="1"/>
  <c r="AY277" i="1" s="1"/>
  <c r="AW276" i="1"/>
  <c r="AX276" i="1" s="1"/>
  <c r="AT276" i="1" s="1"/>
  <c r="AY276" i="1" s="1"/>
  <c r="AW903" i="1"/>
  <c r="AX903" i="1" s="1"/>
  <c r="AT903" i="1" s="1"/>
  <c r="AY903" i="1" s="1"/>
  <c r="AV904" i="1"/>
  <c r="AW129" i="1"/>
  <c r="AX129" i="1" s="1"/>
  <c r="AT129" i="1" s="1"/>
  <c r="AY129" i="1" s="1"/>
  <c r="AV130" i="1"/>
  <c r="AW235" i="1"/>
  <c r="AX235" i="1" s="1"/>
  <c r="AT235" i="1" s="1"/>
  <c r="AY235" i="1" s="1"/>
  <c r="AV236" i="1"/>
  <c r="AW221" i="1"/>
  <c r="AX221" i="1" s="1"/>
  <c r="AT221" i="1" s="1"/>
  <c r="AY221" i="1" s="1"/>
  <c r="AV222" i="1"/>
  <c r="AW588" i="1"/>
  <c r="AX588" i="1" s="1"/>
  <c r="AT588" i="1" s="1"/>
  <c r="AY588" i="1" s="1"/>
  <c r="AV589" i="1"/>
  <c r="AW1144" i="1"/>
  <c r="AX1144" i="1" s="1"/>
  <c r="AT1144" i="1" s="1"/>
  <c r="AY1144" i="1" s="1"/>
  <c r="AV1145" i="1"/>
  <c r="AW105" i="1"/>
  <c r="AX105" i="1" s="1"/>
  <c r="AT105" i="1" s="1"/>
  <c r="AY105" i="1" s="1"/>
  <c r="AV106" i="1"/>
  <c r="AV674" i="1"/>
  <c r="AW673" i="1"/>
  <c r="AX673" i="1" s="1"/>
  <c r="AT673" i="1" s="1"/>
  <c r="AY673" i="1" s="1"/>
  <c r="AV1037" i="1"/>
  <c r="AW1036" i="1"/>
  <c r="AX1036" i="1" s="1"/>
  <c r="AT1036" i="1" s="1"/>
  <c r="AY1036" i="1" s="1"/>
  <c r="AV838" i="1"/>
  <c r="AW837" i="1"/>
  <c r="AX837" i="1" s="1"/>
  <c r="AT837" i="1" s="1"/>
  <c r="AY837" i="1" s="1"/>
  <c r="AW943" i="1"/>
  <c r="AX943" i="1" s="1"/>
  <c r="AT943" i="1" s="1"/>
  <c r="AY943" i="1" s="1"/>
  <c r="AV944" i="1"/>
  <c r="AV878" i="1"/>
  <c r="AW877" i="1"/>
  <c r="AX877" i="1" s="1"/>
  <c r="AT877" i="1" s="1"/>
  <c r="AY877" i="1" s="1"/>
  <c r="AW502" i="1"/>
  <c r="AX502" i="1" s="1"/>
  <c r="AT502" i="1" s="1"/>
  <c r="AY502" i="1" s="1"/>
  <c r="AV503" i="1"/>
  <c r="AV258" i="1"/>
  <c r="AW257" i="1"/>
  <c r="AX257" i="1" s="1"/>
  <c r="AT257" i="1" s="1"/>
  <c r="AY257" i="1" s="1"/>
  <c r="AW50" i="1"/>
  <c r="AX50" i="1" s="1"/>
  <c r="AT50" i="1" s="1"/>
  <c r="AY50" i="1" s="1"/>
  <c r="AV51" i="1"/>
  <c r="AW140" i="1"/>
  <c r="AX140" i="1" s="1"/>
  <c r="AT140" i="1" s="1"/>
  <c r="AY140" i="1" s="1"/>
  <c r="AV141" i="1"/>
  <c r="AW556" i="1"/>
  <c r="AX556" i="1" s="1"/>
  <c r="AT556" i="1" s="1"/>
  <c r="AY556" i="1" s="1"/>
  <c r="AV557" i="1"/>
  <c r="AW925" i="1"/>
  <c r="AX925" i="1" s="1"/>
  <c r="AT925" i="1" s="1"/>
  <c r="AY925" i="1" s="1"/>
  <c r="AV926" i="1"/>
  <c r="AW317" i="1"/>
  <c r="AX317" i="1" s="1"/>
  <c r="AT317" i="1" s="1"/>
  <c r="AY317" i="1" s="1"/>
  <c r="AV318" i="1"/>
  <c r="AW645" i="1"/>
  <c r="AX645" i="1" s="1"/>
  <c r="AT645" i="1" s="1"/>
  <c r="AY645" i="1" s="1"/>
  <c r="AV646" i="1"/>
  <c r="AV183" i="1"/>
  <c r="AW182" i="1"/>
  <c r="AX182" i="1" s="1"/>
  <c r="AT182" i="1" s="1"/>
  <c r="AY182" i="1" s="1"/>
  <c r="AW719" i="1"/>
  <c r="AX719" i="1" s="1"/>
  <c r="AT719" i="1" s="1"/>
  <c r="AY719" i="1" s="1"/>
  <c r="AV720" i="1"/>
  <c r="AW470" i="1"/>
  <c r="AX470" i="1" s="1"/>
  <c r="AT470" i="1" s="1"/>
  <c r="AY470" i="1" s="1"/>
  <c r="AV471" i="1"/>
  <c r="AW973" i="1"/>
  <c r="AX973" i="1" s="1"/>
  <c r="AT973" i="1" s="1"/>
  <c r="AY973" i="1" s="1"/>
  <c r="AV974" i="1"/>
  <c r="AW75" i="1"/>
  <c r="AX75" i="1" s="1"/>
  <c r="AT75" i="1" s="1"/>
  <c r="AY75" i="1" s="1"/>
  <c r="AV76" i="1"/>
  <c r="AW1099" i="1"/>
  <c r="AX1099" i="1" s="1"/>
  <c r="AT1099" i="1" s="1"/>
  <c r="AY1099" i="1" s="1"/>
  <c r="AV1100" i="1"/>
  <c r="AW383" i="1"/>
  <c r="AX383" i="1" s="1"/>
  <c r="AT383" i="1" s="1"/>
  <c r="AY383" i="1" s="1"/>
  <c r="AV384" i="1"/>
  <c r="AV797" i="1"/>
  <c r="AW796" i="1"/>
  <c r="AX796" i="1" s="1"/>
  <c r="AT796" i="1" s="1"/>
  <c r="AY796" i="1" s="1"/>
  <c r="AW412" i="1"/>
  <c r="AX412" i="1" s="1"/>
  <c r="AT412" i="1" s="1"/>
  <c r="AY412" i="1" s="1"/>
  <c r="AV413" i="1"/>
  <c r="AW365" i="1"/>
  <c r="AX365" i="1" s="1"/>
  <c r="AT365" i="1" s="1"/>
  <c r="AY365" i="1" s="1"/>
  <c r="AV366" i="1"/>
  <c r="AW1010" i="1"/>
  <c r="AX1010" i="1" s="1"/>
  <c r="AT1010" i="1" s="1"/>
  <c r="AY1010" i="1" s="1"/>
  <c r="AV1011" i="1"/>
  <c r="AW698" i="1"/>
  <c r="AX698" i="1" s="1"/>
  <c r="AT698" i="1" s="1"/>
  <c r="AY698" i="1" s="1"/>
  <c r="AV699" i="1"/>
  <c r="AW1164" i="1"/>
  <c r="AX1164" i="1" s="1"/>
  <c r="AT1164" i="1" s="1"/>
  <c r="AY1164" i="1" s="1"/>
  <c r="AV1165" i="1"/>
  <c r="AW1165" i="1" s="1"/>
  <c r="AX1165" i="1" s="1"/>
  <c r="AT1165" i="1" s="1"/>
  <c r="AY1165" i="1" s="1"/>
  <c r="AW346" i="1"/>
  <c r="AX346" i="1" s="1"/>
  <c r="AT346" i="1" s="1"/>
  <c r="AY346" i="1" s="1"/>
  <c r="AV347" i="1"/>
  <c r="AW203" i="1"/>
  <c r="AX203" i="1" s="1"/>
  <c r="AT203" i="1" s="1"/>
  <c r="AY203" i="1" s="1"/>
  <c r="AV204" i="1"/>
  <c r="AW442" i="1"/>
  <c r="AX442" i="1" s="1"/>
  <c r="AT442" i="1" s="1"/>
  <c r="AY442" i="1" s="1"/>
  <c r="AV443" i="1"/>
  <c r="AW15" i="1"/>
  <c r="AX15" i="1" s="1"/>
  <c r="AT15" i="1" s="1"/>
  <c r="AY15" i="1" s="1"/>
  <c r="AV16" i="1"/>
  <c r="AW742" i="1"/>
  <c r="AX742" i="1" s="1"/>
  <c r="AT742" i="1" s="1"/>
  <c r="AY742" i="1" s="1"/>
  <c r="AV743" i="1"/>
  <c r="AW699" i="1" l="1"/>
  <c r="AX699" i="1" s="1"/>
  <c r="AT699" i="1" s="1"/>
  <c r="AY699" i="1" s="1"/>
  <c r="AV700" i="1"/>
  <c r="AV1101" i="1"/>
  <c r="AW1101" i="1" s="1"/>
  <c r="AX1101" i="1" s="1"/>
  <c r="AT1101" i="1" s="1"/>
  <c r="AY1101" i="1" s="1"/>
  <c r="AW1100" i="1"/>
  <c r="AX1100" i="1" s="1"/>
  <c r="AT1100" i="1" s="1"/>
  <c r="AY1100" i="1" s="1"/>
  <c r="AW646" i="1"/>
  <c r="AX646" i="1" s="1"/>
  <c r="AT646" i="1" s="1"/>
  <c r="AY646" i="1" s="1"/>
  <c r="AV647" i="1"/>
  <c r="AW609" i="1"/>
  <c r="AX609" i="1" s="1"/>
  <c r="AT609" i="1" s="1"/>
  <c r="AY609" i="1" s="1"/>
  <c r="AV610" i="1"/>
  <c r="AV259" i="1"/>
  <c r="AW258" i="1"/>
  <c r="AX258" i="1" s="1"/>
  <c r="AT258" i="1" s="1"/>
  <c r="AY258" i="1" s="1"/>
  <c r="AW674" i="1"/>
  <c r="AX674" i="1" s="1"/>
  <c r="AT674" i="1" s="1"/>
  <c r="AY674" i="1" s="1"/>
  <c r="AV675" i="1"/>
  <c r="AV17" i="1"/>
  <c r="AW16" i="1"/>
  <c r="AX16" i="1" s="1"/>
  <c r="AT16" i="1" s="1"/>
  <c r="AY16" i="1" s="1"/>
  <c r="AV1012" i="1"/>
  <c r="AW1011" i="1"/>
  <c r="AX1011" i="1" s="1"/>
  <c r="AT1011" i="1" s="1"/>
  <c r="AY1011" i="1" s="1"/>
  <c r="AV77" i="1"/>
  <c r="AW76" i="1"/>
  <c r="AX76" i="1" s="1"/>
  <c r="AT76" i="1" s="1"/>
  <c r="AY76" i="1" s="1"/>
  <c r="AV319" i="1"/>
  <c r="AW318" i="1"/>
  <c r="AX318" i="1" s="1"/>
  <c r="AT318" i="1" s="1"/>
  <c r="AY318" i="1" s="1"/>
  <c r="AV504" i="1"/>
  <c r="AW503" i="1"/>
  <c r="AX503" i="1" s="1"/>
  <c r="AT503" i="1" s="1"/>
  <c r="AY503" i="1" s="1"/>
  <c r="AV107" i="1"/>
  <c r="AW106" i="1"/>
  <c r="AX106" i="1" s="1"/>
  <c r="AT106" i="1" s="1"/>
  <c r="AY106" i="1" s="1"/>
  <c r="AW904" i="1"/>
  <c r="AX904" i="1" s="1"/>
  <c r="AT904" i="1" s="1"/>
  <c r="AY904" i="1" s="1"/>
  <c r="AV905" i="1"/>
  <c r="AV294" i="1"/>
  <c r="AW293" i="1"/>
  <c r="AX293" i="1" s="1"/>
  <c r="AT293" i="1" s="1"/>
  <c r="AY293" i="1" s="1"/>
  <c r="AW130" i="1"/>
  <c r="AX130" i="1" s="1"/>
  <c r="AT130" i="1" s="1"/>
  <c r="AY130" i="1" s="1"/>
  <c r="AV131" i="1"/>
  <c r="AW443" i="1"/>
  <c r="AX443" i="1" s="1"/>
  <c r="AT443" i="1" s="1"/>
  <c r="AY443" i="1" s="1"/>
  <c r="AV444" i="1"/>
  <c r="AV367" i="1"/>
  <c r="AW366" i="1"/>
  <c r="AX366" i="1" s="1"/>
  <c r="AT366" i="1" s="1"/>
  <c r="AY366" i="1" s="1"/>
  <c r="AV975" i="1"/>
  <c r="AW974" i="1"/>
  <c r="AX974" i="1" s="1"/>
  <c r="AT974" i="1" s="1"/>
  <c r="AY974" i="1" s="1"/>
  <c r="AW926" i="1"/>
  <c r="AX926" i="1" s="1"/>
  <c r="AT926" i="1" s="1"/>
  <c r="AY926" i="1" s="1"/>
  <c r="AV927" i="1"/>
  <c r="AV1146" i="1"/>
  <c r="AW1145" i="1"/>
  <c r="AX1145" i="1" s="1"/>
  <c r="AT1145" i="1" s="1"/>
  <c r="AY1145" i="1" s="1"/>
  <c r="AW768" i="1"/>
  <c r="AX768" i="1" s="1"/>
  <c r="AT768" i="1" s="1"/>
  <c r="AY768" i="1" s="1"/>
  <c r="AV769" i="1"/>
  <c r="AW878" i="1"/>
  <c r="AX878" i="1" s="1"/>
  <c r="AT878" i="1" s="1"/>
  <c r="AY878" i="1" s="1"/>
  <c r="AV879" i="1"/>
  <c r="AW204" i="1"/>
  <c r="AX204" i="1" s="1"/>
  <c r="AT204" i="1" s="1"/>
  <c r="AY204" i="1" s="1"/>
  <c r="AV205" i="1"/>
  <c r="AW413" i="1"/>
  <c r="AX413" i="1" s="1"/>
  <c r="AT413" i="1" s="1"/>
  <c r="AY413" i="1" s="1"/>
  <c r="AV414" i="1"/>
  <c r="AW471" i="1"/>
  <c r="AX471" i="1" s="1"/>
  <c r="AT471" i="1" s="1"/>
  <c r="AY471" i="1" s="1"/>
  <c r="AV472" i="1"/>
  <c r="AV558" i="1"/>
  <c r="AW557" i="1"/>
  <c r="AX557" i="1" s="1"/>
  <c r="AT557" i="1" s="1"/>
  <c r="AY557" i="1" s="1"/>
  <c r="AV945" i="1"/>
  <c r="AW944" i="1"/>
  <c r="AX944" i="1" s="1"/>
  <c r="AT944" i="1" s="1"/>
  <c r="AY944" i="1" s="1"/>
  <c r="AV590" i="1"/>
  <c r="AW589" i="1"/>
  <c r="AX589" i="1" s="1"/>
  <c r="AT589" i="1" s="1"/>
  <c r="AY589" i="1" s="1"/>
  <c r="AV171" i="1"/>
  <c r="AW170" i="1"/>
  <c r="AX170" i="1" s="1"/>
  <c r="AT170" i="1" s="1"/>
  <c r="AY170" i="1" s="1"/>
  <c r="AW530" i="1"/>
  <c r="AX530" i="1" s="1"/>
  <c r="AT530" i="1" s="1"/>
  <c r="AY530" i="1" s="1"/>
  <c r="AV531" i="1"/>
  <c r="AW743" i="1"/>
  <c r="AX743" i="1" s="1"/>
  <c r="AT743" i="1" s="1"/>
  <c r="AY743" i="1" s="1"/>
  <c r="AV744" i="1"/>
  <c r="AW347" i="1"/>
  <c r="AX347" i="1" s="1"/>
  <c r="AT347" i="1" s="1"/>
  <c r="AY347" i="1" s="1"/>
  <c r="AV348" i="1"/>
  <c r="AW720" i="1"/>
  <c r="AX720" i="1" s="1"/>
  <c r="AT720" i="1" s="1"/>
  <c r="AY720" i="1" s="1"/>
  <c r="AV721" i="1"/>
  <c r="AV142" i="1"/>
  <c r="AW141" i="1"/>
  <c r="AX141" i="1" s="1"/>
  <c r="AT141" i="1" s="1"/>
  <c r="AY141" i="1" s="1"/>
  <c r="AV223" i="1"/>
  <c r="AW222" i="1"/>
  <c r="AX222" i="1" s="1"/>
  <c r="AT222" i="1" s="1"/>
  <c r="AY222" i="1" s="1"/>
  <c r="AV1176" i="1"/>
  <c r="AW1175" i="1"/>
  <c r="AX1175" i="1" s="1"/>
  <c r="AT1175" i="1" s="1"/>
  <c r="AY1175" i="1" s="1"/>
  <c r="AW797" i="1"/>
  <c r="AX797" i="1" s="1"/>
  <c r="AT797" i="1" s="1"/>
  <c r="AY797" i="1" s="1"/>
  <c r="AV798" i="1"/>
  <c r="AV839" i="1"/>
  <c r="AW839" i="1" s="1"/>
  <c r="AX839" i="1" s="1"/>
  <c r="AT839" i="1" s="1"/>
  <c r="AY839" i="1" s="1"/>
  <c r="AW838" i="1"/>
  <c r="AX838" i="1" s="1"/>
  <c r="AT838" i="1" s="1"/>
  <c r="AY838" i="1" s="1"/>
  <c r="AV1062" i="1"/>
  <c r="AW1061" i="1"/>
  <c r="AX1061" i="1" s="1"/>
  <c r="AT1061" i="1" s="1"/>
  <c r="AY1061" i="1" s="1"/>
  <c r="AV385" i="1"/>
  <c r="AW384" i="1"/>
  <c r="AX384" i="1" s="1"/>
  <c r="AT384" i="1" s="1"/>
  <c r="AY384" i="1" s="1"/>
  <c r="AW51" i="1"/>
  <c r="AX51" i="1" s="1"/>
  <c r="AT51" i="1" s="1"/>
  <c r="AY51" i="1" s="1"/>
  <c r="AV52" i="1"/>
  <c r="AW236" i="1"/>
  <c r="AX236" i="1" s="1"/>
  <c r="AT236" i="1" s="1"/>
  <c r="AY236" i="1" s="1"/>
  <c r="AV237" i="1"/>
  <c r="AV184" i="1"/>
  <c r="AW183" i="1"/>
  <c r="AX183" i="1" s="1"/>
  <c r="AT183" i="1" s="1"/>
  <c r="AY183" i="1" s="1"/>
  <c r="AV1038" i="1"/>
  <c r="AW1037" i="1"/>
  <c r="AX1037" i="1" s="1"/>
  <c r="AT1037" i="1" s="1"/>
  <c r="AY1037" i="1" s="1"/>
  <c r="AW815" i="1"/>
  <c r="AX815" i="1" s="1"/>
  <c r="AT815" i="1" s="1"/>
  <c r="AY815" i="1" s="1"/>
  <c r="AV816" i="1"/>
  <c r="AV238" i="1" l="1"/>
  <c r="AW238" i="1" s="1"/>
  <c r="AX238" i="1" s="1"/>
  <c r="AT238" i="1" s="1"/>
  <c r="AY238" i="1" s="1"/>
  <c r="AW237" i="1"/>
  <c r="AX237" i="1" s="1"/>
  <c r="AT237" i="1" s="1"/>
  <c r="AY237" i="1" s="1"/>
  <c r="AV532" i="1"/>
  <c r="AW531" i="1"/>
  <c r="AX531" i="1" s="1"/>
  <c r="AT531" i="1" s="1"/>
  <c r="AY531" i="1" s="1"/>
  <c r="AW414" i="1"/>
  <c r="AX414" i="1" s="1"/>
  <c r="AT414" i="1" s="1"/>
  <c r="AY414" i="1" s="1"/>
  <c r="AV415" i="1"/>
  <c r="AW675" i="1"/>
  <c r="AX675" i="1" s="1"/>
  <c r="AT675" i="1" s="1"/>
  <c r="AY675" i="1" s="1"/>
  <c r="AV676" i="1"/>
  <c r="AW205" i="1"/>
  <c r="AX205" i="1" s="1"/>
  <c r="AT205" i="1" s="1"/>
  <c r="AY205" i="1" s="1"/>
  <c r="AV206" i="1"/>
  <c r="AW223" i="1"/>
  <c r="AX223" i="1" s="1"/>
  <c r="AT223" i="1" s="1"/>
  <c r="AY223" i="1" s="1"/>
  <c r="AV224" i="1"/>
  <c r="AV172" i="1"/>
  <c r="AW171" i="1"/>
  <c r="AX171" i="1" s="1"/>
  <c r="AT171" i="1" s="1"/>
  <c r="AY171" i="1" s="1"/>
  <c r="AV368" i="1"/>
  <c r="AW367" i="1"/>
  <c r="AX367" i="1" s="1"/>
  <c r="AT367" i="1" s="1"/>
  <c r="AY367" i="1" s="1"/>
  <c r="AW504" i="1"/>
  <c r="AX504" i="1" s="1"/>
  <c r="AT504" i="1" s="1"/>
  <c r="AY504" i="1" s="1"/>
  <c r="AV505" i="1"/>
  <c r="AW259" i="1"/>
  <c r="AX259" i="1" s="1"/>
  <c r="AT259" i="1" s="1"/>
  <c r="AY259" i="1" s="1"/>
  <c r="AV260" i="1"/>
  <c r="AV53" i="1"/>
  <c r="AW52" i="1"/>
  <c r="AX52" i="1" s="1"/>
  <c r="AT52" i="1" s="1"/>
  <c r="AY52" i="1" s="1"/>
  <c r="AW879" i="1"/>
  <c r="AX879" i="1" s="1"/>
  <c r="AT879" i="1" s="1"/>
  <c r="AY879" i="1" s="1"/>
  <c r="AV880" i="1"/>
  <c r="AV445" i="1"/>
  <c r="AW444" i="1"/>
  <c r="AX444" i="1" s="1"/>
  <c r="AT444" i="1" s="1"/>
  <c r="AY444" i="1" s="1"/>
  <c r="AV611" i="1"/>
  <c r="AW610" i="1"/>
  <c r="AX610" i="1" s="1"/>
  <c r="AT610" i="1" s="1"/>
  <c r="AY610" i="1" s="1"/>
  <c r="AV386" i="1"/>
  <c r="AW385" i="1"/>
  <c r="AX385" i="1" s="1"/>
  <c r="AT385" i="1" s="1"/>
  <c r="AY385" i="1" s="1"/>
  <c r="AV143" i="1"/>
  <c r="AW142" i="1"/>
  <c r="AX142" i="1" s="1"/>
  <c r="AT142" i="1" s="1"/>
  <c r="AY142" i="1" s="1"/>
  <c r="AW590" i="1"/>
  <c r="AX590" i="1" s="1"/>
  <c r="AT590" i="1" s="1"/>
  <c r="AY590" i="1" s="1"/>
  <c r="AV591" i="1"/>
  <c r="AW319" i="1"/>
  <c r="AX319" i="1" s="1"/>
  <c r="AT319" i="1" s="1"/>
  <c r="AY319" i="1" s="1"/>
  <c r="AV320" i="1"/>
  <c r="AW1176" i="1"/>
  <c r="AX1176" i="1" s="1"/>
  <c r="AT1176" i="1" s="1"/>
  <c r="AY1176" i="1" s="1"/>
  <c r="AV1177" i="1"/>
  <c r="AV976" i="1"/>
  <c r="AW975" i="1"/>
  <c r="AX975" i="1" s="1"/>
  <c r="AT975" i="1" s="1"/>
  <c r="AY975" i="1" s="1"/>
  <c r="AV722" i="1"/>
  <c r="AW721" i="1"/>
  <c r="AX721" i="1" s="1"/>
  <c r="AT721" i="1" s="1"/>
  <c r="AY721" i="1" s="1"/>
  <c r="AV770" i="1"/>
  <c r="AW769" i="1"/>
  <c r="AX769" i="1" s="1"/>
  <c r="AT769" i="1" s="1"/>
  <c r="AY769" i="1" s="1"/>
  <c r="AV132" i="1"/>
  <c r="AW132" i="1" s="1"/>
  <c r="AX132" i="1" s="1"/>
  <c r="AT132" i="1" s="1"/>
  <c r="AY132" i="1" s="1"/>
  <c r="AW131" i="1"/>
  <c r="AX131" i="1" s="1"/>
  <c r="AT131" i="1" s="1"/>
  <c r="AY131" i="1" s="1"/>
  <c r="AV648" i="1"/>
  <c r="AW647" i="1"/>
  <c r="AX647" i="1" s="1"/>
  <c r="AT647" i="1" s="1"/>
  <c r="AY647" i="1" s="1"/>
  <c r="AV108" i="1"/>
  <c r="AW107" i="1"/>
  <c r="AX107" i="1" s="1"/>
  <c r="AT107" i="1" s="1"/>
  <c r="AY107" i="1" s="1"/>
  <c r="AW816" i="1"/>
  <c r="AX816" i="1" s="1"/>
  <c r="AT816" i="1" s="1"/>
  <c r="AY816" i="1" s="1"/>
  <c r="AV817" i="1"/>
  <c r="AW817" i="1" s="1"/>
  <c r="AX817" i="1" s="1"/>
  <c r="AT817" i="1" s="1"/>
  <c r="AY817" i="1" s="1"/>
  <c r="AW945" i="1"/>
  <c r="AX945" i="1" s="1"/>
  <c r="AT945" i="1" s="1"/>
  <c r="AY945" i="1" s="1"/>
  <c r="AV946" i="1"/>
  <c r="AV78" i="1"/>
  <c r="AW77" i="1"/>
  <c r="AX77" i="1" s="1"/>
  <c r="AT77" i="1" s="1"/>
  <c r="AY77" i="1" s="1"/>
  <c r="AV1039" i="1"/>
  <c r="AW1038" i="1"/>
  <c r="AX1038" i="1" s="1"/>
  <c r="AT1038" i="1" s="1"/>
  <c r="AY1038" i="1" s="1"/>
  <c r="AW558" i="1"/>
  <c r="AX558" i="1" s="1"/>
  <c r="AT558" i="1" s="1"/>
  <c r="AY558" i="1" s="1"/>
  <c r="AV559" i="1"/>
  <c r="AW1146" i="1"/>
  <c r="AX1146" i="1" s="1"/>
  <c r="AT1146" i="1" s="1"/>
  <c r="AY1146" i="1" s="1"/>
  <c r="AV1147" i="1"/>
  <c r="AW1147" i="1" s="1"/>
  <c r="AX1147" i="1" s="1"/>
  <c r="AT1147" i="1" s="1"/>
  <c r="AY1147" i="1" s="1"/>
  <c r="AV295" i="1"/>
  <c r="AW294" i="1"/>
  <c r="AX294" i="1" s="1"/>
  <c r="AT294" i="1" s="1"/>
  <c r="AY294" i="1" s="1"/>
  <c r="AW1012" i="1"/>
  <c r="AX1012" i="1" s="1"/>
  <c r="AT1012" i="1" s="1"/>
  <c r="AY1012" i="1" s="1"/>
  <c r="AV1013" i="1"/>
  <c r="AV1063" i="1"/>
  <c r="AW1062" i="1"/>
  <c r="AX1062" i="1" s="1"/>
  <c r="AT1062" i="1" s="1"/>
  <c r="AY1062" i="1" s="1"/>
  <c r="AV349" i="1"/>
  <c r="AW348" i="1"/>
  <c r="AX348" i="1" s="1"/>
  <c r="AT348" i="1" s="1"/>
  <c r="AY348" i="1" s="1"/>
  <c r="AW798" i="1"/>
  <c r="AX798" i="1" s="1"/>
  <c r="AT798" i="1" s="1"/>
  <c r="AY798" i="1" s="1"/>
  <c r="AV799" i="1"/>
  <c r="AW744" i="1"/>
  <c r="AX744" i="1" s="1"/>
  <c r="AT744" i="1" s="1"/>
  <c r="AY744" i="1" s="1"/>
  <c r="AV745" i="1"/>
  <c r="AW472" i="1"/>
  <c r="AX472" i="1" s="1"/>
  <c r="AT472" i="1" s="1"/>
  <c r="AY472" i="1" s="1"/>
  <c r="AV473" i="1"/>
  <c r="AW927" i="1"/>
  <c r="AX927" i="1" s="1"/>
  <c r="AT927" i="1" s="1"/>
  <c r="AY927" i="1" s="1"/>
  <c r="AV928" i="1"/>
  <c r="AV906" i="1"/>
  <c r="AW905" i="1"/>
  <c r="AX905" i="1" s="1"/>
  <c r="AT905" i="1" s="1"/>
  <c r="AY905" i="1" s="1"/>
  <c r="AW700" i="1"/>
  <c r="AX700" i="1" s="1"/>
  <c r="AT700" i="1" s="1"/>
  <c r="AY700" i="1" s="1"/>
  <c r="AV701" i="1"/>
  <c r="AV185" i="1"/>
  <c r="AW185" i="1" s="1"/>
  <c r="AX185" i="1" s="1"/>
  <c r="AT185" i="1" s="1"/>
  <c r="AY185" i="1" s="1"/>
  <c r="AW184" i="1"/>
  <c r="AX184" i="1" s="1"/>
  <c r="AT184" i="1" s="1"/>
  <c r="AY184" i="1" s="1"/>
  <c r="AV18" i="1"/>
  <c r="AW17" i="1"/>
  <c r="AX17" i="1" s="1"/>
  <c r="AT17" i="1" s="1"/>
  <c r="AY17" i="1" s="1"/>
  <c r="AW591" i="1" l="1"/>
  <c r="AX591" i="1" s="1"/>
  <c r="AT591" i="1" s="1"/>
  <c r="AY591" i="1" s="1"/>
  <c r="AV592" i="1"/>
  <c r="AV207" i="1"/>
  <c r="AW206" i="1"/>
  <c r="AX206" i="1" s="1"/>
  <c r="AT206" i="1" s="1"/>
  <c r="AY206" i="1" s="1"/>
  <c r="AW1039" i="1"/>
  <c r="AX1039" i="1" s="1"/>
  <c r="AT1039" i="1" s="1"/>
  <c r="AY1039" i="1" s="1"/>
  <c r="AV1040" i="1"/>
  <c r="AW1040" i="1" s="1"/>
  <c r="AX1040" i="1" s="1"/>
  <c r="AT1040" i="1" s="1"/>
  <c r="AY1040" i="1" s="1"/>
  <c r="AW53" i="1"/>
  <c r="AX53" i="1" s="1"/>
  <c r="AT53" i="1" s="1"/>
  <c r="AY53" i="1" s="1"/>
  <c r="AV54" i="1"/>
  <c r="AW260" i="1"/>
  <c r="AX260" i="1" s="1"/>
  <c r="AT260" i="1" s="1"/>
  <c r="AY260" i="1" s="1"/>
  <c r="AV261" i="1"/>
  <c r="AW676" i="1"/>
  <c r="AX676" i="1" s="1"/>
  <c r="AT676" i="1" s="1"/>
  <c r="AY676" i="1" s="1"/>
  <c r="AV677" i="1"/>
  <c r="AV560" i="1"/>
  <c r="AW559" i="1"/>
  <c r="AX559" i="1" s="1"/>
  <c r="AT559" i="1" s="1"/>
  <c r="AY559" i="1" s="1"/>
  <c r="AV350" i="1"/>
  <c r="AW350" i="1" s="1"/>
  <c r="AX350" i="1" s="1"/>
  <c r="AT350" i="1" s="1"/>
  <c r="AY350" i="1" s="1"/>
  <c r="AW349" i="1"/>
  <c r="AX349" i="1" s="1"/>
  <c r="AT349" i="1" s="1"/>
  <c r="AY349" i="1" s="1"/>
  <c r="AW906" i="1"/>
  <c r="AX906" i="1" s="1"/>
  <c r="AT906" i="1" s="1"/>
  <c r="AY906" i="1" s="1"/>
  <c r="AV907" i="1"/>
  <c r="AW1063" i="1"/>
  <c r="AX1063" i="1" s="1"/>
  <c r="AT1063" i="1" s="1"/>
  <c r="AY1063" i="1" s="1"/>
  <c r="AV1064" i="1"/>
  <c r="AW1064" i="1" s="1"/>
  <c r="AX1064" i="1" s="1"/>
  <c r="AT1064" i="1" s="1"/>
  <c r="AY1064" i="1" s="1"/>
  <c r="AV79" i="1"/>
  <c r="AW79" i="1" s="1"/>
  <c r="AX79" i="1" s="1"/>
  <c r="AT79" i="1" s="1"/>
  <c r="AY79" i="1" s="1"/>
  <c r="AW78" i="1"/>
  <c r="AX78" i="1" s="1"/>
  <c r="AT78" i="1" s="1"/>
  <c r="AY78" i="1" s="1"/>
  <c r="AW770" i="1"/>
  <c r="AX770" i="1" s="1"/>
  <c r="AT770" i="1" s="1"/>
  <c r="AY770" i="1" s="1"/>
  <c r="AV771" i="1"/>
  <c r="AV144" i="1"/>
  <c r="AW143" i="1"/>
  <c r="AX143" i="1" s="1"/>
  <c r="AT143" i="1" s="1"/>
  <c r="AY143" i="1" s="1"/>
  <c r="AW701" i="1"/>
  <c r="AX701" i="1" s="1"/>
  <c r="AT701" i="1" s="1"/>
  <c r="AY701" i="1" s="1"/>
  <c r="AV702" i="1"/>
  <c r="AW928" i="1"/>
  <c r="AX928" i="1" s="1"/>
  <c r="AT928" i="1" s="1"/>
  <c r="AY928" i="1" s="1"/>
  <c r="AV929" i="1"/>
  <c r="AV1014" i="1"/>
  <c r="AW1013" i="1"/>
  <c r="AX1013" i="1" s="1"/>
  <c r="AT1013" i="1" s="1"/>
  <c r="AY1013" i="1" s="1"/>
  <c r="AW946" i="1"/>
  <c r="AX946" i="1" s="1"/>
  <c r="AT946" i="1" s="1"/>
  <c r="AY946" i="1" s="1"/>
  <c r="AV947" i="1"/>
  <c r="AV506" i="1"/>
  <c r="AW505" i="1"/>
  <c r="AX505" i="1" s="1"/>
  <c r="AT505" i="1" s="1"/>
  <c r="AY505" i="1" s="1"/>
  <c r="AV416" i="1"/>
  <c r="AW415" i="1"/>
  <c r="AX415" i="1" s="1"/>
  <c r="AT415" i="1" s="1"/>
  <c r="AY415" i="1" s="1"/>
  <c r="AW722" i="1"/>
  <c r="AX722" i="1" s="1"/>
  <c r="AT722" i="1" s="1"/>
  <c r="AY722" i="1" s="1"/>
  <c r="AV723" i="1"/>
  <c r="AV387" i="1"/>
  <c r="AW386" i="1"/>
  <c r="AX386" i="1" s="1"/>
  <c r="AT386" i="1" s="1"/>
  <c r="AY386" i="1" s="1"/>
  <c r="AW224" i="1"/>
  <c r="AX224" i="1" s="1"/>
  <c r="AT224" i="1" s="1"/>
  <c r="AY224" i="1" s="1"/>
  <c r="AV225" i="1"/>
  <c r="AV474" i="1"/>
  <c r="AW473" i="1"/>
  <c r="AX473" i="1" s="1"/>
  <c r="AT473" i="1" s="1"/>
  <c r="AY473" i="1" s="1"/>
  <c r="AW295" i="1"/>
  <c r="AX295" i="1" s="1"/>
  <c r="AT295" i="1" s="1"/>
  <c r="AY295" i="1" s="1"/>
  <c r="AV296" i="1"/>
  <c r="AW976" i="1"/>
  <c r="AX976" i="1" s="1"/>
  <c r="AT976" i="1" s="1"/>
  <c r="AY976" i="1" s="1"/>
  <c r="AV977" i="1"/>
  <c r="AW611" i="1"/>
  <c r="AX611" i="1" s="1"/>
  <c r="AT611" i="1" s="1"/>
  <c r="AY611" i="1" s="1"/>
  <c r="AV612" i="1"/>
  <c r="AV369" i="1"/>
  <c r="AW368" i="1"/>
  <c r="AX368" i="1" s="1"/>
  <c r="AT368" i="1" s="1"/>
  <c r="AY368" i="1" s="1"/>
  <c r="AW532" i="1"/>
  <c r="AX532" i="1" s="1"/>
  <c r="AT532" i="1" s="1"/>
  <c r="AY532" i="1" s="1"/>
  <c r="AV533" i="1"/>
  <c r="AW799" i="1"/>
  <c r="AX799" i="1" s="1"/>
  <c r="AT799" i="1" s="1"/>
  <c r="AY799" i="1" s="1"/>
  <c r="AV800" i="1"/>
  <c r="AV321" i="1"/>
  <c r="AW321" i="1" s="1"/>
  <c r="AX321" i="1" s="1"/>
  <c r="AT321" i="1" s="1"/>
  <c r="AY321" i="1" s="1"/>
  <c r="AW320" i="1"/>
  <c r="AX320" i="1" s="1"/>
  <c r="AT320" i="1" s="1"/>
  <c r="AY320" i="1" s="1"/>
  <c r="AV881" i="1"/>
  <c r="AW880" i="1"/>
  <c r="AX880" i="1" s="1"/>
  <c r="AT880" i="1" s="1"/>
  <c r="AY880" i="1" s="1"/>
  <c r="AW648" i="1"/>
  <c r="AX648" i="1" s="1"/>
  <c r="AT648" i="1" s="1"/>
  <c r="AY648" i="1" s="1"/>
  <c r="AV649" i="1"/>
  <c r="AW1177" i="1"/>
  <c r="AX1177" i="1" s="1"/>
  <c r="AT1177" i="1" s="1"/>
  <c r="AY1177" i="1" s="1"/>
  <c r="AV1178" i="1"/>
  <c r="AV746" i="1"/>
  <c r="AW745" i="1"/>
  <c r="AX745" i="1" s="1"/>
  <c r="AT745" i="1" s="1"/>
  <c r="AY745" i="1" s="1"/>
  <c r="AV19" i="1"/>
  <c r="AW19" i="1" s="1"/>
  <c r="AX19" i="1" s="1"/>
  <c r="AT19" i="1" s="1"/>
  <c r="AY19" i="1" s="1"/>
  <c r="AW18" i="1"/>
  <c r="AX18" i="1" s="1"/>
  <c r="AT18" i="1" s="1"/>
  <c r="AY18" i="1" s="1"/>
  <c r="AV109" i="1"/>
  <c r="AW109" i="1" s="1"/>
  <c r="AX109" i="1" s="1"/>
  <c r="AT109" i="1" s="1"/>
  <c r="AY109" i="1" s="1"/>
  <c r="AW108" i="1"/>
  <c r="AX108" i="1" s="1"/>
  <c r="AT108" i="1" s="1"/>
  <c r="AY108" i="1" s="1"/>
  <c r="AV446" i="1"/>
  <c r="AW445" i="1"/>
  <c r="AX445" i="1" s="1"/>
  <c r="AT445" i="1" s="1"/>
  <c r="AY445" i="1" s="1"/>
  <c r="AW172" i="1"/>
  <c r="AX172" i="1" s="1"/>
  <c r="AT172" i="1" s="1"/>
  <c r="AY172" i="1" s="1"/>
  <c r="AV173" i="1"/>
  <c r="AW173" i="1" s="1"/>
  <c r="AX173" i="1" s="1"/>
  <c r="AT173" i="1" s="1"/>
  <c r="AY173" i="1" s="1"/>
  <c r="AW800" i="1" l="1"/>
  <c r="AX800" i="1" s="1"/>
  <c r="AT800" i="1" s="1"/>
  <c r="AY800" i="1" s="1"/>
  <c r="AV801" i="1"/>
  <c r="AV948" i="1"/>
  <c r="AW947" i="1"/>
  <c r="AX947" i="1" s="1"/>
  <c r="AT947" i="1" s="1"/>
  <c r="AY947" i="1" s="1"/>
  <c r="AW261" i="1"/>
  <c r="AX261" i="1" s="1"/>
  <c r="AT261" i="1" s="1"/>
  <c r="AY261" i="1" s="1"/>
  <c r="AV262" i="1"/>
  <c r="AW474" i="1"/>
  <c r="AX474" i="1" s="1"/>
  <c r="AT474" i="1" s="1"/>
  <c r="AY474" i="1" s="1"/>
  <c r="AV475" i="1"/>
  <c r="AV534" i="1"/>
  <c r="AW533" i="1"/>
  <c r="AX533" i="1" s="1"/>
  <c r="AT533" i="1" s="1"/>
  <c r="AY533" i="1" s="1"/>
  <c r="AV226" i="1"/>
  <c r="AW226" i="1" s="1"/>
  <c r="AX226" i="1" s="1"/>
  <c r="AT226" i="1" s="1"/>
  <c r="AY226" i="1" s="1"/>
  <c r="AW225" i="1"/>
  <c r="AX225" i="1" s="1"/>
  <c r="AT225" i="1" s="1"/>
  <c r="AY225" i="1" s="1"/>
  <c r="AV55" i="1"/>
  <c r="AW54" i="1"/>
  <c r="AX54" i="1" s="1"/>
  <c r="AT54" i="1" s="1"/>
  <c r="AY54" i="1" s="1"/>
  <c r="AV678" i="1"/>
  <c r="AW677" i="1"/>
  <c r="AX677" i="1" s="1"/>
  <c r="AT677" i="1" s="1"/>
  <c r="AY677" i="1" s="1"/>
  <c r="AV1015" i="1"/>
  <c r="AW1014" i="1"/>
  <c r="AX1014" i="1" s="1"/>
  <c r="AT1014" i="1" s="1"/>
  <c r="AY1014" i="1" s="1"/>
  <c r="AW746" i="1"/>
  <c r="AX746" i="1" s="1"/>
  <c r="AT746" i="1" s="1"/>
  <c r="AY746" i="1" s="1"/>
  <c r="AV747" i="1"/>
  <c r="AW747" i="1" s="1"/>
  <c r="AX747" i="1" s="1"/>
  <c r="AT747" i="1" s="1"/>
  <c r="AY747" i="1" s="1"/>
  <c r="AW1178" i="1"/>
  <c r="AX1178" i="1" s="1"/>
  <c r="AT1178" i="1" s="1"/>
  <c r="AY1178" i="1" s="1"/>
  <c r="AV1179" i="1"/>
  <c r="AW1179" i="1" s="1"/>
  <c r="AX1179" i="1" s="1"/>
  <c r="AT1179" i="1" s="1"/>
  <c r="AY1179" i="1" s="1"/>
  <c r="AV930" i="1"/>
  <c r="AW929" i="1"/>
  <c r="AX929" i="1" s="1"/>
  <c r="AT929" i="1" s="1"/>
  <c r="AY929" i="1" s="1"/>
  <c r="AW907" i="1"/>
  <c r="AX907" i="1" s="1"/>
  <c r="AT907" i="1" s="1"/>
  <c r="AY907" i="1" s="1"/>
  <c r="AV908" i="1"/>
  <c r="AV297" i="1"/>
  <c r="AW297" i="1" s="1"/>
  <c r="AX297" i="1" s="1"/>
  <c r="AT297" i="1" s="1"/>
  <c r="AY297" i="1" s="1"/>
  <c r="AW296" i="1"/>
  <c r="AX296" i="1" s="1"/>
  <c r="AT296" i="1" s="1"/>
  <c r="AY296" i="1" s="1"/>
  <c r="AV772" i="1"/>
  <c r="AW771" i="1"/>
  <c r="AX771" i="1" s="1"/>
  <c r="AT771" i="1" s="1"/>
  <c r="AY771" i="1" s="1"/>
  <c r="AW369" i="1"/>
  <c r="AX369" i="1" s="1"/>
  <c r="AT369" i="1" s="1"/>
  <c r="AY369" i="1" s="1"/>
  <c r="AV370" i="1"/>
  <c r="AW370" i="1" s="1"/>
  <c r="AX370" i="1" s="1"/>
  <c r="AT370" i="1" s="1"/>
  <c r="AY370" i="1" s="1"/>
  <c r="AW387" i="1"/>
  <c r="AX387" i="1" s="1"/>
  <c r="AT387" i="1" s="1"/>
  <c r="AY387" i="1" s="1"/>
  <c r="AV388" i="1"/>
  <c r="AW506" i="1"/>
  <c r="AX506" i="1" s="1"/>
  <c r="AT506" i="1" s="1"/>
  <c r="AY506" i="1" s="1"/>
  <c r="AV507" i="1"/>
  <c r="AW507" i="1" s="1"/>
  <c r="AX507" i="1" s="1"/>
  <c r="AT507" i="1" s="1"/>
  <c r="AY507" i="1" s="1"/>
  <c r="AW649" i="1"/>
  <c r="AX649" i="1" s="1"/>
  <c r="AT649" i="1" s="1"/>
  <c r="AY649" i="1" s="1"/>
  <c r="AV650" i="1"/>
  <c r="AW612" i="1"/>
  <c r="AX612" i="1" s="1"/>
  <c r="AT612" i="1" s="1"/>
  <c r="AY612" i="1" s="1"/>
  <c r="AV613" i="1"/>
  <c r="AW723" i="1"/>
  <c r="AX723" i="1" s="1"/>
  <c r="AT723" i="1" s="1"/>
  <c r="AY723" i="1" s="1"/>
  <c r="AV724" i="1"/>
  <c r="AW702" i="1"/>
  <c r="AX702" i="1" s="1"/>
  <c r="AT702" i="1" s="1"/>
  <c r="AY702" i="1" s="1"/>
  <c r="AV703" i="1"/>
  <c r="AW703" i="1" s="1"/>
  <c r="AX703" i="1" s="1"/>
  <c r="AT703" i="1" s="1"/>
  <c r="AY703" i="1" s="1"/>
  <c r="AV208" i="1"/>
  <c r="AW208" i="1" s="1"/>
  <c r="AX208" i="1" s="1"/>
  <c r="AT208" i="1" s="1"/>
  <c r="AY208" i="1" s="1"/>
  <c r="AW207" i="1"/>
  <c r="AX207" i="1" s="1"/>
  <c r="AT207" i="1" s="1"/>
  <c r="AY207" i="1" s="1"/>
  <c r="AV978" i="1"/>
  <c r="AW977" i="1"/>
  <c r="AX977" i="1" s="1"/>
  <c r="AT977" i="1" s="1"/>
  <c r="AY977" i="1" s="1"/>
  <c r="AW592" i="1"/>
  <c r="AX592" i="1" s="1"/>
  <c r="AT592" i="1" s="1"/>
  <c r="AY592" i="1" s="1"/>
  <c r="AV593" i="1"/>
  <c r="AW446" i="1"/>
  <c r="AX446" i="1" s="1"/>
  <c r="AT446" i="1" s="1"/>
  <c r="AY446" i="1" s="1"/>
  <c r="AV447" i="1"/>
  <c r="AV882" i="1"/>
  <c r="AW882" i="1" s="1"/>
  <c r="AX882" i="1" s="1"/>
  <c r="AT882" i="1" s="1"/>
  <c r="AY882" i="1" s="1"/>
  <c r="AW881" i="1"/>
  <c r="AX881" i="1" s="1"/>
  <c r="AT881" i="1" s="1"/>
  <c r="AY881" i="1" s="1"/>
  <c r="AV417" i="1"/>
  <c r="AW416" i="1"/>
  <c r="AX416" i="1" s="1"/>
  <c r="AT416" i="1" s="1"/>
  <c r="AY416" i="1" s="1"/>
  <c r="AW144" i="1"/>
  <c r="AX144" i="1" s="1"/>
  <c r="AT144" i="1" s="1"/>
  <c r="AY144" i="1" s="1"/>
  <c r="AV145" i="1"/>
  <c r="AW560" i="1"/>
  <c r="AX560" i="1" s="1"/>
  <c r="AT560" i="1" s="1"/>
  <c r="AY560" i="1" s="1"/>
  <c r="AV561" i="1"/>
  <c r="AV389" i="1" l="1"/>
  <c r="AW388" i="1"/>
  <c r="AX388" i="1" s="1"/>
  <c r="AT388" i="1" s="1"/>
  <c r="AY388" i="1" s="1"/>
  <c r="AW145" i="1"/>
  <c r="AX145" i="1" s="1"/>
  <c r="AT145" i="1" s="1"/>
  <c r="AY145" i="1" s="1"/>
  <c r="AV146" i="1"/>
  <c r="AW534" i="1"/>
  <c r="AX534" i="1" s="1"/>
  <c r="AT534" i="1" s="1"/>
  <c r="AY534" i="1" s="1"/>
  <c r="AV535" i="1"/>
  <c r="AV476" i="1"/>
  <c r="AW476" i="1" s="1"/>
  <c r="AX476" i="1" s="1"/>
  <c r="AT476" i="1" s="1"/>
  <c r="AY476" i="1" s="1"/>
  <c r="AW475" i="1"/>
  <c r="AX475" i="1" s="1"/>
  <c r="AT475" i="1" s="1"/>
  <c r="AY475" i="1" s="1"/>
  <c r="AV418" i="1"/>
  <c r="AW417" i="1"/>
  <c r="AX417" i="1" s="1"/>
  <c r="AT417" i="1" s="1"/>
  <c r="AY417" i="1" s="1"/>
  <c r="AW262" i="1"/>
  <c r="AX262" i="1" s="1"/>
  <c r="AT262" i="1" s="1"/>
  <c r="AY262" i="1" s="1"/>
  <c r="AV263" i="1"/>
  <c r="AW263" i="1" s="1"/>
  <c r="AX263" i="1" s="1"/>
  <c r="AT263" i="1" s="1"/>
  <c r="AY263" i="1" s="1"/>
  <c r="AW772" i="1"/>
  <c r="AX772" i="1" s="1"/>
  <c r="AT772" i="1" s="1"/>
  <c r="AY772" i="1" s="1"/>
  <c r="AV773" i="1"/>
  <c r="AW1015" i="1"/>
  <c r="AX1015" i="1" s="1"/>
  <c r="AT1015" i="1" s="1"/>
  <c r="AY1015" i="1" s="1"/>
  <c r="AV1016" i="1"/>
  <c r="AW1016" i="1" s="1"/>
  <c r="AX1016" i="1" s="1"/>
  <c r="AT1016" i="1" s="1"/>
  <c r="AY1016" i="1" s="1"/>
  <c r="AW978" i="1"/>
  <c r="AX978" i="1" s="1"/>
  <c r="AT978" i="1" s="1"/>
  <c r="AY978" i="1" s="1"/>
  <c r="AV979" i="1"/>
  <c r="AW930" i="1"/>
  <c r="AX930" i="1" s="1"/>
  <c r="AT930" i="1" s="1"/>
  <c r="AY930" i="1" s="1"/>
  <c r="AV931" i="1"/>
  <c r="AW724" i="1"/>
  <c r="AX724" i="1" s="1"/>
  <c r="AT724" i="1" s="1"/>
  <c r="AY724" i="1" s="1"/>
  <c r="AV725" i="1"/>
  <c r="AV562" i="1"/>
  <c r="AW561" i="1"/>
  <c r="AX561" i="1" s="1"/>
  <c r="AT561" i="1" s="1"/>
  <c r="AY561" i="1" s="1"/>
  <c r="AW447" i="1"/>
  <c r="AX447" i="1" s="1"/>
  <c r="AT447" i="1" s="1"/>
  <c r="AY447" i="1" s="1"/>
  <c r="AV448" i="1"/>
  <c r="AV614" i="1"/>
  <c r="AW613" i="1"/>
  <c r="AX613" i="1" s="1"/>
  <c r="AT613" i="1" s="1"/>
  <c r="AY613" i="1" s="1"/>
  <c r="AW678" i="1"/>
  <c r="AX678" i="1" s="1"/>
  <c r="AT678" i="1" s="1"/>
  <c r="AY678" i="1" s="1"/>
  <c r="AV679" i="1"/>
  <c r="AW948" i="1"/>
  <c r="AX948" i="1" s="1"/>
  <c r="AT948" i="1" s="1"/>
  <c r="AY948" i="1" s="1"/>
  <c r="AV949" i="1"/>
  <c r="AW593" i="1"/>
  <c r="AX593" i="1" s="1"/>
  <c r="AT593" i="1" s="1"/>
  <c r="AY593" i="1" s="1"/>
  <c r="AV594" i="1"/>
  <c r="AW650" i="1"/>
  <c r="AX650" i="1" s="1"/>
  <c r="AT650" i="1" s="1"/>
  <c r="AY650" i="1" s="1"/>
  <c r="AV651" i="1"/>
  <c r="AV909" i="1"/>
  <c r="AW908" i="1"/>
  <c r="AX908" i="1" s="1"/>
  <c r="AT908" i="1" s="1"/>
  <c r="AY908" i="1" s="1"/>
  <c r="AW801" i="1"/>
  <c r="AX801" i="1" s="1"/>
  <c r="AT801" i="1" s="1"/>
  <c r="AY801" i="1" s="1"/>
  <c r="AV802" i="1"/>
  <c r="AV56" i="1"/>
  <c r="AW56" i="1" s="1"/>
  <c r="AX56" i="1" s="1"/>
  <c r="AT56" i="1" s="1"/>
  <c r="AY56" i="1" s="1"/>
  <c r="AW55" i="1"/>
  <c r="AX55" i="1" s="1"/>
  <c r="AT55" i="1" s="1"/>
  <c r="AY55" i="1" s="1"/>
  <c r="AW562" i="1" l="1"/>
  <c r="AX562" i="1" s="1"/>
  <c r="AT562" i="1" s="1"/>
  <c r="AY562" i="1" s="1"/>
  <c r="AV563" i="1"/>
  <c r="AV595" i="1"/>
  <c r="AW595" i="1" s="1"/>
  <c r="AX595" i="1" s="1"/>
  <c r="AT595" i="1" s="1"/>
  <c r="AY595" i="1" s="1"/>
  <c r="AW594" i="1"/>
  <c r="AX594" i="1" s="1"/>
  <c r="AT594" i="1" s="1"/>
  <c r="AY594" i="1" s="1"/>
  <c r="AW725" i="1"/>
  <c r="AX725" i="1" s="1"/>
  <c r="AT725" i="1" s="1"/>
  <c r="AY725" i="1" s="1"/>
  <c r="AV726" i="1"/>
  <c r="AW726" i="1" s="1"/>
  <c r="AX726" i="1" s="1"/>
  <c r="AT726" i="1" s="1"/>
  <c r="AY726" i="1" s="1"/>
  <c r="AW418" i="1"/>
  <c r="AX418" i="1" s="1"/>
  <c r="AT418" i="1" s="1"/>
  <c r="AY418" i="1" s="1"/>
  <c r="AV419" i="1"/>
  <c r="AW419" i="1" s="1"/>
  <c r="AX419" i="1" s="1"/>
  <c r="AT419" i="1" s="1"/>
  <c r="AY419" i="1" s="1"/>
  <c r="AW949" i="1"/>
  <c r="AX949" i="1" s="1"/>
  <c r="AT949" i="1" s="1"/>
  <c r="AY949" i="1" s="1"/>
  <c r="AV950" i="1"/>
  <c r="AW950" i="1" s="1"/>
  <c r="AX950" i="1" s="1"/>
  <c r="AT950" i="1" s="1"/>
  <c r="AY950" i="1" s="1"/>
  <c r="AW931" i="1"/>
  <c r="AX931" i="1" s="1"/>
  <c r="AT931" i="1" s="1"/>
  <c r="AY931" i="1" s="1"/>
  <c r="AV932" i="1"/>
  <c r="AV680" i="1"/>
  <c r="AW680" i="1" s="1"/>
  <c r="AX680" i="1" s="1"/>
  <c r="AT680" i="1" s="1"/>
  <c r="AY680" i="1" s="1"/>
  <c r="AW679" i="1"/>
  <c r="AX679" i="1" s="1"/>
  <c r="AT679" i="1" s="1"/>
  <c r="AY679" i="1" s="1"/>
  <c r="AV980" i="1"/>
  <c r="AW980" i="1" s="1"/>
  <c r="AX980" i="1" s="1"/>
  <c r="AT980" i="1" s="1"/>
  <c r="AY980" i="1" s="1"/>
  <c r="AW979" i="1"/>
  <c r="AX979" i="1" s="1"/>
  <c r="AT979" i="1" s="1"/>
  <c r="AY979" i="1" s="1"/>
  <c r="AV536" i="1"/>
  <c r="AW536" i="1" s="1"/>
  <c r="AX536" i="1" s="1"/>
  <c r="AT536" i="1" s="1"/>
  <c r="AY536" i="1" s="1"/>
  <c r="AW535" i="1"/>
  <c r="AX535" i="1" s="1"/>
  <c r="AT535" i="1" s="1"/>
  <c r="AY535" i="1" s="1"/>
  <c r="AW651" i="1"/>
  <c r="AX651" i="1" s="1"/>
  <c r="AT651" i="1" s="1"/>
  <c r="AY651" i="1" s="1"/>
  <c r="AV652" i="1"/>
  <c r="AW652" i="1" s="1"/>
  <c r="AX652" i="1" s="1"/>
  <c r="AT652" i="1" s="1"/>
  <c r="AY652" i="1" s="1"/>
  <c r="AW146" i="1"/>
  <c r="AX146" i="1" s="1"/>
  <c r="AT146" i="1" s="1"/>
  <c r="AY146" i="1" s="1"/>
  <c r="AV147" i="1"/>
  <c r="AW147" i="1" s="1"/>
  <c r="AX147" i="1" s="1"/>
  <c r="AT147" i="1" s="1"/>
  <c r="AY147" i="1" s="1"/>
  <c r="AW614" i="1"/>
  <c r="AX614" i="1" s="1"/>
  <c r="AT614" i="1" s="1"/>
  <c r="AY614" i="1" s="1"/>
  <c r="AV615" i="1"/>
  <c r="AW448" i="1"/>
  <c r="AX448" i="1" s="1"/>
  <c r="AT448" i="1" s="1"/>
  <c r="AY448" i="1" s="1"/>
  <c r="AV449" i="1"/>
  <c r="AW773" i="1"/>
  <c r="AX773" i="1" s="1"/>
  <c r="AT773" i="1" s="1"/>
  <c r="AY773" i="1" s="1"/>
  <c r="AV774" i="1"/>
  <c r="AW774" i="1" s="1"/>
  <c r="AX774" i="1" s="1"/>
  <c r="AT774" i="1" s="1"/>
  <c r="AY774" i="1" s="1"/>
  <c r="AV803" i="1"/>
  <c r="AW803" i="1" s="1"/>
  <c r="AX803" i="1" s="1"/>
  <c r="AT803" i="1" s="1"/>
  <c r="AY803" i="1" s="1"/>
  <c r="AW802" i="1"/>
  <c r="AX802" i="1" s="1"/>
  <c r="AT802" i="1" s="1"/>
  <c r="AY802" i="1" s="1"/>
  <c r="AW909" i="1"/>
  <c r="AX909" i="1" s="1"/>
  <c r="AT909" i="1" s="1"/>
  <c r="AY909" i="1" s="1"/>
  <c r="AV910" i="1"/>
  <c r="AW910" i="1" s="1"/>
  <c r="AX910" i="1" s="1"/>
  <c r="AT910" i="1" s="1"/>
  <c r="AY910" i="1" s="1"/>
  <c r="AW389" i="1"/>
  <c r="AX389" i="1" s="1"/>
  <c r="AT389" i="1" s="1"/>
  <c r="AY389" i="1" s="1"/>
  <c r="AV390" i="1"/>
  <c r="AW390" i="1" s="1"/>
  <c r="AX390" i="1" s="1"/>
  <c r="AT390" i="1" s="1"/>
  <c r="AY390" i="1" s="1"/>
  <c r="AV933" i="1" l="1"/>
  <c r="AW933" i="1" s="1"/>
  <c r="AX933" i="1" s="1"/>
  <c r="AT933" i="1" s="1"/>
  <c r="AY933" i="1" s="1"/>
  <c r="AW932" i="1"/>
  <c r="AX932" i="1" s="1"/>
  <c r="AT932" i="1" s="1"/>
  <c r="AY932" i="1" s="1"/>
  <c r="AW615" i="1"/>
  <c r="AX615" i="1" s="1"/>
  <c r="AT615" i="1" s="1"/>
  <c r="AY615" i="1" s="1"/>
  <c r="AV616" i="1"/>
  <c r="AW616" i="1" s="1"/>
  <c r="AX616" i="1" s="1"/>
  <c r="AT616" i="1" s="1"/>
  <c r="AY616" i="1" s="1"/>
  <c r="AV450" i="1"/>
  <c r="AW450" i="1" s="1"/>
  <c r="AX450" i="1" s="1"/>
  <c r="AT450" i="1" s="1"/>
  <c r="AY450" i="1" s="1"/>
  <c r="AW449" i="1"/>
  <c r="AX449" i="1" s="1"/>
  <c r="AT449" i="1" s="1"/>
  <c r="AY449" i="1" s="1"/>
  <c r="AV564" i="1"/>
  <c r="AW564" i="1" s="1"/>
  <c r="AX564" i="1" s="1"/>
  <c r="AT564" i="1" s="1"/>
  <c r="AY564" i="1" s="1"/>
  <c r="AW563" i="1"/>
  <c r="AX563" i="1" s="1"/>
  <c r="AT563" i="1" s="1"/>
  <c r="AY563" i="1" s="1"/>
</calcChain>
</file>

<file path=xl/sharedStrings.xml><?xml version="1.0" encoding="utf-8"?>
<sst xmlns="http://schemas.openxmlformats.org/spreadsheetml/2006/main" count="2167" uniqueCount="220">
  <si>
    <t>直接费用</t>
    <phoneticPr fontId="3" type="noConversion"/>
  </si>
  <si>
    <t>间接费用</t>
    <phoneticPr fontId="3" type="noConversion"/>
  </si>
  <si>
    <t>开始日期：2025-05-31      结束日期：2025-05-31</t>
  </si>
  <si>
    <t>微粒贷</t>
  </si>
  <si>
    <t>微账户</t>
  </si>
  <si>
    <t>汽车金融</t>
  </si>
  <si>
    <t>企业金融</t>
  </si>
  <si>
    <t>财富业务</t>
  </si>
  <si>
    <t>数字金融</t>
    <phoneticPr fontId="3" type="noConversion"/>
  </si>
  <si>
    <t>金融市场</t>
  </si>
  <si>
    <t>小鹅花钱</t>
  </si>
  <si>
    <t>国际业务</t>
    <phoneticPr fontId="3" type="noConversion"/>
  </si>
  <si>
    <t>流量经营项目</t>
    <phoneticPr fontId="3" type="noConversion"/>
  </si>
  <si>
    <t>其他</t>
    <phoneticPr fontId="3" type="noConversion"/>
  </si>
  <si>
    <t>间接费用</t>
  </si>
  <si>
    <t>一级机构</t>
  </si>
  <si>
    <t>费用大类</t>
  </si>
  <si>
    <t>业务分类</t>
  </si>
  <si>
    <t>金额</t>
  </si>
  <si>
    <t>直接费用</t>
  </si>
  <si>
    <t>科目名称</t>
  </si>
  <si>
    <t>自身费用</t>
  </si>
  <si>
    <t>摊出费用</t>
  </si>
  <si>
    <t>消费金融</t>
  </si>
  <si>
    <t>数字金融</t>
  </si>
  <si>
    <t>金融市场及同业</t>
  </si>
  <si>
    <t>生活金融</t>
  </si>
  <si>
    <t>国际业务</t>
  </si>
  <si>
    <t>创新孵化项目</t>
  </si>
  <si>
    <t>其他</t>
  </si>
  <si>
    <t>司库</t>
  </si>
  <si>
    <t>部门</t>
    <phoneticPr fontId="3" type="noConversion"/>
  </si>
  <si>
    <t>管会口径</t>
    <phoneticPr fontId="3" type="noConversion"/>
  </si>
  <si>
    <t>预算口径</t>
    <phoneticPr fontId="3" type="noConversion"/>
  </si>
  <si>
    <t>预算口径（人力拆分）</t>
    <phoneticPr fontId="3" type="noConversion"/>
  </si>
  <si>
    <t>预算口径（拆分）</t>
    <phoneticPr fontId="3" type="noConversion"/>
  </si>
  <si>
    <t>合计</t>
    <phoneticPr fontId="3" type="noConversion"/>
  </si>
  <si>
    <t>CHECK</t>
    <phoneticPr fontId="3" type="noConversion"/>
  </si>
  <si>
    <t>风险及运营管理部</t>
  </si>
  <si>
    <t>01</t>
  </si>
  <si>
    <t>人力费用</t>
  </si>
  <si>
    <t>55010101</t>
  </si>
  <si>
    <t>基础工资</t>
  </si>
  <si>
    <t>55010201</t>
  </si>
  <si>
    <t>团队建设费</t>
  </si>
  <si>
    <t>55010299</t>
  </si>
  <si>
    <t>其他职工福利费</t>
  </si>
  <si>
    <t>55010301</t>
  </si>
  <si>
    <t>工会经费</t>
  </si>
  <si>
    <t>55010501</t>
  </si>
  <si>
    <t>基本养老保险</t>
  </si>
  <si>
    <t>55010601</t>
  </si>
  <si>
    <t>基本医疗保险</t>
  </si>
  <si>
    <t>55010801</t>
  </si>
  <si>
    <t>工伤保险</t>
  </si>
  <si>
    <t>55010901</t>
  </si>
  <si>
    <t>生育保险</t>
  </si>
  <si>
    <t>55011001</t>
  </si>
  <si>
    <t>失业保险</t>
  </si>
  <si>
    <t>55011101</t>
  </si>
  <si>
    <t>住房公积金</t>
  </si>
  <si>
    <t>0605</t>
  </si>
  <si>
    <t>IT运营费用</t>
  </si>
  <si>
    <t>55015001</t>
  </si>
  <si>
    <t>信息资料费</t>
  </si>
  <si>
    <t>0606</t>
  </si>
  <si>
    <t>IT科技费用</t>
  </si>
  <si>
    <t>55012104</t>
  </si>
  <si>
    <t>一般运营设备折旧费</t>
  </si>
  <si>
    <t>55012105</t>
  </si>
  <si>
    <t>移动终端折旧费</t>
  </si>
  <si>
    <t>55012106</t>
  </si>
  <si>
    <t>办公IT设备折旧费</t>
  </si>
  <si>
    <t>55012202</t>
  </si>
  <si>
    <t>计算机软件摊销</t>
  </si>
  <si>
    <t>55012207</t>
  </si>
  <si>
    <t>数据资源摊销</t>
  </si>
  <si>
    <t>55014101</t>
  </si>
  <si>
    <t>咨询费</t>
  </si>
  <si>
    <t>55014601</t>
  </si>
  <si>
    <t>网络通讯费 </t>
  </si>
  <si>
    <t>55015601</t>
  </si>
  <si>
    <t>电子设备运转费 </t>
  </si>
  <si>
    <t>55016403</t>
  </si>
  <si>
    <t>其他外包服务费</t>
  </si>
  <si>
    <t>0608</t>
  </si>
  <si>
    <t>IT日常费用</t>
  </si>
  <si>
    <t>55012102</t>
  </si>
  <si>
    <t>办公OA设备折旧费</t>
  </si>
  <si>
    <t>55012107</t>
  </si>
  <si>
    <t>办公家具折旧费</t>
  </si>
  <si>
    <t>55015101</t>
  </si>
  <si>
    <t>办公费用</t>
  </si>
  <si>
    <t>08</t>
  </si>
  <si>
    <t>日常费用</t>
  </si>
  <si>
    <t>55018201</t>
  </si>
  <si>
    <t>业务招待费</t>
  </si>
  <si>
    <t>人力资源部</t>
  </si>
  <si>
    <t>55010401</t>
  </si>
  <si>
    <t>职工教育经费</t>
  </si>
  <si>
    <t>55011601</t>
  </si>
  <si>
    <t>劳务支出</t>
  </si>
  <si>
    <t>55012001</t>
  </si>
  <si>
    <t>其他人力资源费用</t>
  </si>
  <si>
    <t>55018401</t>
  </si>
  <si>
    <t>会议费</t>
  </si>
  <si>
    <t>办公室</t>
  </si>
  <si>
    <t>02</t>
  </si>
  <si>
    <t>营销费用</t>
  </si>
  <si>
    <t>55012701</t>
  </si>
  <si>
    <t>广告费</t>
  </si>
  <si>
    <t>55018101</t>
  </si>
  <si>
    <t>业务宣传费</t>
  </si>
  <si>
    <t>0607</t>
  </si>
  <si>
    <t>IT职场费用</t>
  </si>
  <si>
    <t>55012101</t>
  </si>
  <si>
    <t>房屋及建筑物折旧费</t>
  </si>
  <si>
    <t>55012110</t>
  </si>
  <si>
    <t>自有房屋及建筑物装修折旧费</t>
  </si>
  <si>
    <t>55012201</t>
  </si>
  <si>
    <t>土地使用权摊销</t>
  </si>
  <si>
    <t>55012401</t>
  </si>
  <si>
    <t>房租费</t>
  </si>
  <si>
    <t>55014201</t>
  </si>
  <si>
    <t>物业管理费</t>
  </si>
  <si>
    <t>55014301</t>
  </si>
  <si>
    <t>水电气费</t>
  </si>
  <si>
    <t>55019201</t>
  </si>
  <si>
    <t>租入房屋及建筑物折旧费</t>
  </si>
  <si>
    <t>55019301</t>
  </si>
  <si>
    <t>租入房屋及建筑物租赁负债利息费用</t>
  </si>
  <si>
    <t>55012103</t>
  </si>
  <si>
    <t>交通工具折旧费</t>
  </si>
  <si>
    <t>55014401</t>
  </si>
  <si>
    <t>装修及修理费</t>
  </si>
  <si>
    <t>55014503</t>
  </si>
  <si>
    <t>其他邮电费</t>
  </si>
  <si>
    <t>55015901</t>
  </si>
  <si>
    <t>低值易耗品支出</t>
  </si>
  <si>
    <t>55018301</t>
  </si>
  <si>
    <t>差旅费</t>
  </si>
  <si>
    <t>07</t>
  </si>
  <si>
    <t>职场费用</t>
  </si>
  <si>
    <t>55013301</t>
  </si>
  <si>
    <t>车船使用费</t>
  </si>
  <si>
    <t>55019801</t>
  </si>
  <si>
    <t>其他费用</t>
  </si>
  <si>
    <t>法律合规部</t>
  </si>
  <si>
    <t>55012205</t>
  </si>
  <si>
    <t>商标摊销</t>
  </si>
  <si>
    <t>55012206</t>
  </si>
  <si>
    <t>域名摊销</t>
  </si>
  <si>
    <t>55012601</t>
  </si>
  <si>
    <t>律师费</t>
  </si>
  <si>
    <t>审计部</t>
  </si>
  <si>
    <t>行长室</t>
  </si>
  <si>
    <t>财务会计部</t>
  </si>
  <si>
    <t>55013001</t>
  </si>
  <si>
    <t>监管费</t>
  </si>
  <si>
    <t>55015201</t>
  </si>
  <si>
    <t>审计费</t>
  </si>
  <si>
    <t>资产负债管理及企划部</t>
  </si>
  <si>
    <t>05</t>
  </si>
  <si>
    <t>运营费用</t>
  </si>
  <si>
    <t>55012901</t>
  </si>
  <si>
    <t>存款保险费</t>
  </si>
  <si>
    <t>消费者权益保护部</t>
  </si>
  <si>
    <t>企金风险部</t>
  </si>
  <si>
    <t>55014501</t>
  </si>
  <si>
    <t>坐席租用费</t>
  </si>
  <si>
    <t>55016301</t>
  </si>
  <si>
    <t>技术服务费</t>
  </si>
  <si>
    <t>55016402</t>
  </si>
  <si>
    <t>客服费</t>
  </si>
  <si>
    <t>公司治理部</t>
  </si>
  <si>
    <t>55015401</t>
  </si>
  <si>
    <t>董事会费</t>
  </si>
  <si>
    <t>55015402</t>
  </si>
  <si>
    <t>监事会费</t>
  </si>
  <si>
    <t>采购及资产管理部</t>
  </si>
  <si>
    <t>国际发展部</t>
  </si>
  <si>
    <t>55014502</t>
  </si>
  <si>
    <t>短信费</t>
  </si>
  <si>
    <t>普惠金融部</t>
  </si>
  <si>
    <t>产业及绿色金融部</t>
  </si>
  <si>
    <t>企业产品部</t>
  </si>
  <si>
    <t>企金管理部</t>
  </si>
  <si>
    <t>科技金融部</t>
  </si>
  <si>
    <t>企业业务支持部</t>
  </si>
  <si>
    <t>票据业务部</t>
  </si>
  <si>
    <t>企业数字营销部</t>
  </si>
  <si>
    <t>企金数字智能应用部</t>
  </si>
  <si>
    <t>个金信贷部</t>
  </si>
  <si>
    <t>个金互联网产品部</t>
  </si>
  <si>
    <t>个金存款部</t>
  </si>
  <si>
    <t>个金风险部</t>
  </si>
  <si>
    <t>个金市场部</t>
  </si>
  <si>
    <t>个金运营管理部</t>
  </si>
  <si>
    <t>个金共享平台部</t>
  </si>
  <si>
    <t>个金资产保全部</t>
  </si>
  <si>
    <t>个金管理部</t>
  </si>
  <si>
    <t>反洗钱工作办公室</t>
  </si>
  <si>
    <t>汽车金融部</t>
  </si>
  <si>
    <t>财富及养老金融部</t>
  </si>
  <si>
    <t>55016903</t>
  </si>
  <si>
    <t>IC卡制卡费</t>
  </si>
  <si>
    <t>财富数字产品部</t>
  </si>
  <si>
    <t>财富产品部</t>
  </si>
  <si>
    <t>金融市场及同业部</t>
  </si>
  <si>
    <t>科技业务</t>
  </si>
  <si>
    <t>0601</t>
  </si>
  <si>
    <t>IT人力费用</t>
  </si>
  <si>
    <t>利润分享</t>
  </si>
  <si>
    <t>特别奖金</t>
  </si>
  <si>
    <t>专项奖金</t>
  </si>
  <si>
    <t>0602</t>
  </si>
  <si>
    <t>IT营销费用</t>
  </si>
  <si>
    <t>国际发展部</t>
    <phoneticPr fontId="3" type="noConversion"/>
  </si>
  <si>
    <t>小鹅流量经营团队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</si>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</sst>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76" formatCode="_ * #,##0_ ;_ * \-#,##0_ ;_ * &quot;-&quot;??_ ;_ @_ "/>
    <numFmt numFmtId="177" formatCode="_ * #,##0.0_ ;_ * \-#,##0.0_ ;_ * &quot;-&quot;??_ ;_ @_ "/>
  </numFmts>
  <fonts count="10">
    <font>
      <sz val="11"/>
      <color indexed="8"/>
      <name val="等线"/>
      <family val="2"/>
      <charset val="1"/>
      <scheme val="minor"/>
    </font>
    <font>
      <sz val="11"/>
      <color indexed="8"/>
      <name val="等线"/>
      <family val="2"/>
      <charset val="1"/>
      <scheme val="minor"/>
    </font>
    <font>
      <sz val="9"/>
      <color rgb="FF000000"/>
      <name val="simhei"/>
      <family val="3"/>
      <charset val="134"/>
    </font>
    <font>
      <sz val="9"/>
      <name val="等线"/>
      <family val="3"/>
      <charset val="134"/>
      <scheme val="minor"/>
    </font>
    <font>
      <b/>
      <sz val="10"/>
      <color rgb="FFFFFFFF"/>
      <name val="微软雅黑"/>
      <family val="2"/>
      <charset val="134"/>
    </font>
    <font>
      <b/>
      <u/>
      <sz val="10"/>
      <color rgb="FFFFFFFF"/>
      <name val="微软雅黑"/>
      <family val="2"/>
      <charset val="134"/>
    </font>
    <font>
      <sz val="10"/>
      <color rgb="FF000000"/>
      <name val="微软雅黑"/>
      <family val="2"/>
      <charset val="134"/>
    </font>
    <font>
      <u/>
      <sz val="10"/>
      <color rgb="FF0000FF"/>
      <name val="微软雅黑"/>
      <family val="2"/>
      <charset val="134"/>
    </font>
    <font>
      <sz val="10"/>
      <color rgb="FF12405A"/>
      <name val="微软雅黑"/>
      <family val="2"/>
      <charset val="134"/>
    </font>
    <font>
      <b/>
      <sz val="10"/>
      <color rgb="FF000000"/>
      <name val="微软雅黑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rgb="FF4870BB"/>
        <bgColor rgb="FF4870BB"/>
      </patternFill>
    </fill>
    <fill>
      <patternFill patternType="solid">
        <fgColor rgb="FF7898E1"/>
        <bgColor rgb="FF7898E1"/>
      </patternFill>
    </fill>
    <fill>
      <patternFill patternType="solid">
        <fgColor rgb="FF95B3D7"/>
        <bgColor rgb="FF95B3D7"/>
      </patternFill>
    </fill>
    <fill>
      <patternFill patternType="solid">
        <fgColor rgb="FFDCE6F1"/>
        <bgColor rgb="FFDCE6F1"/>
      </patternFill>
    </fill>
    <fill>
      <patternFill patternType="solid">
        <fgColor rgb="FFF7E9D0"/>
        <bgColor rgb="FFF7E9D0"/>
      </patternFill>
    </fill>
  </fills>
  <borders count="1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</borders>
  <cellStyleXfs count="3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49">
    <xf numFmtId="0" fontId="0" fillId="0" borderId="0" xfId="0">
      <alignment vertical="center"/>
    </xf>
    <xf numFmtId="0" fontId="2" fillId="0" borderId="0" xfId="0" applyFont="1" applyAlignment="1">
      <alignment vertical="center" wrapText="1"/>
    </xf>
    <xf numFmtId="176" fontId="0" fillId="0" borderId="0" xfId="1" applyNumberFormat="1" applyFont="1" applyAlignment="1">
      <alignment horizontal="center" vertical="center"/>
    </xf>
    <xf numFmtId="176" fontId="0" fillId="0" borderId="0" xfId="1" applyNumberFormat="1" applyFont="1" applyFill="1">
      <alignment vertical="center"/>
    </xf>
    <xf numFmtId="0" fontId="1" fillId="0" borderId="0" xfId="2">
      <alignment vertical="center"/>
    </xf>
    <xf numFmtId="0" fontId="2" fillId="0" borderId="1" xfId="0" applyFont="1" applyBorder="1" applyAlignment="1">
      <alignment vertical="center" wrapText="1"/>
    </xf>
    <xf numFmtId="176" fontId="0" fillId="0" borderId="0" xfId="1" applyNumberFormat="1" applyFont="1" applyFill="1" applyAlignment="1">
      <alignment horizontal="center" vertical="center"/>
    </xf>
    <xf numFmtId="0" fontId="1" fillId="0" borderId="0" xfId="2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2" borderId="2" xfId="0" applyFont="1" applyFill="1" applyBorder="1" applyAlignment="1">
      <alignment vertical="center" wrapText="1"/>
    </xf>
    <xf numFmtId="0" fontId="4" fillId="2" borderId="3" xfId="0" applyFont="1" applyFill="1" applyBorder="1" applyAlignment="1">
      <alignment vertical="center" wrapText="1"/>
    </xf>
    <xf numFmtId="0" fontId="4" fillId="2" borderId="4" xfId="0" applyFont="1" applyFill="1" applyBorder="1" applyAlignment="1">
      <alignment vertical="center" wrapText="1"/>
    </xf>
    <xf numFmtId="0" fontId="4" fillId="2" borderId="5" xfId="0" applyFont="1" applyFill="1" applyBorder="1" applyAlignment="1">
      <alignment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176" fontId="4" fillId="0" borderId="0" xfId="1" applyNumberFormat="1" applyFont="1" applyFill="1" applyBorder="1" applyAlignment="1">
      <alignment horizontal="center" vertical="center" wrapText="1"/>
    </xf>
    <xf numFmtId="177" fontId="0" fillId="0" borderId="0" xfId="1" applyNumberFormat="1" applyFont="1">
      <alignment vertical="center"/>
    </xf>
    <xf numFmtId="0" fontId="4" fillId="2" borderId="7" xfId="0" applyFont="1" applyFill="1" applyBorder="1" applyAlignment="1">
      <alignment vertical="center" wrapText="1"/>
    </xf>
    <xf numFmtId="0" fontId="4" fillId="2" borderId="8" xfId="0" applyFont="1" applyFill="1" applyBorder="1" applyAlignment="1">
      <alignment vertical="center" wrapText="1"/>
    </xf>
    <xf numFmtId="0" fontId="5" fillId="2" borderId="6" xfId="0" applyFont="1" applyFill="1" applyBorder="1" applyAlignment="1">
      <alignment horizontal="center" vertical="center" wrapText="1"/>
    </xf>
    <xf numFmtId="176" fontId="5" fillId="0" borderId="0" xfId="1" applyNumberFormat="1" applyFont="1" applyFill="1" applyBorder="1" applyAlignment="1">
      <alignment horizontal="center" vertical="center" wrapText="1"/>
    </xf>
    <xf numFmtId="0" fontId="5" fillId="2" borderId="9" xfId="2" applyFont="1" applyFill="1" applyBorder="1" applyAlignment="1">
      <alignment horizontal="center" vertical="center" wrapText="1"/>
    </xf>
    <xf numFmtId="0" fontId="4" fillId="2" borderId="9" xfId="2" applyFont="1" applyFill="1" applyBorder="1" applyAlignment="1">
      <alignment horizontal="center" vertical="center" wrapText="1"/>
    </xf>
    <xf numFmtId="176" fontId="4" fillId="2" borderId="9" xfId="1" applyNumberFormat="1" applyFont="1" applyFill="1" applyBorder="1" applyAlignment="1">
      <alignment horizontal="center" vertical="center" wrapText="1"/>
    </xf>
    <xf numFmtId="176" fontId="4" fillId="2" borderId="0" xfId="1" applyNumberFormat="1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left" vertical="center" wrapText="1"/>
    </xf>
    <xf numFmtId="0" fontId="7" fillId="4" borderId="4" xfId="0" applyFont="1" applyFill="1" applyBorder="1" applyAlignment="1">
      <alignment vertical="center" wrapText="1"/>
    </xf>
    <xf numFmtId="0" fontId="7" fillId="4" borderId="10" xfId="0" applyFont="1" applyFill="1" applyBorder="1" applyAlignment="1">
      <alignment vertical="center" wrapText="1"/>
    </xf>
    <xf numFmtId="0" fontId="7" fillId="4" borderId="5" xfId="0" applyFont="1" applyFill="1" applyBorder="1" applyAlignment="1">
      <alignment vertical="center" wrapText="1"/>
    </xf>
    <xf numFmtId="4" fontId="6" fillId="4" borderId="6" xfId="0" applyNumberFormat="1" applyFont="1" applyFill="1" applyBorder="1" applyAlignment="1">
      <alignment horizontal="right" vertical="center" wrapText="1"/>
    </xf>
    <xf numFmtId="0" fontId="1" fillId="0" borderId="0" xfId="2" applyAlignment="1">
      <alignment horizontal="right" vertical="center"/>
    </xf>
    <xf numFmtId="176" fontId="0" fillId="0" borderId="0" xfId="1" applyNumberFormat="1" applyFont="1">
      <alignment vertical="center"/>
    </xf>
    <xf numFmtId="0" fontId="6" fillId="0" borderId="0" xfId="0" applyFont="1" applyAlignment="1">
      <alignment vertical="center" wrapText="1"/>
    </xf>
    <xf numFmtId="0" fontId="8" fillId="5" borderId="6" xfId="0" applyFont="1" applyFill="1" applyBorder="1" applyAlignment="1">
      <alignment horizontal="left" vertical="center" wrapText="1"/>
    </xf>
    <xf numFmtId="0" fontId="8" fillId="5" borderId="4" xfId="0" applyFont="1" applyFill="1" applyBorder="1" applyAlignment="1">
      <alignment vertical="center" wrapText="1"/>
    </xf>
    <xf numFmtId="0" fontId="8" fillId="5" borderId="10" xfId="0" applyFont="1" applyFill="1" applyBorder="1" applyAlignment="1">
      <alignment vertical="center" wrapText="1"/>
    </xf>
    <xf numFmtId="0" fontId="8" fillId="5" borderId="5" xfId="0" applyFont="1" applyFill="1" applyBorder="1" applyAlignment="1">
      <alignment vertical="center" wrapText="1"/>
    </xf>
    <xf numFmtId="0" fontId="6" fillId="0" borderId="11" xfId="0" applyFont="1" applyBorder="1" applyAlignment="1">
      <alignment vertical="center" wrapText="1"/>
    </xf>
    <xf numFmtId="0" fontId="6" fillId="0" borderId="3" xfId="0" applyFont="1" applyBorder="1" applyAlignment="1">
      <alignment vertical="center" wrapText="1"/>
    </xf>
    <xf numFmtId="0" fontId="6" fillId="0" borderId="6" xfId="0" applyFont="1" applyBorder="1" applyAlignment="1">
      <alignment horizontal="left" vertical="center" wrapText="1"/>
    </xf>
    <xf numFmtId="0" fontId="6" fillId="0" borderId="12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6" fillId="0" borderId="8" xfId="0" applyFont="1" applyBorder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4" fontId="6" fillId="0" borderId="0" xfId="0" applyNumberFormat="1" applyFont="1" applyAlignment="1">
      <alignment horizontal="right" vertical="center" wrapText="1"/>
    </xf>
    <xf numFmtId="176" fontId="6" fillId="0" borderId="0" xfId="1" applyNumberFormat="1" applyFont="1" applyFill="1" applyBorder="1" applyAlignment="1">
      <alignment horizontal="right" vertical="center" wrapText="1"/>
    </xf>
    <xf numFmtId="0" fontId="9" fillId="6" borderId="4" xfId="0" applyFont="1" applyFill="1" applyBorder="1" applyAlignment="1">
      <alignment vertical="center" wrapText="1"/>
    </xf>
    <xf numFmtId="0" fontId="9" fillId="6" borderId="10" xfId="0" applyFont="1" applyFill="1" applyBorder="1" applyAlignment="1">
      <alignment vertical="center" wrapText="1"/>
    </xf>
    <xf numFmtId="0" fontId="9" fillId="6" borderId="5" xfId="0" applyFont="1" applyFill="1" applyBorder="1" applyAlignment="1">
      <alignment vertical="center" wrapText="1"/>
    </xf>
  </cellXfs>
  <cellStyles count="3">
    <cellStyle name="常规" xfId="0" builtinId="0"/>
    <cellStyle name="常规 4" xfId="2" xr:uid="{07C20313-8436-4F26-B056-3E9DD4566835}"/>
    <cellStyle name="千位分隔 4" xfId="1" xr:uid="{D86A71F6-C997-4983-9AB7-D0D610596B3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39044;&#31639;&#31185;&#23460;\26&#24180;2&#26376;&#20221;&#25253;&#34920;\&#26032;C0401.&#20135;&#21697;&#36153;&#29992;&#36861;&#28335;&#26126;&#32454;&#34920;&#65288;2026&#24180;2&#26376;&#65289;0323.xlsx" TargetMode="External"/><Relationship Id="rId1" Type="http://schemas.openxmlformats.org/officeDocument/2006/relationships/externalLinkPath" Target="/&#39044;&#31639;&#31185;&#23460;/26&#24180;2&#26376;&#20221;&#25253;&#34920;/&#26032;C0401.&#20135;&#21697;&#36153;&#29992;&#36861;&#28335;&#26126;&#32454;&#34920;&#65288;2026&#24180;2&#26376;&#65289;03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5月报表 (2)"/>
      <sheetName val="整体"/>
      <sheetName val="26年2月报表"/>
      <sheetName val="25年11月报表"/>
      <sheetName val="26年2月（全行）"/>
      <sheetName val="26年2月（财富业务）"/>
      <sheetName val="26年2月（数字金融）"/>
      <sheetName val="26年2月（创新孵化项目）"/>
      <sheetName val="26年2月（合作存款）"/>
      <sheetName val="26年2月（国际业务）"/>
      <sheetName val="字段"/>
      <sheetName val="费用执行表-系统导出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">
          <cell r="A1" t="str">
            <v>管会口径</v>
          </cell>
          <cell r="B1" t="str">
            <v>预算口径</v>
          </cell>
          <cell r="D1" t="str">
            <v>人力费用</v>
          </cell>
          <cell r="E1" t="str">
            <v>预算口径</v>
          </cell>
          <cell r="H1" t="str">
            <v>费用细项</v>
          </cell>
          <cell r="I1" t="str">
            <v>预算口径</v>
          </cell>
        </row>
        <row r="2">
          <cell r="A2" t="str">
            <v>IT科技费用</v>
          </cell>
          <cell r="B2" t="str">
            <v>IT费用</v>
          </cell>
          <cell r="D2" t="str">
            <v>55010101</v>
          </cell>
          <cell r="E2" t="str">
            <v>1.0倍人力</v>
          </cell>
          <cell r="H2" t="str">
            <v>1.0倍人力工会经费</v>
          </cell>
          <cell r="I2" t="str">
            <v>1.0倍人力</v>
          </cell>
        </row>
        <row r="3">
          <cell r="A3" t="str">
            <v>IT其他费用</v>
          </cell>
          <cell r="B3" t="str">
            <v>日常费用</v>
          </cell>
          <cell r="D3" t="str">
            <v>55010106</v>
          </cell>
          <cell r="E3" t="str">
            <v>1.0倍人力</v>
          </cell>
          <cell r="H3" t="str">
            <v>1.0倍人力工伤保险</v>
          </cell>
          <cell r="I3" t="str">
            <v>1.0倍人力</v>
          </cell>
        </row>
        <row r="4">
          <cell r="A4" t="str">
            <v>IT人力费用</v>
          </cell>
          <cell r="B4" t="str">
            <v>人力费用</v>
          </cell>
          <cell r="D4" t="str">
            <v>5501010601</v>
          </cell>
          <cell r="E4" t="str">
            <v>超额奖金</v>
          </cell>
          <cell r="H4" t="str">
            <v>1.0倍人力基本养老保险</v>
          </cell>
          <cell r="I4" t="str">
            <v>1.0倍人力</v>
          </cell>
        </row>
        <row r="5">
          <cell r="A5" t="str">
            <v>IT日常费用</v>
          </cell>
          <cell r="B5" t="str">
            <v>日常费用</v>
          </cell>
          <cell r="D5">
            <v>5501010602</v>
          </cell>
          <cell r="E5" t="str">
            <v>利润分享</v>
          </cell>
          <cell r="H5" t="str">
            <v>1.0倍人力基本医疗保险</v>
          </cell>
          <cell r="I5" t="str">
            <v>1.0倍人力</v>
          </cell>
        </row>
        <row r="6">
          <cell r="A6" t="str">
            <v>IT营销费用</v>
          </cell>
          <cell r="B6" t="str">
            <v>营销费用</v>
          </cell>
          <cell r="D6">
            <v>5501010603</v>
          </cell>
          <cell r="E6" t="str">
            <v>留任奖励</v>
          </cell>
          <cell r="H6" t="str">
            <v>1.0倍人力基础工资</v>
          </cell>
          <cell r="I6" t="str">
            <v>1.0倍人力</v>
          </cell>
        </row>
        <row r="7">
          <cell r="A7" t="str">
            <v>IT运营费用</v>
          </cell>
          <cell r="B7" t="str">
            <v>运营费用</v>
          </cell>
          <cell r="D7" t="str">
            <v>55010201</v>
          </cell>
          <cell r="E7" t="str">
            <v>1.0倍人力</v>
          </cell>
          <cell r="H7" t="str">
            <v>1.0倍人力其他人力资源费用</v>
          </cell>
          <cell r="I7" t="str">
            <v>1.0倍人力</v>
          </cell>
        </row>
        <row r="8">
          <cell r="A8" t="str">
            <v>IT职场费用</v>
          </cell>
          <cell r="B8" t="str">
            <v>职场费用</v>
          </cell>
          <cell r="D8" t="str">
            <v>55010299</v>
          </cell>
          <cell r="E8" t="str">
            <v>1.0倍人力</v>
          </cell>
          <cell r="H8" t="str">
            <v>1.0倍人力其他职工福利费</v>
          </cell>
          <cell r="I8" t="str">
            <v>1.0倍人力</v>
          </cell>
        </row>
        <row r="9">
          <cell r="A9" t="str">
            <v>人力费用</v>
          </cell>
          <cell r="B9" t="str">
            <v>人力费用</v>
          </cell>
          <cell r="D9" t="str">
            <v>55010301</v>
          </cell>
          <cell r="E9" t="str">
            <v>1.0倍人力</v>
          </cell>
          <cell r="H9" t="str">
            <v>1.0倍人力人员招聘费</v>
          </cell>
          <cell r="I9" t="str">
            <v>1.0倍人力</v>
          </cell>
        </row>
        <row r="10">
          <cell r="A10" t="str">
            <v>日常费用</v>
          </cell>
          <cell r="B10" t="str">
            <v>日常费用</v>
          </cell>
          <cell r="D10" t="str">
            <v>55010401</v>
          </cell>
          <cell r="E10" t="str">
            <v>1.0倍人力</v>
          </cell>
          <cell r="H10" t="str">
            <v>1.0倍人力生育保险</v>
          </cell>
          <cell r="I10" t="str">
            <v>1.0倍人力</v>
          </cell>
        </row>
        <row r="11">
          <cell r="A11" t="str">
            <v>营销费用</v>
          </cell>
          <cell r="B11" t="str">
            <v>营销费用</v>
          </cell>
          <cell r="D11" t="str">
            <v>55010501</v>
          </cell>
          <cell r="E11" t="str">
            <v>1.0倍人力</v>
          </cell>
          <cell r="H11" t="str">
            <v>1.0倍人力失业保险</v>
          </cell>
          <cell r="I11" t="str">
            <v>1.0倍人力</v>
          </cell>
        </row>
        <row r="12">
          <cell r="A12" t="str">
            <v>运营费用</v>
          </cell>
          <cell r="B12" t="str">
            <v>运营费用</v>
          </cell>
          <cell r="D12" t="str">
            <v>55010601</v>
          </cell>
          <cell r="E12" t="str">
            <v>1.0倍人力</v>
          </cell>
          <cell r="H12" t="str">
            <v>1.0倍人力团队建设费</v>
          </cell>
          <cell r="I12" t="str">
            <v>1.0倍人力</v>
          </cell>
        </row>
        <row r="13">
          <cell r="A13" t="str">
            <v>职场费用</v>
          </cell>
          <cell r="B13" t="str">
            <v>职场费用</v>
          </cell>
          <cell r="D13" t="str">
            <v>55010801</v>
          </cell>
          <cell r="E13" t="str">
            <v>1.0倍人力</v>
          </cell>
          <cell r="H13" t="str">
            <v>1.0倍人力职工教育经费</v>
          </cell>
          <cell r="I13" t="str">
            <v>1.0倍人力</v>
          </cell>
        </row>
        <row r="14">
          <cell r="D14" t="str">
            <v>55010901</v>
          </cell>
          <cell r="E14" t="str">
            <v>1.0倍人力</v>
          </cell>
          <cell r="H14" t="str">
            <v>1.0倍人力住房公积金</v>
          </cell>
          <cell r="I14" t="str">
            <v>1.0倍人力</v>
          </cell>
        </row>
        <row r="15">
          <cell r="D15" t="str">
            <v>55011001</v>
          </cell>
          <cell r="E15" t="str">
            <v>1.0倍人力</v>
          </cell>
          <cell r="H15" t="str">
            <v>1.0倍人力专项奖金</v>
          </cell>
          <cell r="I15" t="str">
            <v>1.0倍人力</v>
          </cell>
        </row>
        <row r="16">
          <cell r="D16" t="str">
            <v>55011101</v>
          </cell>
          <cell r="E16" t="str">
            <v>1.0倍人力</v>
          </cell>
          <cell r="H16" t="str">
            <v>IT费用</v>
          </cell>
        </row>
        <row r="17">
          <cell r="D17" t="str">
            <v>55011601</v>
          </cell>
          <cell r="E17" t="str">
            <v>劳务支出</v>
          </cell>
          <cell r="H17" t="str">
            <v>IT费用办公IT设备折旧费</v>
          </cell>
          <cell r="I17" t="str">
            <v>IT费用</v>
          </cell>
        </row>
        <row r="18">
          <cell r="D18" t="str">
            <v>55011701</v>
          </cell>
          <cell r="E18" t="str">
            <v>1.0倍人力</v>
          </cell>
          <cell r="H18" t="str">
            <v>IT费用办公费用</v>
          </cell>
          <cell r="I18" t="str">
            <v>IT费用</v>
          </cell>
        </row>
        <row r="19">
          <cell r="D19" t="str">
            <v>55012001</v>
          </cell>
          <cell r="E19" t="str">
            <v>1.0倍人力</v>
          </cell>
          <cell r="H19" t="str">
            <v>IT费用低值易耗品支出</v>
          </cell>
          <cell r="I19" t="str">
            <v>IT费用</v>
          </cell>
        </row>
        <row r="20">
          <cell r="D20">
            <v>5501010604</v>
          </cell>
          <cell r="E20" t="str">
            <v>1.0倍人力</v>
          </cell>
          <cell r="H20" t="str">
            <v>IT费用电子设备运转费 </v>
          </cell>
          <cell r="I20" t="str">
            <v>IT费用</v>
          </cell>
        </row>
        <row r="21">
          <cell r="H21" t="str">
            <v>IT费用计算机软件摊销</v>
          </cell>
          <cell r="I21" t="str">
            <v>IT费用</v>
          </cell>
        </row>
        <row r="22">
          <cell r="H22" t="str">
            <v>IT费用其他费用</v>
          </cell>
          <cell r="I22" t="str">
            <v>IT费用</v>
          </cell>
        </row>
        <row r="23">
          <cell r="H23" t="str">
            <v>IT费用其他外包服务费</v>
          </cell>
          <cell r="I23" t="str">
            <v>IT费用</v>
          </cell>
        </row>
        <row r="24">
          <cell r="H24" t="str">
            <v>IT费用网络通讯费 </v>
          </cell>
          <cell r="I24" t="str">
            <v>IT费用</v>
          </cell>
        </row>
        <row r="25">
          <cell r="H25" t="str">
            <v>IT费用信息资料费</v>
          </cell>
          <cell r="I25" t="str">
            <v>IT费用</v>
          </cell>
        </row>
        <row r="26">
          <cell r="H26" t="str">
            <v>IT费用一般运营设备折旧费</v>
          </cell>
          <cell r="I26" t="str">
            <v>IT费用</v>
          </cell>
        </row>
        <row r="27">
          <cell r="H27" t="str">
            <v>IT费用移动终端折旧费</v>
          </cell>
          <cell r="I27" t="str">
            <v>IT费用</v>
          </cell>
        </row>
        <row r="28">
          <cell r="H28" t="str">
            <v>IT费用咨询费</v>
          </cell>
          <cell r="I28" t="str">
            <v>IT费用</v>
          </cell>
        </row>
        <row r="29">
          <cell r="H29" t="str">
            <v>超额奖金</v>
          </cell>
          <cell r="I29" t="str">
            <v>超额奖金</v>
          </cell>
        </row>
        <row r="30">
          <cell r="H30" t="str">
            <v>超额奖金超额奖金</v>
          </cell>
          <cell r="I30" t="str">
            <v>超额奖金</v>
          </cell>
        </row>
        <row r="31">
          <cell r="H31" t="str">
            <v>劳务支出劳务支出</v>
          </cell>
          <cell r="I31" t="str">
            <v>劳务支出</v>
          </cell>
        </row>
        <row r="32">
          <cell r="H32" t="str">
            <v>利润分享</v>
          </cell>
          <cell r="I32" t="str">
            <v>利润分享</v>
          </cell>
        </row>
        <row r="33">
          <cell r="H33" t="str">
            <v>利润分享利润分享</v>
          </cell>
          <cell r="I33" t="str">
            <v>利润分享</v>
          </cell>
        </row>
        <row r="34">
          <cell r="H34" t="str">
            <v>留任奖励</v>
          </cell>
          <cell r="I34" t="str">
            <v>留任奖励</v>
          </cell>
        </row>
        <row r="35">
          <cell r="H35" t="str">
            <v>留任奖励特别奖金</v>
          </cell>
          <cell r="I35" t="str">
            <v>留任奖励</v>
          </cell>
        </row>
        <row r="36">
          <cell r="H36" t="str">
            <v>日常费用</v>
          </cell>
        </row>
        <row r="37">
          <cell r="H37" t="str">
            <v>日常费用IC卡制卡费</v>
          </cell>
          <cell r="I37" t="str">
            <v>日常费用-其他</v>
          </cell>
        </row>
        <row r="38">
          <cell r="H38" t="str">
            <v>日常费用办公IT设备折旧费</v>
          </cell>
          <cell r="I38" t="str">
            <v>日常费用-其他</v>
          </cell>
        </row>
        <row r="39">
          <cell r="H39" t="str">
            <v>日常费用办公OA设备折旧费</v>
          </cell>
          <cell r="I39" t="str">
            <v>日常费用-其他</v>
          </cell>
        </row>
        <row r="40">
          <cell r="H40" t="str">
            <v>日常费用办公费用</v>
          </cell>
          <cell r="I40" t="str">
            <v>日常费用-其他</v>
          </cell>
        </row>
        <row r="41">
          <cell r="H41" t="str">
            <v>日常费用办公家具折旧费</v>
          </cell>
          <cell r="I41" t="str">
            <v>日常费用-其他</v>
          </cell>
        </row>
        <row r="42">
          <cell r="H42" t="str">
            <v>日常费用差旅费</v>
          </cell>
          <cell r="I42" t="str">
            <v>日常费用-其他</v>
          </cell>
        </row>
        <row r="43">
          <cell r="H43" t="str">
            <v>日常费用车船使用费</v>
          </cell>
          <cell r="I43" t="str">
            <v>日常费用-其他</v>
          </cell>
        </row>
        <row r="44">
          <cell r="H44" t="str">
            <v>日常费用低值易耗品支出</v>
          </cell>
          <cell r="I44" t="str">
            <v>日常费用-其他</v>
          </cell>
        </row>
        <row r="45">
          <cell r="H45" t="str">
            <v>日常费用董事会费</v>
          </cell>
          <cell r="I45" t="str">
            <v>日常费用-其他</v>
          </cell>
        </row>
        <row r="46">
          <cell r="H46" t="str">
            <v>日常费用会议费</v>
          </cell>
          <cell r="I46" t="str">
            <v>日常费用-其他</v>
          </cell>
        </row>
        <row r="47">
          <cell r="H47" t="str">
            <v>日常费用技术服务费</v>
          </cell>
          <cell r="I47" t="str">
            <v>日常费用-其他</v>
          </cell>
        </row>
        <row r="48">
          <cell r="H48" t="str">
            <v>日常费用监管费</v>
          </cell>
          <cell r="I48" t="str">
            <v>日常费用-其他</v>
          </cell>
        </row>
        <row r="49">
          <cell r="H49" t="str">
            <v>日常费用监事会费</v>
          </cell>
          <cell r="I49" t="str">
            <v>日常费用-其他</v>
          </cell>
        </row>
        <row r="50">
          <cell r="H50" t="str">
            <v>日常费用交通工具折旧费</v>
          </cell>
          <cell r="I50" t="str">
            <v>日常费用-其他</v>
          </cell>
        </row>
        <row r="51">
          <cell r="H51" t="str">
            <v>日常费用客服费</v>
          </cell>
          <cell r="I51" t="str">
            <v>日常费用-其他</v>
          </cell>
        </row>
        <row r="52">
          <cell r="H52" t="str">
            <v>日常费用律师费</v>
          </cell>
          <cell r="I52" t="str">
            <v>日常费用-其他</v>
          </cell>
        </row>
        <row r="53">
          <cell r="H53" t="str">
            <v>日常费用其他费用</v>
          </cell>
          <cell r="I53" t="str">
            <v>日常费用-其他</v>
          </cell>
        </row>
        <row r="54">
          <cell r="H54" t="str">
            <v>日常费用其他外包服务费</v>
          </cell>
          <cell r="I54" t="str">
            <v>日常费用-外包服务费</v>
          </cell>
        </row>
        <row r="55">
          <cell r="H55" t="str">
            <v>日常费用其他邮电费</v>
          </cell>
          <cell r="I55" t="str">
            <v>日常费用-其他</v>
          </cell>
        </row>
        <row r="56">
          <cell r="H56" t="str">
            <v>日常费用商标摊销</v>
          </cell>
          <cell r="I56" t="str">
            <v>日常费用-其他</v>
          </cell>
        </row>
        <row r="57">
          <cell r="H57" t="str">
            <v>日常费用审计费</v>
          </cell>
          <cell r="I57" t="str">
            <v>日常费用-其他</v>
          </cell>
        </row>
        <row r="58">
          <cell r="H58" t="str">
            <v>日常费用诉讼费</v>
          </cell>
          <cell r="I58" t="str">
            <v>日常费用-其他</v>
          </cell>
        </row>
        <row r="59">
          <cell r="H59" t="str">
            <v>日常费用业务招待费</v>
          </cell>
          <cell r="I59" t="str">
            <v>日常费用-其他</v>
          </cell>
        </row>
        <row r="60">
          <cell r="H60" t="str">
            <v>日常费用印刷费</v>
          </cell>
          <cell r="I60" t="str">
            <v>日常费用-其他</v>
          </cell>
        </row>
        <row r="61">
          <cell r="H61" t="str">
            <v>日常费用域名摊销</v>
          </cell>
          <cell r="I61" t="str">
            <v>日常费用-其他</v>
          </cell>
        </row>
        <row r="62">
          <cell r="H62" t="str">
            <v>日常费用装修及修理费</v>
          </cell>
          <cell r="I62" t="str">
            <v>日常费用-其他</v>
          </cell>
        </row>
        <row r="63">
          <cell r="H63" t="str">
            <v>日常费用咨询费</v>
          </cell>
          <cell r="I63" t="str">
            <v>日常费用-咨询费</v>
          </cell>
        </row>
        <row r="64">
          <cell r="H64" t="str">
            <v>日常费用自有房屋及建筑物装修折旧费</v>
          </cell>
          <cell r="I64" t="str">
            <v>日常费用-其他</v>
          </cell>
        </row>
        <row r="65">
          <cell r="H65" t="str">
            <v>日常费用租入房屋装修费摊销</v>
          </cell>
          <cell r="I65" t="str">
            <v>日常费用-其他</v>
          </cell>
        </row>
        <row r="66">
          <cell r="H66" t="str">
            <v>日常费用坐席租用费</v>
          </cell>
          <cell r="I66" t="str">
            <v>日常费用-其他</v>
          </cell>
        </row>
        <row r="67">
          <cell r="H67" t="str">
            <v>营销费用</v>
          </cell>
        </row>
        <row r="68">
          <cell r="H68" t="str">
            <v>营销费用办公费用</v>
          </cell>
          <cell r="I68" t="str">
            <v>营销费用</v>
          </cell>
        </row>
        <row r="69">
          <cell r="H69" t="str">
            <v>营销费用短信费</v>
          </cell>
          <cell r="I69" t="str">
            <v>营销费用</v>
          </cell>
        </row>
        <row r="70">
          <cell r="H70" t="str">
            <v>营销费用广告费</v>
          </cell>
          <cell r="I70" t="str">
            <v>营销费用</v>
          </cell>
        </row>
        <row r="71">
          <cell r="H71" t="str">
            <v>营销费用会议费</v>
          </cell>
          <cell r="I71" t="str">
            <v>营销费用</v>
          </cell>
        </row>
        <row r="72">
          <cell r="H72" t="str">
            <v>营销费用客服费</v>
          </cell>
          <cell r="I72" t="str">
            <v>营销费用</v>
          </cell>
        </row>
        <row r="73">
          <cell r="H73" t="str">
            <v>营销费用业务宣传费</v>
          </cell>
          <cell r="I73" t="str">
            <v>营销费用</v>
          </cell>
        </row>
        <row r="74">
          <cell r="H74" t="str">
            <v>营销费用业务招待费</v>
          </cell>
          <cell r="I74" t="str">
            <v>营销费用</v>
          </cell>
        </row>
        <row r="75">
          <cell r="H75" t="str">
            <v>营销费用咨询费</v>
          </cell>
          <cell r="I75" t="str">
            <v>营销费用</v>
          </cell>
        </row>
        <row r="76">
          <cell r="H76" t="str">
            <v>营销费用坐席租用费</v>
          </cell>
          <cell r="I76" t="str">
            <v>营销费用</v>
          </cell>
        </row>
        <row r="77">
          <cell r="H77" t="str">
            <v>运营费用</v>
          </cell>
        </row>
        <row r="78">
          <cell r="H78" t="str">
            <v>运营费用存款保险费</v>
          </cell>
          <cell r="I78" t="str">
            <v>运营费用-存款保险费</v>
          </cell>
        </row>
        <row r="79">
          <cell r="H79" t="str">
            <v>运营费用客服费</v>
          </cell>
          <cell r="I79" t="str">
            <v>运营费用-客服费</v>
          </cell>
        </row>
        <row r="80">
          <cell r="H80" t="str">
            <v>运营费用坐席租用费</v>
          </cell>
          <cell r="I80" t="str">
            <v>运营费用-客服费</v>
          </cell>
        </row>
        <row r="81">
          <cell r="H81" t="str">
            <v>运营费用短信费</v>
          </cell>
          <cell r="I81" t="str">
            <v>运营费用-短信费</v>
          </cell>
        </row>
        <row r="82">
          <cell r="H82" t="str">
            <v>运营费用其他外包服务费</v>
          </cell>
          <cell r="I82" t="str">
            <v>运营费用-外包服务费</v>
          </cell>
        </row>
        <row r="83">
          <cell r="H83" t="str">
            <v>运营费用低值易耗品支出</v>
          </cell>
          <cell r="I83" t="str">
            <v>运营费用-运营其他</v>
          </cell>
        </row>
        <row r="84">
          <cell r="H84" t="str">
            <v>运营费用技术服务费</v>
          </cell>
          <cell r="I84" t="str">
            <v>运营费用-运营其他</v>
          </cell>
        </row>
        <row r="85">
          <cell r="H85" t="str">
            <v>运营费用办公费用</v>
          </cell>
          <cell r="I85" t="str">
            <v>运营费用-运营其他</v>
          </cell>
        </row>
        <row r="86">
          <cell r="H86" t="str">
            <v>运营费用其他邮电费</v>
          </cell>
          <cell r="I86" t="str">
            <v>运营费用-运营其他</v>
          </cell>
        </row>
        <row r="87">
          <cell r="H87" t="str">
            <v>职场费用</v>
          </cell>
        </row>
        <row r="88">
          <cell r="H88" t="str">
            <v>职场费用房屋及建筑物折旧费</v>
          </cell>
          <cell r="I88" t="str">
            <v>职场费用</v>
          </cell>
        </row>
        <row r="89">
          <cell r="H89" t="str">
            <v>职场费用房租费</v>
          </cell>
          <cell r="I89" t="str">
            <v>职场费用</v>
          </cell>
        </row>
        <row r="90">
          <cell r="H90" t="str">
            <v>职场费用水电气费</v>
          </cell>
          <cell r="I90" t="str">
            <v>职场费用</v>
          </cell>
        </row>
        <row r="91">
          <cell r="H91" t="str">
            <v>职场费用土地使用权摊销</v>
          </cell>
          <cell r="I91" t="str">
            <v>职场费用</v>
          </cell>
        </row>
        <row r="92">
          <cell r="H92" t="str">
            <v>职场费用物业管理费</v>
          </cell>
          <cell r="I92" t="str">
            <v>职场费用</v>
          </cell>
        </row>
        <row r="93">
          <cell r="H93" t="str">
            <v>职场费用租入房屋及建筑物折旧费</v>
          </cell>
          <cell r="I93" t="str">
            <v>职场费用</v>
          </cell>
        </row>
        <row r="94">
          <cell r="H94" t="str">
            <v>职场费用租入房屋及建筑物租赁负债利息费用</v>
          </cell>
          <cell r="I94" t="str">
            <v>职场费用</v>
          </cell>
        </row>
        <row r="95">
          <cell r="H95" t="str">
            <v>日常费用其他长期待摊费用摊销</v>
          </cell>
          <cell r="I95" t="str">
            <v>日常费用-其他</v>
          </cell>
        </row>
        <row r="96">
          <cell r="H96" t="str">
            <v>IT费用技术服务费</v>
          </cell>
          <cell r="I96" t="str">
            <v>IT费用</v>
          </cell>
        </row>
        <row r="97">
          <cell r="H97" t="str">
            <v>日常费用数据资源摊销</v>
          </cell>
          <cell r="I97" t="str">
            <v>日常费用-其他</v>
          </cell>
        </row>
        <row r="98">
          <cell r="H98" t="str">
            <v>日常费用印刷费 </v>
          </cell>
          <cell r="I98" t="str">
            <v>日常费用-其他</v>
          </cell>
        </row>
        <row r="99">
          <cell r="H99" t="str">
            <v>日常费用审计费 </v>
          </cell>
          <cell r="I99" t="str">
            <v>日常费用-其他</v>
          </cell>
        </row>
        <row r="100">
          <cell r="H100" t="str">
            <v>日常费用财产保险费</v>
          </cell>
          <cell r="I100" t="str">
            <v>日常费用-其他</v>
          </cell>
        </row>
        <row r="101">
          <cell r="H101" t="str">
            <v>职场费用自有房屋及建筑物装修折旧费</v>
          </cell>
          <cell r="I101" t="str">
            <v>职场费用</v>
          </cell>
        </row>
        <row r="102">
          <cell r="H102" t="str">
            <v>职场费用租入房屋装修费摊销</v>
          </cell>
          <cell r="I102" t="str">
            <v>职场费用</v>
          </cell>
        </row>
        <row r="104">
          <cell r="H104" t="str">
            <v>1.0倍人力</v>
          </cell>
          <cell r="I104" t="str">
            <v>1.0倍人力</v>
          </cell>
        </row>
        <row r="105">
          <cell r="H105" t="str">
            <v>留任奖励留任奖励</v>
          </cell>
          <cell r="I105" t="str">
            <v>留任奖励</v>
          </cell>
        </row>
        <row r="106">
          <cell r="H106" t="str">
            <v>1.0倍人力专项经费</v>
          </cell>
          <cell r="I106" t="str">
            <v>1.0倍人力</v>
          </cell>
        </row>
        <row r="108">
          <cell r="H108" t="str">
            <v>IT费用数据资源摊销</v>
          </cell>
          <cell r="I108" t="str">
            <v>IT费用</v>
          </cell>
        </row>
        <row r="111">
          <cell r="H111" t="str">
            <v>特别奖金</v>
          </cell>
          <cell r="I111" t="str">
            <v>留任奖励</v>
          </cell>
        </row>
        <row r="112">
          <cell r="H112" t="str">
            <v>专项奖金</v>
          </cell>
          <cell r="I112" t="str">
            <v>1.0倍人力</v>
          </cell>
        </row>
        <row r="114">
          <cell r="H114" t="str">
            <v>运营费用信息资料费</v>
          </cell>
          <cell r="I114" t="str">
            <v>运营费用-运营其他</v>
          </cell>
        </row>
      </sheetData>
      <sheetData sheetId="11"/>
    </sheetDataSet>
  </externalBook>
</externalLink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AA283-76C1-47E9-942F-D4E83802D43E}">
  <dimension ref="A1:BF1466"/>
  <sheetViews>
    <sheetView tabSelected="1" zoomScale="85" zoomScaleNormal="85" workbookViewId="0">
      <pane xSplit="6" ySplit="4" topLeftCell="G1156" activePane="bottomRight" state="frozen"/>
      <selection pane="topRight" activeCell="G1" sqref="G1"/>
      <selection pane="bottomLeft" activeCell="A5" sqref="A5"/>
      <selection pane="bottomRight" activeCell="G1159" sqref="G1159"/>
    </sheetView>
  </sheetViews>
  <sheetFormatPr defaultColWidth="9.77734375" defaultRowHeight="13.8"/>
  <cols>
    <col min="1" max="1" width="3.21875" customWidth="1"/>
    <col min="2" max="2" width="16.44140625" customWidth="1"/>
    <col min="3" max="3" width="9.88671875" customWidth="1"/>
    <col min="4" max="4" width="13.33203125" customWidth="1"/>
    <col min="5" max="5" width="13.44140625" customWidth="1"/>
    <col min="6" max="6" width="18.88671875" customWidth="1"/>
    <col min="7" max="31" width="23.33203125" customWidth="1"/>
    <col min="32" max="35" width="9.77734375" customWidth="1"/>
    <col min="36" max="45" width="23.33203125" style="3" customWidth="1"/>
    <col min="46" max="46" width="25.21875" style="4" customWidth="1"/>
    <col min="47" max="47" width="22.21875" style="4" customWidth="1"/>
    <col min="48" max="48" width="13.88671875" style="4" customWidth="1"/>
    <col min="49" max="49" width="19.33203125" style="4" customWidth="1"/>
    <col min="50" max="51" width="20.109375" style="4" customWidth="1"/>
    <col min="52" max="52" width="14.44140625" style="4" bestFit="1" customWidth="1"/>
    <col min="53" max="53" width="13.109375" style="4" bestFit="1" customWidth="1"/>
    <col min="54" max="54" width="20" style="4" customWidth="1"/>
    <col min="55" max="55" width="13.44140625" style="4" customWidth="1"/>
  </cols>
  <sheetData>
    <row r="1" spans="1:58" ht="13.95" customHeight="1">
      <c r="A1" s="1"/>
      <c r="B1" s="1"/>
      <c r="C1" s="1"/>
      <c r="D1" s="1"/>
      <c r="E1" s="1"/>
      <c r="F1" s="1"/>
      <c r="I1" s="2" t="s">
        <v>0</v>
      </c>
      <c r="J1" s="2" t="s">
        <v>0</v>
      </c>
      <c r="K1" s="2" t="s">
        <v>0</v>
      </c>
      <c r="L1" s="2" t="s">
        <v>0</v>
      </c>
      <c r="M1" s="2" t="s">
        <v>0</v>
      </c>
      <c r="N1" s="2" t="s">
        <v>0</v>
      </c>
      <c r="O1" s="2" t="s">
        <v>0</v>
      </c>
      <c r="P1" s="2" t="s">
        <v>0</v>
      </c>
      <c r="Q1" s="2" t="s">
        <v>0</v>
      </c>
      <c r="R1" s="2" t="s">
        <v>0</v>
      </c>
      <c r="S1" s="2" t="s">
        <v>0</v>
      </c>
      <c r="T1" s="2" t="s">
        <v>1</v>
      </c>
      <c r="U1" s="2" t="s">
        <v>1</v>
      </c>
      <c r="V1" s="2" t="s">
        <v>1</v>
      </c>
      <c r="W1" s="2" t="s">
        <v>1</v>
      </c>
      <c r="X1" s="2" t="s">
        <v>1</v>
      </c>
      <c r="Y1" s="2" t="s">
        <v>1</v>
      </c>
      <c r="Z1" s="2" t="s">
        <v>1</v>
      </c>
      <c r="AA1" s="2" t="s">
        <v>1</v>
      </c>
      <c r="AB1" s="2" t="s">
        <v>1</v>
      </c>
      <c r="AC1" s="2" t="s">
        <v>1</v>
      </c>
      <c r="AD1" s="2" t="s">
        <v>1</v>
      </c>
      <c r="AE1" s="2" t="s">
        <v>1</v>
      </c>
      <c r="AF1" s="2"/>
      <c r="AG1" s="2"/>
      <c r="AH1" s="2"/>
      <c r="AI1" s="2"/>
    </row>
    <row r="2" spans="1:58" s="8" customFormat="1" ht="14.4" customHeight="1">
      <c r="A2" s="5" t="s">
        <v>2</v>
      </c>
      <c r="B2" s="5"/>
      <c r="C2" s="5"/>
      <c r="D2" s="5"/>
      <c r="E2" s="5"/>
      <c r="F2" s="1"/>
      <c r="G2"/>
      <c r="H2"/>
      <c r="I2" s="2" t="s">
        <v>3</v>
      </c>
      <c r="J2" s="2" t="s">
        <v>4</v>
      </c>
      <c r="K2" s="2" t="s">
        <v>5</v>
      </c>
      <c r="L2" s="2" t="s">
        <v>6</v>
      </c>
      <c r="M2" s="2" t="s">
        <v>7</v>
      </c>
      <c r="N2" s="2" t="s">
        <v>8</v>
      </c>
      <c r="O2" s="2" t="s">
        <v>9</v>
      </c>
      <c r="P2" s="2" t="s">
        <v>10</v>
      </c>
      <c r="Q2" s="2" t="s">
        <v>11</v>
      </c>
      <c r="R2" s="2" t="s">
        <v>12</v>
      </c>
      <c r="S2" s="2" t="s">
        <v>13</v>
      </c>
      <c r="T2" s="2" t="s">
        <v>14</v>
      </c>
      <c r="U2" s="2" t="s">
        <v>14</v>
      </c>
      <c r="V2" s="2" t="s">
        <v>14</v>
      </c>
      <c r="W2" s="2" t="s">
        <v>14</v>
      </c>
      <c r="X2" s="2" t="s">
        <v>14</v>
      </c>
      <c r="Y2" s="2" t="s">
        <v>14</v>
      </c>
      <c r="Z2" s="2" t="s">
        <v>14</v>
      </c>
      <c r="AA2" s="2" t="s">
        <v>14</v>
      </c>
      <c r="AB2" s="2" t="s">
        <v>14</v>
      </c>
      <c r="AC2" s="2" t="s">
        <v>14</v>
      </c>
      <c r="AD2" s="2" t="s">
        <v>14</v>
      </c>
      <c r="AE2" s="2" t="s">
        <v>14</v>
      </c>
      <c r="AF2" s="2"/>
      <c r="AG2" s="2"/>
      <c r="AH2" s="2"/>
      <c r="AI2" s="2"/>
      <c r="AJ2" s="6"/>
      <c r="AK2" s="6"/>
      <c r="AL2" s="6"/>
      <c r="AM2" s="6"/>
      <c r="AN2" s="6"/>
      <c r="AO2" s="6"/>
      <c r="AP2" s="6"/>
      <c r="AQ2" s="6"/>
      <c r="AR2" s="6"/>
      <c r="AS2" s="6"/>
      <c r="AT2" s="7"/>
      <c r="AU2" s="7"/>
      <c r="AV2" s="7"/>
      <c r="AW2" s="7"/>
      <c r="AX2" s="7"/>
      <c r="AY2" s="7"/>
      <c r="AZ2" s="4"/>
      <c r="BA2" s="4"/>
      <c r="BB2" s="4"/>
      <c r="BC2" s="4"/>
    </row>
    <row r="3" spans="1:58" ht="15.6" customHeight="1">
      <c r="A3" s="9" t="s">
        <v>15</v>
      </c>
      <c r="B3" s="10"/>
      <c r="C3" s="9" t="s">
        <v>16</v>
      </c>
      <c r="D3" s="10"/>
      <c r="E3" s="11" t="s">
        <v>17</v>
      </c>
      <c r="F3" s="12"/>
      <c r="G3" s="13" t="s">
        <v>18</v>
      </c>
      <c r="H3" s="13"/>
      <c r="I3" s="13" t="s">
        <v>19</v>
      </c>
      <c r="J3" s="13"/>
      <c r="K3" s="13"/>
      <c r="L3" s="13"/>
      <c r="M3" s="13"/>
      <c r="N3" s="13"/>
      <c r="O3" s="13"/>
      <c r="P3" s="13"/>
      <c r="Q3" s="13"/>
      <c r="R3" s="13"/>
      <c r="S3" s="13"/>
      <c r="T3" s="14" t="s">
        <v>14</v>
      </c>
      <c r="U3" s="14"/>
      <c r="V3" s="13" t="s">
        <v>14</v>
      </c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J3" s="15"/>
      <c r="AK3" s="15"/>
      <c r="AL3" s="15"/>
      <c r="AM3" s="15"/>
      <c r="AN3" s="15"/>
      <c r="AO3" s="15"/>
      <c r="AP3" s="15"/>
      <c r="AQ3" s="15"/>
      <c r="AR3" s="15"/>
      <c r="AS3" s="15"/>
      <c r="BD3" s="16">
        <f>SUM(BC:BC)</f>
        <v>0</v>
      </c>
    </row>
    <row r="4" spans="1:58" ht="15.6">
      <c r="A4" s="17"/>
      <c r="B4" s="18"/>
      <c r="C4" s="17"/>
      <c r="D4" s="18"/>
      <c r="E4" s="11" t="s">
        <v>20</v>
      </c>
      <c r="F4" s="12"/>
      <c r="G4" s="19" t="s">
        <v>21</v>
      </c>
      <c r="H4" s="19" t="s">
        <v>22</v>
      </c>
      <c r="I4" s="19" t="s">
        <v>23</v>
      </c>
      <c r="J4" s="19" t="s">
        <v>4</v>
      </c>
      <c r="K4" s="19" t="s">
        <v>5</v>
      </c>
      <c r="L4" s="19" t="s">
        <v>6</v>
      </c>
      <c r="M4" s="19" t="s">
        <v>7</v>
      </c>
      <c r="N4" s="19" t="s">
        <v>24</v>
      </c>
      <c r="O4" s="19" t="s">
        <v>25</v>
      </c>
      <c r="P4" s="19" t="s">
        <v>26</v>
      </c>
      <c r="Q4" s="19" t="s">
        <v>27</v>
      </c>
      <c r="R4" s="19" t="s">
        <v>28</v>
      </c>
      <c r="S4" s="19" t="s">
        <v>29</v>
      </c>
      <c r="T4" s="19" t="s">
        <v>23</v>
      </c>
      <c r="U4" s="19" t="s">
        <v>4</v>
      </c>
      <c r="V4" s="19" t="s">
        <v>5</v>
      </c>
      <c r="W4" s="19" t="s">
        <v>6</v>
      </c>
      <c r="X4" s="19" t="s">
        <v>7</v>
      </c>
      <c r="Y4" s="19" t="s">
        <v>24</v>
      </c>
      <c r="Z4" s="19" t="s">
        <v>25</v>
      </c>
      <c r="AA4" s="19" t="s">
        <v>26</v>
      </c>
      <c r="AB4" s="19" t="s">
        <v>30</v>
      </c>
      <c r="AC4" s="19" t="s">
        <v>27</v>
      </c>
      <c r="AD4" s="19" t="s">
        <v>28</v>
      </c>
      <c r="AE4" s="19" t="s">
        <v>29</v>
      </c>
      <c r="AJ4" s="20"/>
      <c r="AK4" s="20"/>
      <c r="AL4" s="20"/>
      <c r="AM4" s="20"/>
      <c r="AN4" s="20"/>
      <c r="AO4" s="20"/>
      <c r="AP4" s="20"/>
      <c r="AQ4" s="20"/>
      <c r="AR4" s="20"/>
      <c r="AS4" s="20"/>
      <c r="AU4" s="21" t="s">
        <v>31</v>
      </c>
      <c r="AV4" s="22" t="s">
        <v>32</v>
      </c>
      <c r="AW4" s="22" t="s">
        <v>33</v>
      </c>
      <c r="AX4" s="22" t="s">
        <v>34</v>
      </c>
      <c r="AY4" s="22" t="s">
        <v>35</v>
      </c>
      <c r="AZ4" s="23" t="s">
        <v>0</v>
      </c>
      <c r="BA4" s="23" t="s">
        <v>1</v>
      </c>
      <c r="BB4" s="23" t="s">
        <v>36</v>
      </c>
      <c r="BC4" s="23" t="s">
        <v>36</v>
      </c>
      <c r="BF4" s="24" t="s">
        <v>37</v>
      </c>
    </row>
    <row r="5" spans="1:58" ht="28.5" customHeight="1">
      <c r="A5" s="25"/>
      <c r="B5" s="26" t="s">
        <v>38</v>
      </c>
      <c r="C5" s="27"/>
      <c r="D5" s="27"/>
      <c r="E5" s="27"/>
      <c r="F5" s="28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J5"/>
      <c r="AK5"/>
      <c r="AL5"/>
      <c r="AM5"/>
      <c r="AN5"/>
      <c r="AO5"/>
      <c r="AP5"/>
      <c r="AQ5"/>
      <c r="AR5"/>
      <c r="AS5"/>
      <c r="AT5" s="4" t="str">
        <f>AX5&amp;F5</f>
        <v/>
      </c>
      <c r="AU5" s="4" t="str">
        <f t="shared" ref="AU5:AU68" si="0">IF(B5="",AU4,B5)</f>
        <v>风险及运营管理部</v>
      </c>
      <c r="AV5" s="4" t="str">
        <f t="shared" ref="AV5:AV68" si="1">IF(B5&lt;&gt;"","",IF(D5="",AV4,D5))</f>
        <v/>
      </c>
      <c r="AW5" s="4" t="str">
        <f>IFERROR(VLOOKUP(AV5,[1]字段!A:B,2,0),"")</f>
        <v/>
      </c>
      <c r="AX5" s="30" t="str">
        <f>IF(AW5="人力费用",IF(E5="","",VLOOKUP(E5,[1]字段!D:E,2,0)),AW5)</f>
        <v/>
      </c>
      <c r="AY5" s="30" t="str">
        <f>IF(AT5="","",VLOOKUP(AT5,[1]字段!H:I,2,0))</f>
        <v/>
      </c>
      <c r="AZ5" s="31">
        <f t="shared" ref="AZ5:AZ68" si="2">IF($E5="",0,SUMIF($G$1:$AB$1,AZ$4,$G5:$AB5))</f>
        <v>0</v>
      </c>
      <c r="BA5" s="31">
        <f t="shared" ref="BA5:BA68" si="3">IF($E5="",0,SUMIF($G$1:$AE$1,BA$4,$G5:$AE5))</f>
        <v>0</v>
      </c>
      <c r="BB5" s="31">
        <f t="shared" ref="BB5:BB68" si="4">AZ5+BA5</f>
        <v>0</v>
      </c>
      <c r="BC5" s="31">
        <f t="shared" ref="BC5" si="5">IF(E5="",0,SUM(G5:AE5)-AZ5-BA5)</f>
        <v>0</v>
      </c>
    </row>
    <row r="6" spans="1:58" ht="28.5" customHeight="1">
      <c r="A6" s="32"/>
      <c r="B6" s="32"/>
      <c r="C6" s="33" t="s">
        <v>39</v>
      </c>
      <c r="D6" s="34" t="s">
        <v>40</v>
      </c>
      <c r="E6" s="35"/>
      <c r="F6" s="36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J6"/>
      <c r="AK6"/>
      <c r="AL6"/>
      <c r="AM6"/>
      <c r="AN6"/>
      <c r="AO6"/>
      <c r="AP6"/>
      <c r="AQ6"/>
      <c r="AR6"/>
      <c r="AS6"/>
      <c r="AT6" s="4" t="str">
        <f t="shared" ref="AT6:AT69" si="6">AX6&amp;F6</f>
        <v/>
      </c>
      <c r="AU6" s="4" t="str">
        <f t="shared" si="0"/>
        <v>风险及运营管理部</v>
      </c>
      <c r="AV6" s="4" t="str">
        <f t="shared" si="1"/>
        <v>人力费用</v>
      </c>
      <c r="AW6" s="4" t="str">
        <f>IFERROR(VLOOKUP(AV6,[1]字段!A:B,2,0),"")</f>
        <v>人力费用</v>
      </c>
      <c r="AX6" s="30" t="str">
        <f>IF(AW6="人力费用",IF(E6="","",VLOOKUP(E6,[1]字段!D:E,2,0)),AW6)</f>
        <v/>
      </c>
      <c r="AY6" s="30" t="str">
        <f>IF(AT6="","",VLOOKUP(AT6,[1]字段!H:I,2,0))</f>
        <v/>
      </c>
      <c r="AZ6" s="31">
        <f t="shared" si="2"/>
        <v>0</v>
      </c>
      <c r="BA6" s="31">
        <f t="shared" si="3"/>
        <v>0</v>
      </c>
      <c r="BB6" s="31">
        <f t="shared" si="4"/>
        <v>0</v>
      </c>
      <c r="BC6" s="31">
        <f t="shared" ref="BC6:BC69" si="7">IF(E6="",0,SUM(G6:AE6)-AZ6-BA6)</f>
        <v>0</v>
      </c>
      <c r="BF6" t="b">
        <f>ISBLANK(AY6)</f>
        <v>0</v>
      </c>
    </row>
    <row r="7" spans="1:58" ht="28.5" customHeight="1">
      <c r="A7" s="32"/>
      <c r="B7" s="32"/>
      <c r="C7" s="37"/>
      <c r="D7" s="38"/>
      <c r="E7" s="39" t="s">
        <v>41</v>
      </c>
      <c r="F7" s="39" t="s">
        <v>42</v>
      </c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J7"/>
      <c r="AK7"/>
      <c r="AL7"/>
      <c r="AM7"/>
      <c r="AN7"/>
      <c r="AO7"/>
      <c r="AP7"/>
      <c r="AQ7"/>
      <c r="AR7"/>
      <c r="AS7"/>
      <c r="AT7" s="4" t="str">
        <f t="shared" si="6"/>
        <v>1.0倍人力基础工资</v>
      </c>
      <c r="AU7" s="4" t="str">
        <f t="shared" si="0"/>
        <v>风险及运营管理部</v>
      </c>
      <c r="AV7" s="4" t="str">
        <f t="shared" si="1"/>
        <v>人力费用</v>
      </c>
      <c r="AW7" s="4" t="str">
        <f>IFERROR(VLOOKUP(AV7,[1]字段!A:B,2,0),"")</f>
        <v>人力费用</v>
      </c>
      <c r="AX7" s="30" t="str">
        <f>IF(AW7="人力费用",IF(E7="","",VLOOKUP(E7,[1]字段!D:E,2,0)),AW7)</f>
        <v>1.0倍人力</v>
      </c>
      <c r="AY7" s="30" t="str">
        <f>IF(AT7="","",VLOOKUP(AT7,[1]字段!H:I,2,0))</f>
        <v>1.0倍人力</v>
      </c>
      <c r="AZ7" s="31">
        <f>IF($E7="",0,SUMIF($G$1:$AB$1,AZ$4,$G7:$AB7))</f>
        <v>0</v>
      </c>
      <c r="BA7" s="31">
        <f t="shared" si="3"/>
        <v>0</v>
      </c>
      <c r="BB7" s="31">
        <f t="shared" si="4"/>
        <v>0</v>
      </c>
      <c r="BC7" s="31">
        <f>IF(E7="",0,SUM(G7:AE7)-AZ7-BA7)</f>
        <v>0</v>
      </c>
    </row>
    <row r="8" spans="1:58" ht="28.5" customHeight="1">
      <c r="A8" s="32"/>
      <c r="B8" s="32"/>
      <c r="C8" s="32"/>
      <c r="D8" s="40"/>
      <c r="E8" s="39">
        <v>5501010602</v>
      </c>
      <c r="F8" s="3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J8"/>
      <c r="AK8"/>
      <c r="AL8"/>
      <c r="AM8"/>
      <c r="AN8"/>
      <c r="AO8"/>
      <c r="AP8"/>
      <c r="AQ8"/>
      <c r="AR8"/>
      <c r="AS8"/>
      <c r="AT8" s="4" t="str">
        <f t="shared" si="6"/>
        <v>利润分享</v>
      </c>
      <c r="AU8" s="4" t="str">
        <f t="shared" si="0"/>
        <v>风险及运营管理部</v>
      </c>
      <c r="AV8" s="4" t="str">
        <f t="shared" si="1"/>
        <v>人力费用</v>
      </c>
      <c r="AW8" s="4" t="str">
        <f>IFERROR(VLOOKUP(AV8,[1]字段!A:B,2,0),"")</f>
        <v>人力费用</v>
      </c>
      <c r="AX8" s="30" t="str">
        <f>IF(AW8="人力费用",IF(E8="","",VLOOKUP(E8,[1]字段!D:E,2,0)),AW8)</f>
        <v>利润分享</v>
      </c>
      <c r="AY8" s="30" t="str">
        <f>IF(AT8="","",VLOOKUP(AT8,[1]字段!H:I,2,0))</f>
        <v>利润分享</v>
      </c>
      <c r="AZ8" s="31">
        <f t="shared" si="2"/>
        <v>0</v>
      </c>
      <c r="BA8" s="31">
        <f t="shared" si="3"/>
        <v>0</v>
      </c>
      <c r="BB8" s="31">
        <f t="shared" si="4"/>
        <v>0</v>
      </c>
      <c r="BC8" s="31">
        <f t="shared" si="7"/>
        <v>0</v>
      </c>
    </row>
    <row r="9" spans="1:58" ht="28.5" customHeight="1">
      <c r="A9" s="32"/>
      <c r="B9" s="32"/>
      <c r="C9" s="32"/>
      <c r="D9" s="40"/>
      <c r="E9" s="39">
        <v>5501010603</v>
      </c>
      <c r="F9" s="3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J9"/>
      <c r="AK9"/>
      <c r="AL9"/>
      <c r="AM9"/>
      <c r="AN9"/>
      <c r="AO9"/>
      <c r="AP9"/>
      <c r="AQ9"/>
      <c r="AR9"/>
      <c r="AS9"/>
      <c r="AT9" s="4" t="str">
        <f t="shared" si="6"/>
        <v>留任奖励</v>
      </c>
      <c r="AU9" s="4" t="str">
        <f t="shared" si="0"/>
        <v>风险及运营管理部</v>
      </c>
      <c r="AV9" s="4" t="str">
        <f t="shared" si="1"/>
        <v>人力费用</v>
      </c>
      <c r="AW9" s="4" t="str">
        <f>IFERROR(VLOOKUP(AV9,[1]字段!A:B,2,0),"")</f>
        <v>人力费用</v>
      </c>
      <c r="AX9" s="30" t="str">
        <f>IF(AW9="人力费用",IF(E9="","",VLOOKUP(E9,[1]字段!D:E,2,0)),AW9)</f>
        <v>留任奖励</v>
      </c>
      <c r="AY9" s="30" t="str">
        <f>IF(AT9="","",VLOOKUP(AT9,[1]字段!H:I,2,0))</f>
        <v>留任奖励</v>
      </c>
      <c r="AZ9" s="31">
        <f>IF($E9="",0,SUMIF($G$1:$AB$1,AZ$4,$G9:$AB9))</f>
        <v>0</v>
      </c>
      <c r="BA9" s="31">
        <f>IF($E9="",0,SUMIF($G$1:$AE$1,BA$4,$G9:$AE9))</f>
        <v>0</v>
      </c>
      <c r="BB9" s="31">
        <f>AZ9+BA9</f>
        <v>0</v>
      </c>
      <c r="BC9" s="31">
        <f t="shared" si="7"/>
        <v>0</v>
      </c>
    </row>
    <row r="10" spans="1:58" ht="28.5" customHeight="1">
      <c r="A10" s="32"/>
      <c r="B10" s="32"/>
      <c r="C10" s="32"/>
      <c r="D10" s="40"/>
      <c r="E10" s="39">
        <v>5501010604</v>
      </c>
      <c r="F10" s="3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J10"/>
      <c r="AK10"/>
      <c r="AL10"/>
      <c r="AM10"/>
      <c r="AN10"/>
      <c r="AO10"/>
      <c r="AP10"/>
      <c r="AQ10"/>
      <c r="AR10"/>
      <c r="AS10"/>
      <c r="AT10" s="4" t="str">
        <f t="shared" si="6"/>
        <v>1.0倍人力</v>
      </c>
      <c r="AU10" s="4" t="str">
        <f t="shared" si="0"/>
        <v>风险及运营管理部</v>
      </c>
      <c r="AV10" s="4" t="str">
        <f t="shared" si="1"/>
        <v>人力费用</v>
      </c>
      <c r="AW10" s="4" t="str">
        <f>IFERROR(VLOOKUP(AV10,[1]字段!A:B,2,0),"")</f>
        <v>人力费用</v>
      </c>
      <c r="AX10" s="30" t="str">
        <f>IF(AW10="人力费用",IF(E10="","",VLOOKUP(E10,[1]字段!D:E,2,0)),AW10)</f>
        <v>1.0倍人力</v>
      </c>
      <c r="AY10" s="30" t="str">
        <f>IF(AT10="","",VLOOKUP(AT10,[1]字段!H:I,2,0))</f>
        <v>1.0倍人力</v>
      </c>
      <c r="AZ10" s="31">
        <f t="shared" si="2"/>
        <v>0</v>
      </c>
      <c r="BA10" s="31">
        <f t="shared" si="3"/>
        <v>0</v>
      </c>
      <c r="BB10" s="31">
        <f t="shared" si="4"/>
        <v>0</v>
      </c>
      <c r="BC10" s="31">
        <f t="shared" si="7"/>
        <v>0</v>
      </c>
    </row>
    <row r="11" spans="1:58" ht="28.5" customHeight="1">
      <c r="A11" s="32"/>
      <c r="B11" s="32"/>
      <c r="C11" s="32"/>
      <c r="D11" s="40"/>
      <c r="E11" s="39" t="s">
        <v>43</v>
      </c>
      <c r="F11" s="39" t="s">
        <v>44</v>
      </c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J11"/>
      <c r="AK11"/>
      <c r="AL11"/>
      <c r="AM11"/>
      <c r="AN11"/>
      <c r="AO11"/>
      <c r="AP11"/>
      <c r="AQ11"/>
      <c r="AR11"/>
      <c r="AS11"/>
      <c r="AT11" s="4" t="str">
        <f t="shared" si="6"/>
        <v>1.0倍人力团队建设费</v>
      </c>
      <c r="AU11" s="4" t="str">
        <f t="shared" si="0"/>
        <v>风险及运营管理部</v>
      </c>
      <c r="AV11" s="4" t="str">
        <f t="shared" si="1"/>
        <v>人力费用</v>
      </c>
      <c r="AW11" s="4" t="str">
        <f>IFERROR(VLOOKUP(AV11,[1]字段!A:B,2,0),"")</f>
        <v>人力费用</v>
      </c>
      <c r="AX11" s="30" t="str">
        <f>IF(AW11="人力费用",IF(E11="","",VLOOKUP(E11,[1]字段!D:E,2,0)),AW11)</f>
        <v>1.0倍人力</v>
      </c>
      <c r="AY11" s="30" t="str">
        <f>IF(AT11="","",VLOOKUP(AT11,[1]字段!H:I,2,0))</f>
        <v>1.0倍人力</v>
      </c>
      <c r="AZ11" s="31">
        <f t="shared" si="2"/>
        <v>0</v>
      </c>
      <c r="BA11" s="31">
        <f t="shared" si="3"/>
        <v>0</v>
      </c>
      <c r="BB11" s="31">
        <f t="shared" si="4"/>
        <v>0</v>
      </c>
      <c r="BC11" s="31">
        <f t="shared" si="7"/>
        <v>0</v>
      </c>
    </row>
    <row r="12" spans="1:58" ht="28.5" customHeight="1">
      <c r="A12" s="32"/>
      <c r="B12" s="32"/>
      <c r="C12" s="32"/>
      <c r="D12" s="40"/>
      <c r="E12" s="39" t="s">
        <v>45</v>
      </c>
      <c r="F12" s="39" t="s">
        <v>46</v>
      </c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J12"/>
      <c r="AK12"/>
      <c r="AL12"/>
      <c r="AM12"/>
      <c r="AN12"/>
      <c r="AO12"/>
      <c r="AP12"/>
      <c r="AQ12"/>
      <c r="AR12"/>
      <c r="AS12"/>
      <c r="AT12" s="4" t="str">
        <f t="shared" si="6"/>
        <v>1.0倍人力其他职工福利费</v>
      </c>
      <c r="AU12" s="4" t="str">
        <f t="shared" si="0"/>
        <v>风险及运营管理部</v>
      </c>
      <c r="AV12" s="4" t="str">
        <f t="shared" si="1"/>
        <v>人力费用</v>
      </c>
      <c r="AW12" s="4" t="str">
        <f>IFERROR(VLOOKUP(AV12,[1]字段!A:B,2,0),"")</f>
        <v>人力费用</v>
      </c>
      <c r="AX12" s="30" t="str">
        <f>IF(AW12="人力费用",IF(E12="","",VLOOKUP(E12,[1]字段!D:E,2,0)),AW12)</f>
        <v>1.0倍人力</v>
      </c>
      <c r="AY12" s="30" t="str">
        <f>IF(AT12="","",VLOOKUP(AT12,[1]字段!H:I,2,0))</f>
        <v>1.0倍人力</v>
      </c>
      <c r="AZ12" s="31">
        <f t="shared" si="2"/>
        <v>0</v>
      </c>
      <c r="BA12" s="31">
        <f t="shared" si="3"/>
        <v>0</v>
      </c>
      <c r="BB12" s="31">
        <f t="shared" si="4"/>
        <v>0</v>
      </c>
      <c r="BC12" s="31">
        <f t="shared" si="7"/>
        <v>0</v>
      </c>
    </row>
    <row r="13" spans="1:58" ht="28.5" customHeight="1">
      <c r="A13" s="32"/>
      <c r="B13" s="32"/>
      <c r="C13" s="32"/>
      <c r="D13" s="40"/>
      <c r="E13" s="39" t="s">
        <v>47</v>
      </c>
      <c r="F13" s="39" t="s">
        <v>48</v>
      </c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J13"/>
      <c r="AK13"/>
      <c r="AL13"/>
      <c r="AM13"/>
      <c r="AN13"/>
      <c r="AO13"/>
      <c r="AP13"/>
      <c r="AQ13"/>
      <c r="AR13"/>
      <c r="AS13"/>
      <c r="AT13" s="4" t="str">
        <f t="shared" si="6"/>
        <v>1.0倍人力工会经费</v>
      </c>
      <c r="AU13" s="4" t="str">
        <f t="shared" si="0"/>
        <v>风险及运营管理部</v>
      </c>
      <c r="AV13" s="4" t="str">
        <f t="shared" si="1"/>
        <v>人力费用</v>
      </c>
      <c r="AW13" s="4" t="str">
        <f>IFERROR(VLOOKUP(AV13,[1]字段!A:B,2,0),"")</f>
        <v>人力费用</v>
      </c>
      <c r="AX13" s="30" t="str">
        <f>IF(AW13="人力费用",IF(E13="","",VLOOKUP(E13,[1]字段!D:E,2,0)),AW13)</f>
        <v>1.0倍人力</v>
      </c>
      <c r="AY13" s="30" t="str">
        <f>IF(AT13="","",VLOOKUP(AT13,[1]字段!H:I,2,0))</f>
        <v>1.0倍人力</v>
      </c>
      <c r="AZ13" s="31">
        <f t="shared" si="2"/>
        <v>0</v>
      </c>
      <c r="BA13" s="31">
        <f t="shared" si="3"/>
        <v>0</v>
      </c>
      <c r="BB13" s="31">
        <f t="shared" si="4"/>
        <v>0</v>
      </c>
      <c r="BC13" s="31">
        <f t="shared" si="7"/>
        <v>0</v>
      </c>
    </row>
    <row r="14" spans="1:58" ht="28.5" customHeight="1">
      <c r="A14" s="32"/>
      <c r="B14" s="32"/>
      <c r="C14" s="32"/>
      <c r="D14" s="40"/>
      <c r="E14" s="39" t="s">
        <v>49</v>
      </c>
      <c r="F14" s="39" t="s">
        <v>50</v>
      </c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J14"/>
      <c r="AK14"/>
      <c r="AL14"/>
      <c r="AM14"/>
      <c r="AN14"/>
      <c r="AO14"/>
      <c r="AP14"/>
      <c r="AQ14"/>
      <c r="AR14"/>
      <c r="AS14"/>
      <c r="AT14" s="4" t="str">
        <f t="shared" si="6"/>
        <v>1.0倍人力基本养老保险</v>
      </c>
      <c r="AU14" s="4" t="str">
        <f t="shared" si="0"/>
        <v>风险及运营管理部</v>
      </c>
      <c r="AV14" s="4" t="str">
        <f t="shared" si="1"/>
        <v>人力费用</v>
      </c>
      <c r="AW14" s="4" t="str">
        <f>IFERROR(VLOOKUP(AV14,[1]字段!A:B,2,0),"")</f>
        <v>人力费用</v>
      </c>
      <c r="AX14" s="30" t="str">
        <f>IF(AW14="人力费用",IF(E14="","",VLOOKUP(E14,[1]字段!D:E,2,0)),AW14)</f>
        <v>1.0倍人力</v>
      </c>
      <c r="AY14" s="30" t="str">
        <f>IF(AT14="","",VLOOKUP(AT14,[1]字段!H:I,2,0))</f>
        <v>1.0倍人力</v>
      </c>
      <c r="AZ14" s="31">
        <f t="shared" si="2"/>
        <v>0</v>
      </c>
      <c r="BA14" s="31">
        <f t="shared" si="3"/>
        <v>0</v>
      </c>
      <c r="BB14" s="31">
        <f t="shared" si="4"/>
        <v>0</v>
      </c>
      <c r="BC14" s="31">
        <f t="shared" si="7"/>
        <v>0</v>
      </c>
    </row>
    <row r="15" spans="1:58" ht="28.5" customHeight="1">
      <c r="A15" s="32"/>
      <c r="B15" s="32"/>
      <c r="C15" s="32"/>
      <c r="D15" s="40"/>
      <c r="E15" s="39" t="s">
        <v>51</v>
      </c>
      <c r="F15" s="39" t="s">
        <v>52</v>
      </c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J15"/>
      <c r="AK15"/>
      <c r="AL15"/>
      <c r="AM15"/>
      <c r="AN15"/>
      <c r="AO15"/>
      <c r="AP15"/>
      <c r="AQ15"/>
      <c r="AR15"/>
      <c r="AS15"/>
      <c r="AT15" s="4" t="str">
        <f t="shared" si="6"/>
        <v>1.0倍人力基本医疗保险</v>
      </c>
      <c r="AU15" s="4" t="str">
        <f t="shared" si="0"/>
        <v>风险及运营管理部</v>
      </c>
      <c r="AV15" s="4" t="str">
        <f t="shared" si="1"/>
        <v>人力费用</v>
      </c>
      <c r="AW15" s="4" t="str">
        <f>IFERROR(VLOOKUP(AV15,[1]字段!A:B,2,0),"")</f>
        <v>人力费用</v>
      </c>
      <c r="AX15" s="30" t="str">
        <f>IF(AW15="人力费用",IF(E15="","",VLOOKUP(E15,[1]字段!D:E,2,0)),AW15)</f>
        <v>1.0倍人力</v>
      </c>
      <c r="AY15" s="30" t="str">
        <f>IF(AT15="","",VLOOKUP(AT15,[1]字段!H:I,2,0))</f>
        <v>1.0倍人力</v>
      </c>
      <c r="AZ15" s="31">
        <f t="shared" si="2"/>
        <v>0</v>
      </c>
      <c r="BA15" s="31">
        <f t="shared" si="3"/>
        <v>0</v>
      </c>
      <c r="BB15" s="31">
        <f t="shared" si="4"/>
        <v>0</v>
      </c>
      <c r="BC15" s="31">
        <f t="shared" si="7"/>
        <v>0</v>
      </c>
    </row>
    <row r="16" spans="1:58" ht="28.5" customHeight="1">
      <c r="A16" s="32"/>
      <c r="B16" s="32"/>
      <c r="C16" s="32"/>
      <c r="D16" s="40"/>
      <c r="E16" s="39" t="s">
        <v>53</v>
      </c>
      <c r="F16" s="39" t="s">
        <v>54</v>
      </c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J16"/>
      <c r="AK16"/>
      <c r="AL16"/>
      <c r="AM16"/>
      <c r="AN16"/>
      <c r="AO16"/>
      <c r="AP16"/>
      <c r="AQ16"/>
      <c r="AR16"/>
      <c r="AS16"/>
      <c r="AT16" s="4" t="str">
        <f t="shared" si="6"/>
        <v>1.0倍人力工伤保险</v>
      </c>
      <c r="AU16" s="4" t="str">
        <f t="shared" si="0"/>
        <v>风险及运营管理部</v>
      </c>
      <c r="AV16" s="4" t="str">
        <f t="shared" si="1"/>
        <v>人力费用</v>
      </c>
      <c r="AW16" s="4" t="str">
        <f>IFERROR(VLOOKUP(AV16,[1]字段!A:B,2,0),"")</f>
        <v>人力费用</v>
      </c>
      <c r="AX16" s="30" t="str">
        <f>IF(AW16="人力费用",IF(E16="","",VLOOKUP(E16,[1]字段!D:E,2,0)),AW16)</f>
        <v>1.0倍人力</v>
      </c>
      <c r="AY16" s="30" t="str">
        <f>IF(AT16="","",VLOOKUP(AT16,[1]字段!H:I,2,0))</f>
        <v>1.0倍人力</v>
      </c>
      <c r="AZ16" s="31">
        <f t="shared" si="2"/>
        <v>0</v>
      </c>
      <c r="BA16" s="31">
        <f t="shared" si="3"/>
        <v>0</v>
      </c>
      <c r="BB16" s="31">
        <f t="shared" si="4"/>
        <v>0</v>
      </c>
      <c r="BC16" s="31">
        <f t="shared" si="7"/>
        <v>0</v>
      </c>
    </row>
    <row r="17" spans="1:55" ht="28.5" customHeight="1">
      <c r="A17" s="32"/>
      <c r="B17" s="32"/>
      <c r="C17" s="32"/>
      <c r="D17" s="40"/>
      <c r="E17" s="39" t="s">
        <v>55</v>
      </c>
      <c r="F17" s="39" t="s">
        <v>56</v>
      </c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J17"/>
      <c r="AK17"/>
      <c r="AL17"/>
      <c r="AM17"/>
      <c r="AN17"/>
      <c r="AO17"/>
      <c r="AP17"/>
      <c r="AQ17"/>
      <c r="AR17"/>
      <c r="AS17"/>
      <c r="AT17" s="4" t="str">
        <f t="shared" si="6"/>
        <v>1.0倍人力生育保险</v>
      </c>
      <c r="AU17" s="4" t="str">
        <f t="shared" si="0"/>
        <v>风险及运营管理部</v>
      </c>
      <c r="AV17" s="4" t="str">
        <f t="shared" si="1"/>
        <v>人力费用</v>
      </c>
      <c r="AW17" s="4" t="str">
        <f>IFERROR(VLOOKUP(AV17,[1]字段!A:B,2,0),"")</f>
        <v>人力费用</v>
      </c>
      <c r="AX17" s="30" t="str">
        <f>IF(AW17="人力费用",IF(E17="","",VLOOKUP(E17,[1]字段!D:E,2,0)),AW17)</f>
        <v>1.0倍人力</v>
      </c>
      <c r="AY17" s="30" t="str">
        <f>IF(AT17="","",VLOOKUP(AT17,[1]字段!H:I,2,0))</f>
        <v>1.0倍人力</v>
      </c>
      <c r="AZ17" s="31">
        <f t="shared" si="2"/>
        <v>0</v>
      </c>
      <c r="BA17" s="31">
        <f t="shared" si="3"/>
        <v>0</v>
      </c>
      <c r="BB17" s="31">
        <f t="shared" si="4"/>
        <v>0</v>
      </c>
      <c r="BC17" s="31">
        <f t="shared" si="7"/>
        <v>0</v>
      </c>
    </row>
    <row r="18" spans="1:55" ht="28.5" customHeight="1">
      <c r="A18" s="32"/>
      <c r="B18" s="32"/>
      <c r="C18" s="32"/>
      <c r="D18" s="40"/>
      <c r="E18" s="39" t="s">
        <v>57</v>
      </c>
      <c r="F18" s="39" t="s">
        <v>58</v>
      </c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J18"/>
      <c r="AK18"/>
      <c r="AL18"/>
      <c r="AM18"/>
      <c r="AN18"/>
      <c r="AO18"/>
      <c r="AP18"/>
      <c r="AQ18"/>
      <c r="AR18"/>
      <c r="AS18"/>
      <c r="AT18" s="4" t="str">
        <f t="shared" si="6"/>
        <v>1.0倍人力失业保险</v>
      </c>
      <c r="AU18" s="4" t="str">
        <f t="shared" si="0"/>
        <v>风险及运营管理部</v>
      </c>
      <c r="AV18" s="4" t="str">
        <f t="shared" si="1"/>
        <v>人力费用</v>
      </c>
      <c r="AW18" s="4" t="str">
        <f>IFERROR(VLOOKUP(AV18,[1]字段!A:B,2,0),"")</f>
        <v>人力费用</v>
      </c>
      <c r="AX18" s="30" t="str">
        <f>IF(AW18="人力费用",IF(E18="","",VLOOKUP(E18,[1]字段!D:E,2,0)),AW18)</f>
        <v>1.0倍人力</v>
      </c>
      <c r="AY18" s="30" t="str">
        <f>IF(AT18="","",VLOOKUP(AT18,[1]字段!H:I,2,0))</f>
        <v>1.0倍人力</v>
      </c>
      <c r="AZ18" s="31">
        <f t="shared" si="2"/>
        <v>0</v>
      </c>
      <c r="BA18" s="31">
        <f t="shared" si="3"/>
        <v>0</v>
      </c>
      <c r="BB18" s="31">
        <f t="shared" si="4"/>
        <v>0</v>
      </c>
      <c r="BC18" s="31">
        <f t="shared" si="7"/>
        <v>0</v>
      </c>
    </row>
    <row r="19" spans="1:55" ht="28.5" customHeight="1">
      <c r="A19" s="32"/>
      <c r="B19" s="32"/>
      <c r="C19" s="41"/>
      <c r="D19" s="42"/>
      <c r="E19" s="39" t="s">
        <v>59</v>
      </c>
      <c r="F19" s="39" t="s">
        <v>60</v>
      </c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J19"/>
      <c r="AK19"/>
      <c r="AL19"/>
      <c r="AM19"/>
      <c r="AN19"/>
      <c r="AO19"/>
      <c r="AP19"/>
      <c r="AQ19"/>
      <c r="AR19"/>
      <c r="AS19"/>
      <c r="AT19" s="4" t="str">
        <f t="shared" si="6"/>
        <v>1.0倍人力住房公积金</v>
      </c>
      <c r="AU19" s="4" t="str">
        <f t="shared" si="0"/>
        <v>风险及运营管理部</v>
      </c>
      <c r="AV19" s="4" t="str">
        <f t="shared" si="1"/>
        <v>人力费用</v>
      </c>
      <c r="AW19" s="4" t="str">
        <f>IFERROR(VLOOKUP(AV19,[1]字段!A:B,2,0),"")</f>
        <v>人力费用</v>
      </c>
      <c r="AX19" s="30" t="str">
        <f>IF(AW19="人力费用",IF(E19="","",VLOOKUP(E19,[1]字段!D:E,2,0)),AW19)</f>
        <v>1.0倍人力</v>
      </c>
      <c r="AY19" s="30" t="str">
        <f>IF(AT19="","",VLOOKUP(AT19,[1]字段!H:I,2,0))</f>
        <v>1.0倍人力</v>
      </c>
      <c r="AZ19" s="31">
        <f t="shared" si="2"/>
        <v>0</v>
      </c>
      <c r="BA19" s="31">
        <f>IF($E19="",0,SUMIF($G$1:$AE$1,BA$4,$G19:$AE19))</f>
        <v>0</v>
      </c>
      <c r="BB19" s="31">
        <f>AZ19+BA19</f>
        <v>0</v>
      </c>
      <c r="BC19" s="31">
        <f t="shared" si="7"/>
        <v>0</v>
      </c>
    </row>
    <row r="20" spans="1:55" ht="28.5" customHeight="1">
      <c r="C20" s="33" t="s">
        <v>61</v>
      </c>
      <c r="D20" s="34" t="s">
        <v>62</v>
      </c>
      <c r="E20" s="35"/>
      <c r="F20" s="36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J20"/>
      <c r="AK20"/>
      <c r="AL20"/>
      <c r="AM20"/>
      <c r="AN20"/>
      <c r="AO20"/>
      <c r="AP20"/>
      <c r="AQ20"/>
      <c r="AR20"/>
      <c r="AS20"/>
      <c r="AT20" s="4" t="str">
        <f t="shared" si="6"/>
        <v>运营费用</v>
      </c>
      <c r="AU20" s="4" t="str">
        <f t="shared" si="0"/>
        <v>风险及运营管理部</v>
      </c>
      <c r="AV20" s="4" t="str">
        <f t="shared" si="1"/>
        <v>IT运营费用</v>
      </c>
      <c r="AW20" s="4" t="str">
        <f>IFERROR(VLOOKUP(AV20,[1]字段!A:B,2,0),"")</f>
        <v>运营费用</v>
      </c>
      <c r="AX20" s="30" t="str">
        <f>IF(AW20="人力费用",IF(E20="","",VLOOKUP(E20,[1]字段!D:E,2,0)),AW20)</f>
        <v>运营费用</v>
      </c>
      <c r="AY20" s="30">
        <f>IF(AT20="","",VLOOKUP(AT20,[1]字段!H:I,2,0))</f>
        <v>0</v>
      </c>
      <c r="AZ20" s="31">
        <f t="shared" si="2"/>
        <v>0</v>
      </c>
      <c r="BA20" s="31">
        <f t="shared" si="3"/>
        <v>0</v>
      </c>
      <c r="BB20" s="31">
        <f t="shared" si="4"/>
        <v>0</v>
      </c>
      <c r="BC20" s="31">
        <f t="shared" si="7"/>
        <v>0</v>
      </c>
    </row>
    <row r="21" spans="1:55" ht="28.5" customHeight="1">
      <c r="A21" s="32"/>
      <c r="B21" s="32"/>
      <c r="C21" s="43"/>
      <c r="D21" s="43"/>
      <c r="E21" s="39" t="s">
        <v>63</v>
      </c>
      <c r="F21" s="39" t="s">
        <v>64</v>
      </c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J21"/>
      <c r="AK21"/>
      <c r="AL21"/>
      <c r="AM21"/>
      <c r="AN21"/>
      <c r="AO21"/>
      <c r="AP21"/>
      <c r="AQ21"/>
      <c r="AR21"/>
      <c r="AS21"/>
      <c r="AT21" s="4" t="str">
        <f t="shared" si="6"/>
        <v>运营费用信息资料费</v>
      </c>
      <c r="AU21" s="4" t="str">
        <f t="shared" si="0"/>
        <v>风险及运营管理部</v>
      </c>
      <c r="AV21" s="4" t="str">
        <f t="shared" si="1"/>
        <v>IT运营费用</v>
      </c>
      <c r="AW21" s="4" t="str">
        <f>IFERROR(VLOOKUP(AV21,[1]字段!A:B,2,0),"")</f>
        <v>运营费用</v>
      </c>
      <c r="AX21" s="30" t="str">
        <f>IF(AW21="人力费用",IF(E21="","",VLOOKUP(E21,[1]字段!D:E,2,0)),AW21)</f>
        <v>运营费用</v>
      </c>
      <c r="AY21" s="30" t="str">
        <f>IF(AT21="","",VLOOKUP(AT21,[1]字段!H:I,2,0))</f>
        <v>运营费用-运营其他</v>
      </c>
      <c r="AZ21" s="31">
        <f t="shared" si="2"/>
        <v>0</v>
      </c>
      <c r="BA21" s="31">
        <f t="shared" si="3"/>
        <v>0</v>
      </c>
      <c r="BB21" s="31">
        <f t="shared" si="4"/>
        <v>0</v>
      </c>
      <c r="BC21" s="31">
        <f t="shared" si="7"/>
        <v>0</v>
      </c>
    </row>
    <row r="22" spans="1:55" ht="28.5" customHeight="1">
      <c r="C22" s="33" t="s">
        <v>65</v>
      </c>
      <c r="D22" s="34" t="s">
        <v>66</v>
      </c>
      <c r="E22" s="35"/>
      <c r="F22" s="36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J22"/>
      <c r="AK22"/>
      <c r="AL22"/>
      <c r="AM22"/>
      <c r="AN22"/>
      <c r="AO22"/>
      <c r="AP22"/>
      <c r="AQ22"/>
      <c r="AR22"/>
      <c r="AS22"/>
      <c r="AT22" s="4" t="str">
        <f t="shared" si="6"/>
        <v>IT费用</v>
      </c>
      <c r="AU22" s="4" t="str">
        <f t="shared" si="0"/>
        <v>风险及运营管理部</v>
      </c>
      <c r="AV22" s="4" t="str">
        <f t="shared" si="1"/>
        <v>IT科技费用</v>
      </c>
      <c r="AW22" s="4" t="str">
        <f>IFERROR(VLOOKUP(AV22,[1]字段!A:B,2,0),"")</f>
        <v>IT费用</v>
      </c>
      <c r="AX22" s="30" t="str">
        <f>IF(AW22="人力费用",IF(E22="","",VLOOKUP(E22,[1]字段!D:E,2,0)),AW22)</f>
        <v>IT费用</v>
      </c>
      <c r="AY22" s="30">
        <f>IF(AT22="","",VLOOKUP(AT22,[1]字段!H:I,2,0))</f>
        <v>0</v>
      </c>
      <c r="AZ22" s="31">
        <f t="shared" si="2"/>
        <v>0</v>
      </c>
      <c r="BA22" s="31">
        <f t="shared" si="3"/>
        <v>0</v>
      </c>
      <c r="BB22" s="31">
        <f t="shared" si="4"/>
        <v>0</v>
      </c>
      <c r="BC22" s="31">
        <f t="shared" si="7"/>
        <v>0</v>
      </c>
    </row>
    <row r="23" spans="1:55" ht="28.5" customHeight="1">
      <c r="A23" s="32"/>
      <c r="B23" s="32"/>
      <c r="C23" s="37"/>
      <c r="D23" s="38"/>
      <c r="E23" s="39" t="s">
        <v>67</v>
      </c>
      <c r="F23" s="39" t="s">
        <v>68</v>
      </c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J23"/>
      <c r="AK23"/>
      <c r="AL23"/>
      <c r="AM23"/>
      <c r="AN23"/>
      <c r="AO23"/>
      <c r="AP23"/>
      <c r="AQ23"/>
      <c r="AR23"/>
      <c r="AS23"/>
      <c r="AT23" s="4" t="str">
        <f t="shared" si="6"/>
        <v>IT费用一般运营设备折旧费</v>
      </c>
      <c r="AU23" s="4" t="str">
        <f t="shared" si="0"/>
        <v>风险及运营管理部</v>
      </c>
      <c r="AV23" s="4" t="str">
        <f t="shared" si="1"/>
        <v>IT科技费用</v>
      </c>
      <c r="AW23" s="4" t="str">
        <f>IFERROR(VLOOKUP(AV23,[1]字段!A:B,2,0),"")</f>
        <v>IT费用</v>
      </c>
      <c r="AX23" s="30" t="str">
        <f>IF(AW23="人力费用",IF(E23="","",VLOOKUP(E23,[1]字段!D:E,2,0)),AW23)</f>
        <v>IT费用</v>
      </c>
      <c r="AY23" s="30" t="str">
        <f>IF(AT23="","",VLOOKUP(AT23,[1]字段!H:I,2,0))</f>
        <v>IT费用</v>
      </c>
      <c r="AZ23" s="31">
        <f t="shared" si="2"/>
        <v>0</v>
      </c>
      <c r="BA23" s="31">
        <f t="shared" si="3"/>
        <v>0</v>
      </c>
      <c r="BB23" s="31">
        <f t="shared" si="4"/>
        <v>0</v>
      </c>
      <c r="BC23" s="31">
        <f t="shared" si="7"/>
        <v>0</v>
      </c>
    </row>
    <row r="24" spans="1:55" ht="28.5" customHeight="1">
      <c r="A24" s="32"/>
      <c r="B24" s="32"/>
      <c r="C24" s="32"/>
      <c r="D24" s="40"/>
      <c r="E24" s="39" t="s">
        <v>69</v>
      </c>
      <c r="F24" s="39" t="s">
        <v>70</v>
      </c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J24"/>
      <c r="AK24"/>
      <c r="AL24"/>
      <c r="AM24"/>
      <c r="AN24"/>
      <c r="AO24"/>
      <c r="AP24"/>
      <c r="AQ24"/>
      <c r="AR24"/>
      <c r="AS24"/>
      <c r="AT24" s="4" t="str">
        <f t="shared" si="6"/>
        <v>IT费用移动终端折旧费</v>
      </c>
      <c r="AU24" s="4" t="str">
        <f t="shared" si="0"/>
        <v>风险及运营管理部</v>
      </c>
      <c r="AV24" s="4" t="str">
        <f t="shared" si="1"/>
        <v>IT科技费用</v>
      </c>
      <c r="AW24" s="4" t="str">
        <f>IFERROR(VLOOKUP(AV24,[1]字段!A:B,2,0),"")</f>
        <v>IT费用</v>
      </c>
      <c r="AX24" s="30" t="str">
        <f>IF(AW24="人力费用",IF(E24="","",VLOOKUP(E24,[1]字段!D:E,2,0)),AW24)</f>
        <v>IT费用</v>
      </c>
      <c r="AY24" s="30" t="str">
        <f>IF(AT24="","",VLOOKUP(AT24,[1]字段!H:I,2,0))</f>
        <v>IT费用</v>
      </c>
      <c r="AZ24" s="31">
        <f t="shared" si="2"/>
        <v>0</v>
      </c>
      <c r="BA24" s="31">
        <f t="shared" si="3"/>
        <v>0</v>
      </c>
      <c r="BB24" s="31">
        <f t="shared" si="4"/>
        <v>0</v>
      </c>
      <c r="BC24" s="31">
        <f t="shared" si="7"/>
        <v>0</v>
      </c>
    </row>
    <row r="25" spans="1:55" ht="28.5" customHeight="1">
      <c r="A25" s="32"/>
      <c r="B25" s="32"/>
      <c r="C25" s="32"/>
      <c r="D25" s="40"/>
      <c r="E25" s="39" t="s">
        <v>71</v>
      </c>
      <c r="F25" s="39" t="s">
        <v>72</v>
      </c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J25"/>
      <c r="AK25"/>
      <c r="AL25"/>
      <c r="AM25"/>
      <c r="AN25"/>
      <c r="AO25"/>
      <c r="AP25"/>
      <c r="AQ25"/>
      <c r="AR25"/>
      <c r="AS25"/>
      <c r="AT25" s="4" t="str">
        <f t="shared" si="6"/>
        <v>IT费用办公IT设备折旧费</v>
      </c>
      <c r="AU25" s="4" t="str">
        <f t="shared" si="0"/>
        <v>风险及运营管理部</v>
      </c>
      <c r="AV25" s="4" t="str">
        <f t="shared" si="1"/>
        <v>IT科技费用</v>
      </c>
      <c r="AW25" s="4" t="str">
        <f>IFERROR(VLOOKUP(AV25,[1]字段!A:B,2,0),"")</f>
        <v>IT费用</v>
      </c>
      <c r="AX25" s="30" t="str">
        <f>IF(AW25="人力费用",IF(E25="","",VLOOKUP(E25,[1]字段!D:E,2,0)),AW25)</f>
        <v>IT费用</v>
      </c>
      <c r="AY25" s="30" t="str">
        <f>IF(AT25="","",VLOOKUP(AT25,[1]字段!H:I,2,0))</f>
        <v>IT费用</v>
      </c>
      <c r="AZ25" s="31">
        <f t="shared" si="2"/>
        <v>0</v>
      </c>
      <c r="BA25" s="31">
        <f t="shared" si="3"/>
        <v>0</v>
      </c>
      <c r="BB25" s="31">
        <f t="shared" si="4"/>
        <v>0</v>
      </c>
      <c r="BC25" s="31">
        <f t="shared" si="7"/>
        <v>0</v>
      </c>
    </row>
    <row r="26" spans="1:55" ht="28.5" customHeight="1">
      <c r="A26" s="32"/>
      <c r="B26" s="32"/>
      <c r="C26" s="32"/>
      <c r="D26" s="40"/>
      <c r="E26" s="39" t="s">
        <v>73</v>
      </c>
      <c r="F26" s="39" t="s">
        <v>74</v>
      </c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J26"/>
      <c r="AK26"/>
      <c r="AL26"/>
      <c r="AM26"/>
      <c r="AN26"/>
      <c r="AO26"/>
      <c r="AP26"/>
      <c r="AQ26"/>
      <c r="AR26"/>
      <c r="AS26"/>
      <c r="AT26" s="4" t="str">
        <f t="shared" si="6"/>
        <v>IT费用计算机软件摊销</v>
      </c>
      <c r="AU26" s="4" t="str">
        <f t="shared" si="0"/>
        <v>风险及运营管理部</v>
      </c>
      <c r="AV26" s="4" t="str">
        <f t="shared" si="1"/>
        <v>IT科技费用</v>
      </c>
      <c r="AW26" s="4" t="str">
        <f>IFERROR(VLOOKUP(AV26,[1]字段!A:B,2,0),"")</f>
        <v>IT费用</v>
      </c>
      <c r="AX26" s="30" t="str">
        <f>IF(AW26="人力费用",IF(E26="","",VLOOKUP(E26,[1]字段!D:E,2,0)),AW26)</f>
        <v>IT费用</v>
      </c>
      <c r="AY26" s="30" t="str">
        <f>IF(AT26="","",VLOOKUP(AT26,[1]字段!H:I,2,0))</f>
        <v>IT费用</v>
      </c>
      <c r="AZ26" s="31">
        <f t="shared" si="2"/>
        <v>0</v>
      </c>
      <c r="BA26" s="31">
        <f t="shared" si="3"/>
        <v>0</v>
      </c>
      <c r="BB26" s="31">
        <f t="shared" si="4"/>
        <v>0</v>
      </c>
      <c r="BC26" s="31">
        <f t="shared" si="7"/>
        <v>0</v>
      </c>
    </row>
    <row r="27" spans="1:55" ht="28.5" customHeight="1">
      <c r="A27" s="32"/>
      <c r="B27" s="32"/>
      <c r="C27" s="32"/>
      <c r="D27" s="40"/>
      <c r="E27" s="39" t="s">
        <v>75</v>
      </c>
      <c r="F27" s="39" t="s">
        <v>76</v>
      </c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J27"/>
      <c r="AK27"/>
      <c r="AL27"/>
      <c r="AM27"/>
      <c r="AN27"/>
      <c r="AO27"/>
      <c r="AP27"/>
      <c r="AQ27"/>
      <c r="AR27"/>
      <c r="AS27"/>
      <c r="AT27" s="4" t="str">
        <f t="shared" si="6"/>
        <v>IT费用数据资源摊销</v>
      </c>
      <c r="AU27" s="4" t="str">
        <f t="shared" si="0"/>
        <v>风险及运营管理部</v>
      </c>
      <c r="AV27" s="4" t="str">
        <f t="shared" si="1"/>
        <v>IT科技费用</v>
      </c>
      <c r="AW27" s="4" t="str">
        <f>IFERROR(VLOOKUP(AV27,[1]字段!A:B,2,0),"")</f>
        <v>IT费用</v>
      </c>
      <c r="AX27" s="30" t="str">
        <f>IF(AW27="人力费用",IF(E27="","",VLOOKUP(E27,[1]字段!D:E,2,0)),AW27)</f>
        <v>IT费用</v>
      </c>
      <c r="AY27" s="30" t="str">
        <f>IF(AT27="","",VLOOKUP(AT27,[1]字段!H:I,2,0))</f>
        <v>IT费用</v>
      </c>
      <c r="AZ27" s="31">
        <f t="shared" si="2"/>
        <v>0</v>
      </c>
      <c r="BA27" s="31">
        <f t="shared" si="3"/>
        <v>0</v>
      </c>
      <c r="BB27" s="31">
        <f t="shared" si="4"/>
        <v>0</v>
      </c>
      <c r="BC27" s="31">
        <f t="shared" si="7"/>
        <v>0</v>
      </c>
    </row>
    <row r="28" spans="1:55" ht="28.5" customHeight="1">
      <c r="A28" s="32"/>
      <c r="B28" s="32"/>
      <c r="C28" s="32"/>
      <c r="D28" s="40"/>
      <c r="E28" s="39" t="s">
        <v>77</v>
      </c>
      <c r="F28" s="39" t="s">
        <v>78</v>
      </c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J28"/>
      <c r="AK28"/>
      <c r="AL28"/>
      <c r="AM28"/>
      <c r="AN28"/>
      <c r="AO28"/>
      <c r="AP28"/>
      <c r="AQ28"/>
      <c r="AR28"/>
      <c r="AS28"/>
      <c r="AT28" s="4" t="str">
        <f t="shared" si="6"/>
        <v>IT费用咨询费</v>
      </c>
      <c r="AU28" s="4" t="str">
        <f t="shared" si="0"/>
        <v>风险及运营管理部</v>
      </c>
      <c r="AV28" s="4" t="str">
        <f t="shared" si="1"/>
        <v>IT科技费用</v>
      </c>
      <c r="AW28" s="4" t="str">
        <f>IFERROR(VLOOKUP(AV28,[1]字段!A:B,2,0),"")</f>
        <v>IT费用</v>
      </c>
      <c r="AX28" s="30" t="str">
        <f>IF(AW28="人力费用",IF(E28="","",VLOOKUP(E28,[1]字段!D:E,2,0)),AW28)</f>
        <v>IT费用</v>
      </c>
      <c r="AY28" s="30" t="str">
        <f>IF(AT28="","",VLOOKUP(AT28,[1]字段!H:I,2,0))</f>
        <v>IT费用</v>
      </c>
      <c r="AZ28" s="31">
        <f t="shared" si="2"/>
        <v>0</v>
      </c>
      <c r="BA28" s="31">
        <f t="shared" si="3"/>
        <v>0</v>
      </c>
      <c r="BB28" s="31">
        <f t="shared" si="4"/>
        <v>0</v>
      </c>
      <c r="BC28" s="31">
        <f t="shared" si="7"/>
        <v>0</v>
      </c>
    </row>
    <row r="29" spans="1:55" ht="28.5" customHeight="1">
      <c r="A29" s="32"/>
      <c r="B29" s="32"/>
      <c r="C29" s="32"/>
      <c r="D29" s="40"/>
      <c r="E29" s="39" t="s">
        <v>79</v>
      </c>
      <c r="F29" s="39" t="s">
        <v>80</v>
      </c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J29"/>
      <c r="AK29"/>
      <c r="AL29"/>
      <c r="AM29"/>
      <c r="AN29"/>
      <c r="AO29"/>
      <c r="AP29"/>
      <c r="AQ29"/>
      <c r="AR29"/>
      <c r="AS29"/>
      <c r="AT29" s="4" t="str">
        <f t="shared" si="6"/>
        <v>IT费用网络通讯费 </v>
      </c>
      <c r="AU29" s="4" t="str">
        <f t="shared" si="0"/>
        <v>风险及运营管理部</v>
      </c>
      <c r="AV29" s="4" t="str">
        <f t="shared" si="1"/>
        <v>IT科技费用</v>
      </c>
      <c r="AW29" s="4" t="str">
        <f>IFERROR(VLOOKUP(AV29,[1]字段!A:B,2,0),"")</f>
        <v>IT费用</v>
      </c>
      <c r="AX29" s="30" t="str">
        <f>IF(AW29="人力费用",IF(E29="","",VLOOKUP(E29,[1]字段!D:E,2,0)),AW29)</f>
        <v>IT费用</v>
      </c>
      <c r="AY29" s="30" t="str">
        <f>IF(AT29="","",VLOOKUP(AT29,[1]字段!H:I,2,0))</f>
        <v>IT费用</v>
      </c>
      <c r="AZ29" s="31">
        <f t="shared" si="2"/>
        <v>0</v>
      </c>
      <c r="BA29" s="31">
        <f t="shared" si="3"/>
        <v>0</v>
      </c>
      <c r="BB29" s="31">
        <f t="shared" si="4"/>
        <v>0</v>
      </c>
      <c r="BC29" s="31">
        <f t="shared" si="7"/>
        <v>0</v>
      </c>
    </row>
    <row r="30" spans="1:55" ht="28.5" customHeight="1">
      <c r="A30" s="32"/>
      <c r="B30" s="32"/>
      <c r="C30" s="32"/>
      <c r="D30" s="40"/>
      <c r="E30" s="39" t="s">
        <v>81</v>
      </c>
      <c r="F30" s="39" t="s">
        <v>82</v>
      </c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J30"/>
      <c r="AK30"/>
      <c r="AL30"/>
      <c r="AM30"/>
      <c r="AN30"/>
      <c r="AO30"/>
      <c r="AP30"/>
      <c r="AQ30"/>
      <c r="AR30"/>
      <c r="AS30"/>
      <c r="AT30" s="4" t="str">
        <f t="shared" si="6"/>
        <v>IT费用电子设备运转费 </v>
      </c>
      <c r="AU30" s="4" t="str">
        <f t="shared" si="0"/>
        <v>风险及运营管理部</v>
      </c>
      <c r="AV30" s="4" t="str">
        <f t="shared" si="1"/>
        <v>IT科技费用</v>
      </c>
      <c r="AW30" s="4" t="str">
        <f>IFERROR(VLOOKUP(AV30,[1]字段!A:B,2,0),"")</f>
        <v>IT费用</v>
      </c>
      <c r="AX30" s="30" t="str">
        <f>IF(AW30="人力费用",IF(E30="","",VLOOKUP(E30,[1]字段!D:E,2,0)),AW30)</f>
        <v>IT费用</v>
      </c>
      <c r="AY30" s="30" t="str">
        <f>IF(AT30="","",VLOOKUP(AT30,[1]字段!H:I,2,0))</f>
        <v>IT费用</v>
      </c>
      <c r="AZ30" s="31">
        <f t="shared" si="2"/>
        <v>0</v>
      </c>
      <c r="BA30" s="31">
        <f t="shared" si="3"/>
        <v>0</v>
      </c>
      <c r="BB30" s="31">
        <f t="shared" si="4"/>
        <v>0</v>
      </c>
      <c r="BC30" s="31">
        <f t="shared" si="7"/>
        <v>0</v>
      </c>
    </row>
    <row r="31" spans="1:55" ht="28.5" customHeight="1">
      <c r="A31" s="32"/>
      <c r="B31" s="32"/>
      <c r="C31" s="41"/>
      <c r="D31" s="42"/>
      <c r="E31" s="39" t="s">
        <v>83</v>
      </c>
      <c r="F31" s="39" t="s">
        <v>84</v>
      </c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J31"/>
      <c r="AK31"/>
      <c r="AL31"/>
      <c r="AM31"/>
      <c r="AN31"/>
      <c r="AO31"/>
      <c r="AP31"/>
      <c r="AQ31"/>
      <c r="AR31"/>
      <c r="AS31"/>
      <c r="AT31" s="4" t="str">
        <f t="shared" si="6"/>
        <v>IT费用其他外包服务费</v>
      </c>
      <c r="AU31" s="4" t="str">
        <f t="shared" si="0"/>
        <v>风险及运营管理部</v>
      </c>
      <c r="AV31" s="4" t="str">
        <f t="shared" si="1"/>
        <v>IT科技费用</v>
      </c>
      <c r="AW31" s="4" t="str">
        <f>IFERROR(VLOOKUP(AV31,[1]字段!A:B,2,0),"")</f>
        <v>IT费用</v>
      </c>
      <c r="AX31" s="30" t="str">
        <f>IF(AW31="人力费用",IF(E31="","",VLOOKUP(E31,[1]字段!D:E,2,0)),AW31)</f>
        <v>IT费用</v>
      </c>
      <c r="AY31" s="30" t="str">
        <f>IF(AT31="","",VLOOKUP(AT31,[1]字段!H:I,2,0))</f>
        <v>IT费用</v>
      </c>
      <c r="AZ31" s="31">
        <f t="shared" si="2"/>
        <v>0</v>
      </c>
      <c r="BA31" s="31">
        <f t="shared" si="3"/>
        <v>0</v>
      </c>
      <c r="BB31" s="31">
        <f t="shared" si="4"/>
        <v>0</v>
      </c>
      <c r="BC31" s="31">
        <f t="shared" si="7"/>
        <v>0</v>
      </c>
    </row>
    <row r="32" spans="1:55" ht="28.5" customHeight="1">
      <c r="C32" s="33" t="s">
        <v>85</v>
      </c>
      <c r="D32" s="34" t="s">
        <v>86</v>
      </c>
      <c r="E32" s="35"/>
      <c r="F32" s="36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J32"/>
      <c r="AK32"/>
      <c r="AL32"/>
      <c r="AM32"/>
      <c r="AN32"/>
      <c r="AO32"/>
      <c r="AP32"/>
      <c r="AQ32"/>
      <c r="AR32"/>
      <c r="AS32"/>
      <c r="AT32" s="4" t="str">
        <f t="shared" si="6"/>
        <v>日常费用</v>
      </c>
      <c r="AU32" s="4" t="str">
        <f t="shared" si="0"/>
        <v>风险及运营管理部</v>
      </c>
      <c r="AV32" s="4" t="str">
        <f t="shared" si="1"/>
        <v>IT日常费用</v>
      </c>
      <c r="AW32" s="4" t="str">
        <f>IFERROR(VLOOKUP(AV32,[1]字段!A:B,2,0),"")</f>
        <v>日常费用</v>
      </c>
      <c r="AX32" s="30" t="str">
        <f>IF(AW32="人力费用",IF(E32="","",VLOOKUP(E32,[1]字段!D:E,2,0)),AW32)</f>
        <v>日常费用</v>
      </c>
      <c r="AY32" s="30">
        <f>IF(AT32="","",VLOOKUP(AT32,[1]字段!H:I,2,0))</f>
        <v>0</v>
      </c>
      <c r="AZ32" s="31">
        <f t="shared" si="2"/>
        <v>0</v>
      </c>
      <c r="BA32" s="31">
        <f t="shared" si="3"/>
        <v>0</v>
      </c>
      <c r="BB32" s="31">
        <f t="shared" si="4"/>
        <v>0</v>
      </c>
      <c r="BC32" s="31">
        <f t="shared" si="7"/>
        <v>0</v>
      </c>
    </row>
    <row r="33" spans="1:55" ht="28.5" customHeight="1">
      <c r="A33" s="32"/>
      <c r="B33" s="32"/>
      <c r="C33" s="37"/>
      <c r="D33" s="38"/>
      <c r="E33" s="39" t="s">
        <v>87</v>
      </c>
      <c r="F33" s="39" t="s">
        <v>88</v>
      </c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J33"/>
      <c r="AK33"/>
      <c r="AL33"/>
      <c r="AM33"/>
      <c r="AN33"/>
      <c r="AO33"/>
      <c r="AP33"/>
      <c r="AQ33"/>
      <c r="AR33"/>
      <c r="AS33"/>
      <c r="AT33" s="4" t="str">
        <f t="shared" si="6"/>
        <v>日常费用办公OA设备折旧费</v>
      </c>
      <c r="AU33" s="4" t="str">
        <f t="shared" si="0"/>
        <v>风险及运营管理部</v>
      </c>
      <c r="AV33" s="4" t="str">
        <f t="shared" si="1"/>
        <v>IT日常费用</v>
      </c>
      <c r="AW33" s="4" t="str">
        <f>IFERROR(VLOOKUP(AV33,[1]字段!A:B,2,0),"")</f>
        <v>日常费用</v>
      </c>
      <c r="AX33" s="30" t="str">
        <f>IF(AW33="人力费用",IF(E33="","",VLOOKUP(E33,[1]字段!D:E,2,0)),AW33)</f>
        <v>日常费用</v>
      </c>
      <c r="AY33" s="30" t="str">
        <f>IF(AT33="","",VLOOKUP(AT33,[1]字段!H:I,2,0))</f>
        <v>日常费用-其他</v>
      </c>
      <c r="AZ33" s="31">
        <f t="shared" si="2"/>
        <v>0</v>
      </c>
      <c r="BA33" s="31">
        <f t="shared" si="3"/>
        <v>0</v>
      </c>
      <c r="BB33" s="31">
        <f t="shared" si="4"/>
        <v>0</v>
      </c>
      <c r="BC33" s="31">
        <f t="shared" si="7"/>
        <v>0</v>
      </c>
    </row>
    <row r="34" spans="1:55" ht="28.5" customHeight="1">
      <c r="A34" s="32"/>
      <c r="B34" s="32"/>
      <c r="C34" s="32"/>
      <c r="D34" s="40"/>
      <c r="E34" s="39" t="s">
        <v>89</v>
      </c>
      <c r="F34" s="39" t="s">
        <v>90</v>
      </c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J34"/>
      <c r="AK34"/>
      <c r="AL34"/>
      <c r="AM34"/>
      <c r="AN34"/>
      <c r="AO34"/>
      <c r="AP34"/>
      <c r="AQ34"/>
      <c r="AR34"/>
      <c r="AS34"/>
      <c r="AT34" s="4" t="str">
        <f t="shared" si="6"/>
        <v>日常费用办公家具折旧费</v>
      </c>
      <c r="AU34" s="4" t="str">
        <f t="shared" si="0"/>
        <v>风险及运营管理部</v>
      </c>
      <c r="AV34" s="4" t="str">
        <f t="shared" si="1"/>
        <v>IT日常费用</v>
      </c>
      <c r="AW34" s="4" t="str">
        <f>IFERROR(VLOOKUP(AV34,[1]字段!A:B,2,0),"")</f>
        <v>日常费用</v>
      </c>
      <c r="AX34" s="30" t="str">
        <f>IF(AW34="人力费用",IF(E34="","",VLOOKUP(E34,[1]字段!D:E,2,0)),AW34)</f>
        <v>日常费用</v>
      </c>
      <c r="AY34" s="30" t="str">
        <f>IF(AT34="","",VLOOKUP(AT34,[1]字段!H:I,2,0))</f>
        <v>日常费用-其他</v>
      </c>
      <c r="AZ34" s="31">
        <f t="shared" si="2"/>
        <v>0</v>
      </c>
      <c r="BA34" s="31">
        <f t="shared" si="3"/>
        <v>0</v>
      </c>
      <c r="BB34" s="31">
        <f t="shared" si="4"/>
        <v>0</v>
      </c>
      <c r="BC34" s="31">
        <f t="shared" si="7"/>
        <v>0</v>
      </c>
    </row>
    <row r="35" spans="1:55" ht="28.5" customHeight="1">
      <c r="A35" s="32"/>
      <c r="B35" s="32"/>
      <c r="C35" s="41"/>
      <c r="D35" s="42"/>
      <c r="E35" s="39" t="s">
        <v>91</v>
      </c>
      <c r="F35" s="39" t="s">
        <v>92</v>
      </c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J35"/>
      <c r="AK35"/>
      <c r="AL35"/>
      <c r="AM35"/>
      <c r="AN35"/>
      <c r="AO35"/>
      <c r="AP35"/>
      <c r="AQ35"/>
      <c r="AR35"/>
      <c r="AS35"/>
      <c r="AT35" s="4" t="str">
        <f t="shared" si="6"/>
        <v>日常费用办公费用</v>
      </c>
      <c r="AU35" s="4" t="str">
        <f t="shared" si="0"/>
        <v>风险及运营管理部</v>
      </c>
      <c r="AV35" s="4" t="str">
        <f t="shared" si="1"/>
        <v>IT日常费用</v>
      </c>
      <c r="AW35" s="4" t="str">
        <f>IFERROR(VLOOKUP(AV35,[1]字段!A:B,2,0),"")</f>
        <v>日常费用</v>
      </c>
      <c r="AX35" s="30" t="str">
        <f>IF(AW35="人力费用",IF(E35="","",VLOOKUP(E35,[1]字段!D:E,2,0)),AW35)</f>
        <v>日常费用</v>
      </c>
      <c r="AY35" s="30" t="str">
        <f>IF(AT35="","",VLOOKUP(AT35,[1]字段!H:I,2,0))</f>
        <v>日常费用-其他</v>
      </c>
      <c r="AZ35" s="31">
        <f t="shared" si="2"/>
        <v>0</v>
      </c>
      <c r="BA35" s="31">
        <f t="shared" si="3"/>
        <v>0</v>
      </c>
      <c r="BB35" s="31">
        <f t="shared" si="4"/>
        <v>0</v>
      </c>
      <c r="BC35" s="31">
        <f t="shared" si="7"/>
        <v>0</v>
      </c>
    </row>
    <row r="36" spans="1:55" ht="28.5" customHeight="1">
      <c r="C36" s="33" t="s">
        <v>93</v>
      </c>
      <c r="D36" s="34" t="s">
        <v>94</v>
      </c>
      <c r="E36" s="35"/>
      <c r="F36" s="36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J36"/>
      <c r="AK36"/>
      <c r="AL36"/>
      <c r="AM36"/>
      <c r="AN36"/>
      <c r="AO36"/>
      <c r="AP36"/>
      <c r="AQ36"/>
      <c r="AR36"/>
      <c r="AS36"/>
      <c r="AT36" s="4" t="str">
        <f t="shared" si="6"/>
        <v>日常费用</v>
      </c>
      <c r="AU36" s="4" t="str">
        <f t="shared" si="0"/>
        <v>风险及运营管理部</v>
      </c>
      <c r="AV36" s="4" t="str">
        <f t="shared" si="1"/>
        <v>日常费用</v>
      </c>
      <c r="AW36" s="4" t="str">
        <f>IFERROR(VLOOKUP(AV36,[1]字段!A:B,2,0),"")</f>
        <v>日常费用</v>
      </c>
      <c r="AX36" s="30" t="str">
        <f>IF(AW36="人力费用",IF(E36="","",VLOOKUP(E36,[1]字段!D:E,2,0)),AW36)</f>
        <v>日常费用</v>
      </c>
      <c r="AY36" s="30">
        <f>IF(AT36="","",VLOOKUP(AT36,[1]字段!H:I,2,0))</f>
        <v>0</v>
      </c>
      <c r="AZ36" s="31">
        <f t="shared" si="2"/>
        <v>0</v>
      </c>
      <c r="BA36" s="31">
        <f t="shared" si="3"/>
        <v>0</v>
      </c>
      <c r="BB36" s="31">
        <f t="shared" si="4"/>
        <v>0</v>
      </c>
      <c r="BC36" s="31">
        <f t="shared" si="7"/>
        <v>0</v>
      </c>
    </row>
    <row r="37" spans="1:55" ht="28.5" customHeight="1">
      <c r="A37" s="32"/>
      <c r="B37" s="32"/>
      <c r="C37" s="37"/>
      <c r="D37" s="38"/>
      <c r="E37" s="39" t="s">
        <v>83</v>
      </c>
      <c r="F37" s="39" t="s">
        <v>84</v>
      </c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J37"/>
      <c r="AK37"/>
      <c r="AL37"/>
      <c r="AM37"/>
      <c r="AN37"/>
      <c r="AO37"/>
      <c r="AP37"/>
      <c r="AQ37"/>
      <c r="AR37"/>
      <c r="AS37"/>
      <c r="AT37" s="4" t="str">
        <f t="shared" si="6"/>
        <v>日常费用其他外包服务费</v>
      </c>
      <c r="AU37" s="4" t="str">
        <f t="shared" si="0"/>
        <v>风险及运营管理部</v>
      </c>
      <c r="AV37" s="4" t="str">
        <f t="shared" si="1"/>
        <v>日常费用</v>
      </c>
      <c r="AW37" s="4" t="str">
        <f>IFERROR(VLOOKUP(AV37,[1]字段!A:B,2,0),"")</f>
        <v>日常费用</v>
      </c>
      <c r="AX37" s="30" t="str">
        <f>IF(AW37="人力费用",IF(E37="","",VLOOKUP(E37,[1]字段!D:E,2,0)),AW37)</f>
        <v>日常费用</v>
      </c>
      <c r="AY37" s="30" t="str">
        <f>IF(AT37="","",VLOOKUP(AT37,[1]字段!H:I,2,0))</f>
        <v>日常费用-外包服务费</v>
      </c>
      <c r="AZ37" s="31">
        <f t="shared" si="2"/>
        <v>0</v>
      </c>
      <c r="BA37" s="31">
        <f t="shared" si="3"/>
        <v>0</v>
      </c>
      <c r="BB37" s="31">
        <f t="shared" si="4"/>
        <v>0</v>
      </c>
      <c r="BC37" s="31">
        <f t="shared" si="7"/>
        <v>0</v>
      </c>
    </row>
    <row r="38" spans="1:55" ht="28.5" customHeight="1">
      <c r="A38" s="41"/>
      <c r="B38" s="41"/>
      <c r="C38" s="41"/>
      <c r="D38" s="42"/>
      <c r="E38" s="39" t="s">
        <v>95</v>
      </c>
      <c r="F38" s="39" t="s">
        <v>96</v>
      </c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J38"/>
      <c r="AK38"/>
      <c r="AL38"/>
      <c r="AM38"/>
      <c r="AN38"/>
      <c r="AO38"/>
      <c r="AP38"/>
      <c r="AQ38"/>
      <c r="AR38"/>
      <c r="AS38"/>
      <c r="AT38" s="4" t="str">
        <f t="shared" si="6"/>
        <v>日常费用业务招待费</v>
      </c>
      <c r="AU38" s="4" t="str">
        <f t="shared" si="0"/>
        <v>风险及运营管理部</v>
      </c>
      <c r="AV38" s="4" t="str">
        <f t="shared" si="1"/>
        <v>日常费用</v>
      </c>
      <c r="AW38" s="4" t="str">
        <f>IFERROR(VLOOKUP(AV38,[1]字段!A:B,2,0),"")</f>
        <v>日常费用</v>
      </c>
      <c r="AX38" s="30" t="str">
        <f>IF(AW38="人力费用",IF(E38="","",VLOOKUP(E38,[1]字段!D:E,2,0)),AW38)</f>
        <v>日常费用</v>
      </c>
      <c r="AY38" s="30" t="str">
        <f>IF(AT38="","",VLOOKUP(AT38,[1]字段!H:I,2,0))</f>
        <v>日常费用-其他</v>
      </c>
      <c r="AZ38" s="31">
        <f t="shared" si="2"/>
        <v>0</v>
      </c>
      <c r="BA38" s="31">
        <f t="shared" si="3"/>
        <v>0</v>
      </c>
      <c r="BB38" s="31">
        <f t="shared" si="4"/>
        <v>0</v>
      </c>
      <c r="BC38" s="31">
        <f t="shared" si="7"/>
        <v>0</v>
      </c>
    </row>
    <row r="39" spans="1:55" ht="28.5" customHeight="1">
      <c r="A39" s="25"/>
      <c r="B39" s="26" t="s">
        <v>97</v>
      </c>
      <c r="C39" s="27"/>
      <c r="D39" s="27"/>
      <c r="E39" s="27"/>
      <c r="F39" s="28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J39"/>
      <c r="AK39"/>
      <c r="AL39"/>
      <c r="AM39"/>
      <c r="AN39"/>
      <c r="AO39"/>
      <c r="AP39"/>
      <c r="AQ39"/>
      <c r="AR39"/>
      <c r="AS39"/>
      <c r="AT39" s="4" t="str">
        <f t="shared" si="6"/>
        <v/>
      </c>
      <c r="AU39" s="4" t="str">
        <f t="shared" si="0"/>
        <v>人力资源部</v>
      </c>
      <c r="AV39" s="4" t="str">
        <f t="shared" si="1"/>
        <v/>
      </c>
      <c r="AW39" s="4" t="str">
        <f>IFERROR(VLOOKUP(AV39,[1]字段!A:B,2,0),"")</f>
        <v/>
      </c>
      <c r="AX39" s="30" t="str">
        <f>IF(AW39="人力费用",IF(E39="","",VLOOKUP(E39,[1]字段!D:E,2,0)),AW39)</f>
        <v/>
      </c>
      <c r="AY39" s="30" t="str">
        <f>IF(AT39="","",VLOOKUP(AT39,[1]字段!H:I,2,0))</f>
        <v/>
      </c>
      <c r="AZ39" s="31">
        <f t="shared" si="2"/>
        <v>0</v>
      </c>
      <c r="BA39" s="31">
        <f t="shared" si="3"/>
        <v>0</v>
      </c>
      <c r="BB39" s="31">
        <f t="shared" si="4"/>
        <v>0</v>
      </c>
      <c r="BC39" s="31">
        <f t="shared" si="7"/>
        <v>0</v>
      </c>
    </row>
    <row r="40" spans="1:55" ht="28.5" customHeight="1">
      <c r="A40" s="32"/>
      <c r="B40" s="32"/>
      <c r="C40" s="33" t="s">
        <v>39</v>
      </c>
      <c r="D40" s="34" t="s">
        <v>40</v>
      </c>
      <c r="E40" s="35"/>
      <c r="F40" s="36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J40"/>
      <c r="AK40"/>
      <c r="AL40"/>
      <c r="AM40"/>
      <c r="AN40"/>
      <c r="AO40"/>
      <c r="AP40"/>
      <c r="AQ40"/>
      <c r="AR40"/>
      <c r="AS40"/>
      <c r="AT40" s="4" t="str">
        <f t="shared" si="6"/>
        <v/>
      </c>
      <c r="AU40" s="4" t="str">
        <f>IF(B40="",AU39,B40)</f>
        <v>人力资源部</v>
      </c>
      <c r="AV40" s="4" t="str">
        <f t="shared" si="1"/>
        <v>人力费用</v>
      </c>
      <c r="AW40" s="4" t="str">
        <f>IFERROR(VLOOKUP(AV40,[1]字段!A:B,2,0),"")</f>
        <v>人力费用</v>
      </c>
      <c r="AX40" s="30" t="str">
        <f>IF(AW40="人力费用",IF(E40="","",VLOOKUP(E40,[1]字段!D:E,2,0)),AW40)</f>
        <v/>
      </c>
      <c r="AY40" s="30" t="str">
        <f>IF(AT40="","",VLOOKUP(AT40,[1]字段!H:I,2,0))</f>
        <v/>
      </c>
      <c r="AZ40" s="31">
        <f t="shared" si="2"/>
        <v>0</v>
      </c>
      <c r="BA40" s="31">
        <f t="shared" si="3"/>
        <v>0</v>
      </c>
      <c r="BB40" s="31">
        <f t="shared" si="4"/>
        <v>0</v>
      </c>
      <c r="BC40" s="31">
        <f t="shared" si="7"/>
        <v>0</v>
      </c>
    </row>
    <row r="41" spans="1:55" ht="28.5" customHeight="1">
      <c r="A41" s="32"/>
      <c r="B41" s="32"/>
      <c r="C41" s="37"/>
      <c r="D41" s="38"/>
      <c r="E41" s="39" t="s">
        <v>41</v>
      </c>
      <c r="F41" s="39" t="s">
        <v>42</v>
      </c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J41"/>
      <c r="AK41"/>
      <c r="AL41"/>
      <c r="AM41"/>
      <c r="AN41"/>
      <c r="AO41"/>
      <c r="AP41"/>
      <c r="AQ41"/>
      <c r="AR41"/>
      <c r="AS41"/>
      <c r="AT41" s="4" t="str">
        <f t="shared" si="6"/>
        <v>1.0倍人力基础工资</v>
      </c>
      <c r="AU41" s="4" t="str">
        <f t="shared" si="0"/>
        <v>人力资源部</v>
      </c>
      <c r="AV41" s="4" t="str">
        <f t="shared" si="1"/>
        <v>人力费用</v>
      </c>
      <c r="AW41" s="4" t="str">
        <f>IFERROR(VLOOKUP(AV41,[1]字段!A:B,2,0),"")</f>
        <v>人力费用</v>
      </c>
      <c r="AX41" s="30" t="str">
        <f>IF(AW41="人力费用",IF(E41="","",VLOOKUP(E41,[1]字段!D:E,2,0)),AW41)</f>
        <v>1.0倍人力</v>
      </c>
      <c r="AY41" s="30" t="str">
        <f>IF(AT41="","",VLOOKUP(AT41,[1]字段!H:I,2,0))</f>
        <v>1.0倍人力</v>
      </c>
      <c r="AZ41" s="31">
        <f t="shared" si="2"/>
        <v>0</v>
      </c>
      <c r="BA41" s="31">
        <f t="shared" si="3"/>
        <v>0</v>
      </c>
      <c r="BB41" s="31">
        <f t="shared" si="4"/>
        <v>0</v>
      </c>
      <c r="BC41" s="31">
        <f t="shared" si="7"/>
        <v>0</v>
      </c>
    </row>
    <row r="42" spans="1:55" ht="28.5" customHeight="1">
      <c r="A42" s="32"/>
      <c r="B42" s="32"/>
      <c r="C42" s="32"/>
      <c r="D42" s="40"/>
      <c r="E42" s="39">
        <v>5501010602</v>
      </c>
      <c r="F42" s="3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J42"/>
      <c r="AK42"/>
      <c r="AL42"/>
      <c r="AM42"/>
      <c r="AN42"/>
      <c r="AO42"/>
      <c r="AP42"/>
      <c r="AQ42"/>
      <c r="AR42"/>
      <c r="AS42"/>
      <c r="AT42" s="4" t="str">
        <f t="shared" si="6"/>
        <v>利润分享</v>
      </c>
      <c r="AU42" s="4" t="str">
        <f t="shared" si="0"/>
        <v>人力资源部</v>
      </c>
      <c r="AV42" s="4" t="str">
        <f t="shared" si="1"/>
        <v>人力费用</v>
      </c>
      <c r="AW42" s="4" t="str">
        <f>IFERROR(VLOOKUP(AV42,[1]字段!A:B,2,0),"")</f>
        <v>人力费用</v>
      </c>
      <c r="AX42" s="30" t="str">
        <f>IF(AW42="人力费用",IF(E42="","",VLOOKUP(E42,[1]字段!D:E,2,0)),AW42)</f>
        <v>利润分享</v>
      </c>
      <c r="AY42" s="30" t="str">
        <f>IF(AT42="","",VLOOKUP(AT42,[1]字段!H:I,2,0))</f>
        <v>利润分享</v>
      </c>
      <c r="AZ42" s="31">
        <f t="shared" si="2"/>
        <v>0</v>
      </c>
      <c r="BA42" s="31">
        <f t="shared" si="3"/>
        <v>0</v>
      </c>
      <c r="BB42" s="31">
        <f t="shared" si="4"/>
        <v>0</v>
      </c>
      <c r="BC42" s="31">
        <f t="shared" si="7"/>
        <v>0</v>
      </c>
    </row>
    <row r="43" spans="1:55" ht="28.5" customHeight="1">
      <c r="A43" s="32"/>
      <c r="B43" s="32"/>
      <c r="C43" s="32"/>
      <c r="D43" s="40"/>
      <c r="E43" s="39">
        <v>5501010603</v>
      </c>
      <c r="F43" s="3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J43"/>
      <c r="AK43"/>
      <c r="AL43"/>
      <c r="AM43"/>
      <c r="AN43"/>
      <c r="AO43"/>
      <c r="AP43"/>
      <c r="AQ43"/>
      <c r="AR43"/>
      <c r="AS43"/>
      <c r="AT43" s="4" t="str">
        <f t="shared" si="6"/>
        <v>留任奖励</v>
      </c>
      <c r="AU43" s="4" t="str">
        <f t="shared" si="0"/>
        <v>人力资源部</v>
      </c>
      <c r="AV43" s="4" t="str">
        <f t="shared" si="1"/>
        <v>人力费用</v>
      </c>
      <c r="AW43" s="4" t="str">
        <f>IFERROR(VLOOKUP(AV43,[1]字段!A:B,2,0),"")</f>
        <v>人力费用</v>
      </c>
      <c r="AX43" s="30" t="str">
        <f>IF(AW43="人力费用",IF(E43="","",VLOOKUP(E43,[1]字段!D:E,2,0)),AW43)</f>
        <v>留任奖励</v>
      </c>
      <c r="AY43" s="30" t="str">
        <f>IF(AT43="","",VLOOKUP(AT43,[1]字段!H:I,2,0))</f>
        <v>留任奖励</v>
      </c>
      <c r="AZ43" s="31">
        <f t="shared" si="2"/>
        <v>0</v>
      </c>
      <c r="BA43" s="31">
        <f t="shared" si="3"/>
        <v>0</v>
      </c>
      <c r="BB43" s="31">
        <f t="shared" si="4"/>
        <v>0</v>
      </c>
      <c r="BC43" s="31">
        <f t="shared" si="7"/>
        <v>0</v>
      </c>
    </row>
    <row r="44" spans="1:55" ht="28.5" customHeight="1">
      <c r="A44" s="32"/>
      <c r="B44" s="32"/>
      <c r="C44" s="32"/>
      <c r="D44" s="40"/>
      <c r="E44" s="39">
        <v>5501010604</v>
      </c>
      <c r="F44" s="3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J44"/>
      <c r="AK44"/>
      <c r="AL44"/>
      <c r="AM44"/>
      <c r="AN44"/>
      <c r="AO44"/>
      <c r="AP44"/>
      <c r="AQ44"/>
      <c r="AR44"/>
      <c r="AS44"/>
      <c r="AT44" s="4" t="str">
        <f t="shared" si="6"/>
        <v>1.0倍人力</v>
      </c>
      <c r="AU44" s="4" t="str">
        <f t="shared" si="0"/>
        <v>人力资源部</v>
      </c>
      <c r="AV44" s="4" t="str">
        <f t="shared" si="1"/>
        <v>人力费用</v>
      </c>
      <c r="AW44" s="4" t="str">
        <f>IFERROR(VLOOKUP(AV44,[1]字段!A:B,2,0),"")</f>
        <v>人力费用</v>
      </c>
      <c r="AX44" s="30" t="str">
        <f>IF(AW44="人力费用",IF(E44="","",VLOOKUP(E44,[1]字段!D:E,2,0)),AW44)</f>
        <v>1.0倍人力</v>
      </c>
      <c r="AY44" s="30" t="str">
        <f>IF(AT44="","",VLOOKUP(AT44,[1]字段!H:I,2,0))</f>
        <v>1.0倍人力</v>
      </c>
      <c r="AZ44" s="31">
        <f t="shared" si="2"/>
        <v>0</v>
      </c>
      <c r="BA44" s="31">
        <f t="shared" si="3"/>
        <v>0</v>
      </c>
      <c r="BB44" s="31">
        <f t="shared" si="4"/>
        <v>0</v>
      </c>
      <c r="BC44" s="31">
        <f t="shared" si="7"/>
        <v>0</v>
      </c>
    </row>
    <row r="45" spans="1:55" ht="28.5" customHeight="1">
      <c r="A45" s="32"/>
      <c r="B45" s="32"/>
      <c r="C45" s="32"/>
      <c r="D45" s="40"/>
      <c r="E45" s="39" t="s">
        <v>43</v>
      </c>
      <c r="F45" s="39" t="s">
        <v>44</v>
      </c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J45"/>
      <c r="AK45"/>
      <c r="AL45"/>
      <c r="AM45"/>
      <c r="AN45"/>
      <c r="AO45"/>
      <c r="AP45"/>
      <c r="AQ45"/>
      <c r="AR45"/>
      <c r="AS45"/>
      <c r="AT45" s="4" t="str">
        <f t="shared" si="6"/>
        <v>1.0倍人力团队建设费</v>
      </c>
      <c r="AU45" s="4" t="str">
        <f t="shared" si="0"/>
        <v>人力资源部</v>
      </c>
      <c r="AV45" s="4" t="str">
        <f t="shared" si="1"/>
        <v>人力费用</v>
      </c>
      <c r="AW45" s="4" t="str">
        <f>IFERROR(VLOOKUP(AV45,[1]字段!A:B,2,0),"")</f>
        <v>人力费用</v>
      </c>
      <c r="AX45" s="30" t="str">
        <f>IF(AW45="人力费用",IF(E45="","",VLOOKUP(E45,[1]字段!D:E,2,0)),AW45)</f>
        <v>1.0倍人力</v>
      </c>
      <c r="AY45" s="30" t="str">
        <f>IF(AT45="","",VLOOKUP(AT45,[1]字段!H:I,2,0))</f>
        <v>1.0倍人力</v>
      </c>
      <c r="AZ45" s="31">
        <f t="shared" si="2"/>
        <v>0</v>
      </c>
      <c r="BA45" s="31">
        <f t="shared" si="3"/>
        <v>0</v>
      </c>
      <c r="BB45" s="31">
        <f t="shared" si="4"/>
        <v>0</v>
      </c>
      <c r="BC45" s="31">
        <f t="shared" si="7"/>
        <v>0</v>
      </c>
    </row>
    <row r="46" spans="1:55" ht="28.5" customHeight="1">
      <c r="A46" s="32"/>
      <c r="B46" s="32"/>
      <c r="C46" s="32"/>
      <c r="D46" s="40"/>
      <c r="E46" s="39" t="s">
        <v>45</v>
      </c>
      <c r="F46" s="39" t="s">
        <v>46</v>
      </c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J46"/>
      <c r="AK46"/>
      <c r="AL46"/>
      <c r="AM46"/>
      <c r="AN46"/>
      <c r="AO46"/>
      <c r="AP46"/>
      <c r="AQ46"/>
      <c r="AR46"/>
      <c r="AS46"/>
      <c r="AT46" s="4" t="str">
        <f t="shared" si="6"/>
        <v>1.0倍人力其他职工福利费</v>
      </c>
      <c r="AU46" s="4" t="str">
        <f t="shared" si="0"/>
        <v>人力资源部</v>
      </c>
      <c r="AV46" s="4" t="str">
        <f t="shared" si="1"/>
        <v>人力费用</v>
      </c>
      <c r="AW46" s="4" t="str">
        <f>IFERROR(VLOOKUP(AV46,[1]字段!A:B,2,0),"")</f>
        <v>人力费用</v>
      </c>
      <c r="AX46" s="30" t="str">
        <f>IF(AW46="人力费用",IF(E46="","",VLOOKUP(E46,[1]字段!D:E,2,0)),AW46)</f>
        <v>1.0倍人力</v>
      </c>
      <c r="AY46" s="30" t="str">
        <f>IF(AT46="","",VLOOKUP(AT46,[1]字段!H:I,2,0))</f>
        <v>1.0倍人力</v>
      </c>
      <c r="AZ46" s="31">
        <f t="shared" si="2"/>
        <v>0</v>
      </c>
      <c r="BA46" s="31">
        <f t="shared" si="3"/>
        <v>0</v>
      </c>
      <c r="BB46" s="31">
        <f t="shared" si="4"/>
        <v>0</v>
      </c>
      <c r="BC46" s="31">
        <f t="shared" si="7"/>
        <v>0</v>
      </c>
    </row>
    <row r="47" spans="1:55" ht="28.5" customHeight="1">
      <c r="A47" s="32"/>
      <c r="B47" s="32"/>
      <c r="C47" s="32"/>
      <c r="D47" s="40"/>
      <c r="E47" s="39" t="s">
        <v>47</v>
      </c>
      <c r="F47" s="39" t="s">
        <v>48</v>
      </c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J47"/>
      <c r="AK47"/>
      <c r="AL47"/>
      <c r="AM47"/>
      <c r="AN47"/>
      <c r="AO47"/>
      <c r="AP47"/>
      <c r="AQ47"/>
      <c r="AR47"/>
      <c r="AS47"/>
      <c r="AT47" s="4" t="str">
        <f t="shared" si="6"/>
        <v>1.0倍人力工会经费</v>
      </c>
      <c r="AU47" s="4" t="str">
        <f t="shared" si="0"/>
        <v>人力资源部</v>
      </c>
      <c r="AV47" s="4" t="str">
        <f t="shared" si="1"/>
        <v>人力费用</v>
      </c>
      <c r="AW47" s="4" t="str">
        <f>IFERROR(VLOOKUP(AV47,[1]字段!A:B,2,0),"")</f>
        <v>人力费用</v>
      </c>
      <c r="AX47" s="30" t="str">
        <f>IF(AW47="人力费用",IF(E47="","",VLOOKUP(E47,[1]字段!D:E,2,0)),AW47)</f>
        <v>1.0倍人力</v>
      </c>
      <c r="AY47" s="30" t="str">
        <f>IF(AT47="","",VLOOKUP(AT47,[1]字段!H:I,2,0))</f>
        <v>1.0倍人力</v>
      </c>
      <c r="AZ47" s="31">
        <f t="shared" si="2"/>
        <v>0</v>
      </c>
      <c r="BA47" s="31">
        <f t="shared" si="3"/>
        <v>0</v>
      </c>
      <c r="BB47" s="31">
        <f t="shared" si="4"/>
        <v>0</v>
      </c>
      <c r="BC47" s="31">
        <f t="shared" si="7"/>
        <v>0</v>
      </c>
    </row>
    <row r="48" spans="1:55" ht="28.5" customHeight="1">
      <c r="A48" s="32"/>
      <c r="B48" s="32"/>
      <c r="C48" s="32"/>
      <c r="D48" s="40"/>
      <c r="E48" s="39" t="s">
        <v>98</v>
      </c>
      <c r="F48" s="39" t="s">
        <v>99</v>
      </c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J48"/>
      <c r="AK48"/>
      <c r="AL48"/>
      <c r="AM48"/>
      <c r="AN48"/>
      <c r="AO48"/>
      <c r="AP48"/>
      <c r="AQ48"/>
      <c r="AR48"/>
      <c r="AS48"/>
      <c r="AT48" s="4" t="str">
        <f t="shared" si="6"/>
        <v>1.0倍人力职工教育经费</v>
      </c>
      <c r="AU48" s="4" t="str">
        <f t="shared" si="0"/>
        <v>人力资源部</v>
      </c>
      <c r="AV48" s="4" t="str">
        <f t="shared" si="1"/>
        <v>人力费用</v>
      </c>
      <c r="AW48" s="4" t="str">
        <f>IFERROR(VLOOKUP(AV48,[1]字段!A:B,2,0),"")</f>
        <v>人力费用</v>
      </c>
      <c r="AX48" s="30" t="str">
        <f>IF(AW48="人力费用",IF(E48="","",VLOOKUP(E48,[1]字段!D:E,2,0)),AW48)</f>
        <v>1.0倍人力</v>
      </c>
      <c r="AY48" s="30" t="str">
        <f>IF(AT48="","",VLOOKUP(AT48,[1]字段!H:I,2,0))</f>
        <v>1.0倍人力</v>
      </c>
      <c r="AZ48" s="31">
        <f t="shared" si="2"/>
        <v>0</v>
      </c>
      <c r="BA48" s="31">
        <f t="shared" si="3"/>
        <v>0</v>
      </c>
      <c r="BB48" s="31">
        <f t="shared" si="4"/>
        <v>0</v>
      </c>
      <c r="BC48" s="31">
        <f t="shared" si="7"/>
        <v>0</v>
      </c>
    </row>
    <row r="49" spans="1:55" ht="28.5" customHeight="1">
      <c r="A49" s="32"/>
      <c r="B49" s="32"/>
      <c r="C49" s="32"/>
      <c r="D49" s="40"/>
      <c r="E49" s="39" t="s">
        <v>49</v>
      </c>
      <c r="F49" s="39" t="s">
        <v>50</v>
      </c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J49"/>
      <c r="AK49"/>
      <c r="AL49"/>
      <c r="AM49"/>
      <c r="AN49"/>
      <c r="AO49"/>
      <c r="AP49"/>
      <c r="AQ49"/>
      <c r="AR49"/>
      <c r="AS49"/>
      <c r="AT49" s="4" t="str">
        <f t="shared" si="6"/>
        <v>1.0倍人力基本养老保险</v>
      </c>
      <c r="AU49" s="4" t="str">
        <f t="shared" si="0"/>
        <v>人力资源部</v>
      </c>
      <c r="AV49" s="4" t="str">
        <f t="shared" si="1"/>
        <v>人力费用</v>
      </c>
      <c r="AW49" s="4" t="str">
        <f>IFERROR(VLOOKUP(AV49,[1]字段!A:B,2,0),"")</f>
        <v>人力费用</v>
      </c>
      <c r="AX49" s="30" t="str">
        <f>IF(AW49="人力费用",IF(E49="","",VLOOKUP(E49,[1]字段!D:E,2,0)),AW49)</f>
        <v>1.0倍人力</v>
      </c>
      <c r="AY49" s="30" t="str">
        <f>IF(AT49="","",VLOOKUP(AT49,[1]字段!H:I,2,0))</f>
        <v>1.0倍人力</v>
      </c>
      <c r="AZ49" s="31">
        <f t="shared" si="2"/>
        <v>0</v>
      </c>
      <c r="BA49" s="31">
        <f t="shared" si="3"/>
        <v>0</v>
      </c>
      <c r="BB49" s="31">
        <f t="shared" si="4"/>
        <v>0</v>
      </c>
      <c r="BC49" s="31">
        <f t="shared" si="7"/>
        <v>0</v>
      </c>
    </row>
    <row r="50" spans="1:55" ht="28.5" customHeight="1">
      <c r="A50" s="32"/>
      <c r="B50" s="32"/>
      <c r="C50" s="32"/>
      <c r="D50" s="40"/>
      <c r="E50" s="39" t="s">
        <v>51</v>
      </c>
      <c r="F50" s="39" t="s">
        <v>52</v>
      </c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J50"/>
      <c r="AK50"/>
      <c r="AL50"/>
      <c r="AM50"/>
      <c r="AN50"/>
      <c r="AO50"/>
      <c r="AP50"/>
      <c r="AQ50"/>
      <c r="AR50"/>
      <c r="AS50"/>
      <c r="AT50" s="4" t="str">
        <f t="shared" si="6"/>
        <v>1.0倍人力基本医疗保险</v>
      </c>
      <c r="AU50" s="4" t="str">
        <f t="shared" si="0"/>
        <v>人力资源部</v>
      </c>
      <c r="AV50" s="4" t="str">
        <f t="shared" si="1"/>
        <v>人力费用</v>
      </c>
      <c r="AW50" s="4" t="str">
        <f>IFERROR(VLOOKUP(AV50,[1]字段!A:B,2,0),"")</f>
        <v>人力费用</v>
      </c>
      <c r="AX50" s="30" t="str">
        <f>IF(AW50="人力费用",IF(E50="","",VLOOKUP(E50,[1]字段!D:E,2,0)),AW50)</f>
        <v>1.0倍人力</v>
      </c>
      <c r="AY50" s="30" t="str">
        <f>IF(AT50="","",VLOOKUP(AT50,[1]字段!H:I,2,0))</f>
        <v>1.0倍人力</v>
      </c>
      <c r="AZ50" s="31">
        <f t="shared" si="2"/>
        <v>0</v>
      </c>
      <c r="BA50" s="31">
        <f t="shared" si="3"/>
        <v>0</v>
      </c>
      <c r="BB50" s="31">
        <f t="shared" si="4"/>
        <v>0</v>
      </c>
      <c r="BC50" s="31">
        <f t="shared" si="7"/>
        <v>0</v>
      </c>
    </row>
    <row r="51" spans="1:55" ht="28.5" customHeight="1">
      <c r="A51" s="32"/>
      <c r="B51" s="32"/>
      <c r="C51" s="32"/>
      <c r="D51" s="40"/>
      <c r="E51" s="39" t="s">
        <v>53</v>
      </c>
      <c r="F51" s="39" t="s">
        <v>54</v>
      </c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J51"/>
      <c r="AK51"/>
      <c r="AL51"/>
      <c r="AM51"/>
      <c r="AN51"/>
      <c r="AO51"/>
      <c r="AP51"/>
      <c r="AQ51"/>
      <c r="AR51"/>
      <c r="AS51"/>
      <c r="AT51" s="4" t="str">
        <f t="shared" si="6"/>
        <v>1.0倍人力工伤保险</v>
      </c>
      <c r="AU51" s="4" t="str">
        <f t="shared" si="0"/>
        <v>人力资源部</v>
      </c>
      <c r="AV51" s="4" t="str">
        <f t="shared" si="1"/>
        <v>人力费用</v>
      </c>
      <c r="AW51" s="4" t="str">
        <f>IFERROR(VLOOKUP(AV51,[1]字段!A:B,2,0),"")</f>
        <v>人力费用</v>
      </c>
      <c r="AX51" s="30" t="str">
        <f>IF(AW51="人力费用",IF(E51="","",VLOOKUP(E51,[1]字段!D:E,2,0)),AW51)</f>
        <v>1.0倍人力</v>
      </c>
      <c r="AY51" s="30" t="str">
        <f>IF(AT51="","",VLOOKUP(AT51,[1]字段!H:I,2,0))</f>
        <v>1.0倍人力</v>
      </c>
      <c r="AZ51" s="31">
        <f t="shared" si="2"/>
        <v>0</v>
      </c>
      <c r="BA51" s="31">
        <f t="shared" si="3"/>
        <v>0</v>
      </c>
      <c r="BB51" s="31">
        <f t="shared" si="4"/>
        <v>0</v>
      </c>
      <c r="BC51" s="31">
        <f t="shared" si="7"/>
        <v>0</v>
      </c>
    </row>
    <row r="52" spans="1:55" ht="28.5" customHeight="1">
      <c r="A52" s="32"/>
      <c r="B52" s="32"/>
      <c r="C52" s="32"/>
      <c r="D52" s="40"/>
      <c r="E52" s="39" t="s">
        <v>55</v>
      </c>
      <c r="F52" s="39" t="s">
        <v>56</v>
      </c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J52"/>
      <c r="AK52"/>
      <c r="AL52"/>
      <c r="AM52"/>
      <c r="AN52"/>
      <c r="AO52"/>
      <c r="AP52"/>
      <c r="AQ52"/>
      <c r="AR52"/>
      <c r="AS52"/>
      <c r="AT52" s="4" t="str">
        <f t="shared" si="6"/>
        <v>1.0倍人力生育保险</v>
      </c>
      <c r="AU52" s="4" t="str">
        <f t="shared" si="0"/>
        <v>人力资源部</v>
      </c>
      <c r="AV52" s="4" t="str">
        <f t="shared" si="1"/>
        <v>人力费用</v>
      </c>
      <c r="AW52" s="4" t="str">
        <f>IFERROR(VLOOKUP(AV52,[1]字段!A:B,2,0),"")</f>
        <v>人力费用</v>
      </c>
      <c r="AX52" s="30" t="str">
        <f>IF(AW52="人力费用",IF(E52="","",VLOOKUP(E52,[1]字段!D:E,2,0)),AW52)</f>
        <v>1.0倍人力</v>
      </c>
      <c r="AY52" s="30" t="str">
        <f>IF(AT52="","",VLOOKUP(AT52,[1]字段!H:I,2,0))</f>
        <v>1.0倍人力</v>
      </c>
      <c r="AZ52" s="31">
        <f t="shared" si="2"/>
        <v>0</v>
      </c>
      <c r="BA52" s="31">
        <f t="shared" si="3"/>
        <v>0</v>
      </c>
      <c r="BB52" s="31">
        <f t="shared" si="4"/>
        <v>0</v>
      </c>
      <c r="BC52" s="31">
        <f t="shared" si="7"/>
        <v>0</v>
      </c>
    </row>
    <row r="53" spans="1:55" ht="28.5" customHeight="1">
      <c r="A53" s="32"/>
      <c r="B53" s="32"/>
      <c r="C53" s="32"/>
      <c r="D53" s="40"/>
      <c r="E53" s="39" t="s">
        <v>57</v>
      </c>
      <c r="F53" s="39" t="s">
        <v>58</v>
      </c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J53"/>
      <c r="AK53"/>
      <c r="AL53"/>
      <c r="AM53"/>
      <c r="AN53"/>
      <c r="AO53"/>
      <c r="AP53"/>
      <c r="AQ53"/>
      <c r="AR53"/>
      <c r="AS53"/>
      <c r="AT53" s="4" t="str">
        <f t="shared" si="6"/>
        <v>1.0倍人力失业保险</v>
      </c>
      <c r="AU53" s="4" t="str">
        <f t="shared" si="0"/>
        <v>人力资源部</v>
      </c>
      <c r="AV53" s="4" t="str">
        <f t="shared" si="1"/>
        <v>人力费用</v>
      </c>
      <c r="AW53" s="4" t="str">
        <f>IFERROR(VLOOKUP(AV53,[1]字段!A:B,2,0),"")</f>
        <v>人力费用</v>
      </c>
      <c r="AX53" s="30" t="str">
        <f>IF(AW53="人力费用",IF(E53="","",VLOOKUP(E53,[1]字段!D:E,2,0)),AW53)</f>
        <v>1.0倍人力</v>
      </c>
      <c r="AY53" s="30" t="str">
        <f>IF(AT53="","",VLOOKUP(AT53,[1]字段!H:I,2,0))</f>
        <v>1.0倍人力</v>
      </c>
      <c r="AZ53" s="31">
        <f t="shared" si="2"/>
        <v>0</v>
      </c>
      <c r="BA53" s="31">
        <f t="shared" si="3"/>
        <v>0</v>
      </c>
      <c r="BB53" s="31">
        <f t="shared" si="4"/>
        <v>0</v>
      </c>
      <c r="BC53" s="31">
        <f t="shared" si="7"/>
        <v>0</v>
      </c>
    </row>
    <row r="54" spans="1:55" ht="28.5" customHeight="1">
      <c r="A54" s="32"/>
      <c r="B54" s="32"/>
      <c r="C54" s="32"/>
      <c r="D54" s="40"/>
      <c r="E54" s="39" t="s">
        <v>59</v>
      </c>
      <c r="F54" s="39" t="s">
        <v>60</v>
      </c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J54"/>
      <c r="AK54"/>
      <c r="AL54"/>
      <c r="AM54"/>
      <c r="AN54"/>
      <c r="AO54"/>
      <c r="AP54"/>
      <c r="AQ54"/>
      <c r="AR54"/>
      <c r="AS54"/>
      <c r="AT54" s="4" t="str">
        <f t="shared" si="6"/>
        <v>1.0倍人力住房公积金</v>
      </c>
      <c r="AU54" s="4" t="str">
        <f t="shared" si="0"/>
        <v>人力资源部</v>
      </c>
      <c r="AV54" s="4" t="str">
        <f t="shared" si="1"/>
        <v>人力费用</v>
      </c>
      <c r="AW54" s="4" t="str">
        <f>IFERROR(VLOOKUP(AV54,[1]字段!A:B,2,0),"")</f>
        <v>人力费用</v>
      </c>
      <c r="AX54" s="30" t="str">
        <f>IF(AW54="人力费用",IF(E54="","",VLOOKUP(E54,[1]字段!D:E,2,0)),AW54)</f>
        <v>1.0倍人力</v>
      </c>
      <c r="AY54" s="30" t="str">
        <f>IF(AT54="","",VLOOKUP(AT54,[1]字段!H:I,2,0))</f>
        <v>1.0倍人力</v>
      </c>
      <c r="AZ54" s="31">
        <f t="shared" si="2"/>
        <v>0</v>
      </c>
      <c r="BA54" s="31">
        <f t="shared" si="3"/>
        <v>0</v>
      </c>
      <c r="BB54" s="31">
        <f t="shared" si="4"/>
        <v>0</v>
      </c>
      <c r="BC54" s="31">
        <f t="shared" si="7"/>
        <v>0</v>
      </c>
    </row>
    <row r="55" spans="1:55" ht="28.5" customHeight="1">
      <c r="A55" s="32"/>
      <c r="B55" s="32"/>
      <c r="C55" s="32"/>
      <c r="D55" s="40"/>
      <c r="E55" s="39" t="s">
        <v>100</v>
      </c>
      <c r="F55" s="39" t="s">
        <v>101</v>
      </c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J55"/>
      <c r="AK55"/>
      <c r="AL55"/>
      <c r="AM55"/>
      <c r="AN55"/>
      <c r="AO55"/>
      <c r="AP55"/>
      <c r="AQ55"/>
      <c r="AR55"/>
      <c r="AS55"/>
      <c r="AT55" s="4" t="str">
        <f t="shared" si="6"/>
        <v>劳务支出劳务支出</v>
      </c>
      <c r="AU55" s="4" t="str">
        <f t="shared" si="0"/>
        <v>人力资源部</v>
      </c>
      <c r="AV55" s="4" t="str">
        <f t="shared" si="1"/>
        <v>人力费用</v>
      </c>
      <c r="AW55" s="4" t="str">
        <f>IFERROR(VLOOKUP(AV55,[1]字段!A:B,2,0),"")</f>
        <v>人力费用</v>
      </c>
      <c r="AX55" s="30" t="str">
        <f>IF(AW55="人力费用",IF(E55="","",VLOOKUP(E55,[1]字段!D:E,2,0)),AW55)</f>
        <v>劳务支出</v>
      </c>
      <c r="AY55" s="30" t="str">
        <f>IF(AT55="","",VLOOKUP(AT55,[1]字段!H:I,2,0))</f>
        <v>劳务支出</v>
      </c>
      <c r="AZ55" s="31">
        <f t="shared" si="2"/>
        <v>0</v>
      </c>
      <c r="BA55" s="31">
        <f t="shared" si="3"/>
        <v>0</v>
      </c>
      <c r="BB55" s="31">
        <f t="shared" si="4"/>
        <v>0</v>
      </c>
      <c r="BC55" s="31">
        <f t="shared" si="7"/>
        <v>0</v>
      </c>
    </row>
    <row r="56" spans="1:55" ht="28.5" customHeight="1">
      <c r="A56" s="32"/>
      <c r="B56" s="32"/>
      <c r="C56" s="41"/>
      <c r="D56" s="42"/>
      <c r="E56" s="39" t="s">
        <v>102</v>
      </c>
      <c r="F56" s="39" t="s">
        <v>103</v>
      </c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J56"/>
      <c r="AK56"/>
      <c r="AL56"/>
      <c r="AM56"/>
      <c r="AN56"/>
      <c r="AO56"/>
      <c r="AP56"/>
      <c r="AQ56"/>
      <c r="AR56"/>
      <c r="AS56"/>
      <c r="AT56" s="4" t="str">
        <f t="shared" si="6"/>
        <v>1.0倍人力其他人力资源费用</v>
      </c>
      <c r="AU56" s="4" t="str">
        <f t="shared" si="0"/>
        <v>人力资源部</v>
      </c>
      <c r="AV56" s="4" t="str">
        <f t="shared" si="1"/>
        <v>人力费用</v>
      </c>
      <c r="AW56" s="4" t="str">
        <f>IFERROR(VLOOKUP(AV56,[1]字段!A:B,2,0),"")</f>
        <v>人力费用</v>
      </c>
      <c r="AX56" s="30" t="str">
        <f>IF(AW56="人力费用",IF(E56="","",VLOOKUP(E56,[1]字段!D:E,2,0)),AW56)</f>
        <v>1.0倍人力</v>
      </c>
      <c r="AY56" s="30" t="str">
        <f>IF(AT56="","",VLOOKUP(AT56,[1]字段!H:I,2,0))</f>
        <v>1.0倍人力</v>
      </c>
      <c r="AZ56" s="31">
        <f t="shared" si="2"/>
        <v>0</v>
      </c>
      <c r="BA56" s="31">
        <f t="shared" si="3"/>
        <v>0</v>
      </c>
      <c r="BB56" s="31">
        <f t="shared" si="4"/>
        <v>0</v>
      </c>
      <c r="BC56" s="31">
        <f t="shared" si="7"/>
        <v>0</v>
      </c>
    </row>
    <row r="57" spans="1:55" ht="28.5" customHeight="1">
      <c r="C57" s="33" t="s">
        <v>65</v>
      </c>
      <c r="D57" s="34" t="s">
        <v>66</v>
      </c>
      <c r="E57" s="35"/>
      <c r="F57" s="36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J57"/>
      <c r="AK57"/>
      <c r="AL57"/>
      <c r="AM57"/>
      <c r="AN57"/>
      <c r="AO57"/>
      <c r="AP57"/>
      <c r="AQ57"/>
      <c r="AR57"/>
      <c r="AS57"/>
      <c r="AT57" s="4" t="str">
        <f t="shared" si="6"/>
        <v>IT费用</v>
      </c>
      <c r="AU57" s="4" t="str">
        <f t="shared" si="0"/>
        <v>人力资源部</v>
      </c>
      <c r="AV57" s="4" t="str">
        <f t="shared" si="1"/>
        <v>IT科技费用</v>
      </c>
      <c r="AW57" s="4" t="str">
        <f>IFERROR(VLOOKUP(AV57,[1]字段!A:B,2,0),"")</f>
        <v>IT费用</v>
      </c>
      <c r="AX57" s="30" t="str">
        <f>IF(AW57="人力费用",IF(E57="","",VLOOKUP(E57,[1]字段!D:E,2,0)),AW57)</f>
        <v>IT费用</v>
      </c>
      <c r="AY57" s="30">
        <f>IF(AT57="","",VLOOKUP(AT57,[1]字段!H:I,2,0))</f>
        <v>0</v>
      </c>
      <c r="AZ57" s="31">
        <f t="shared" si="2"/>
        <v>0</v>
      </c>
      <c r="BA57" s="31">
        <f t="shared" si="3"/>
        <v>0</v>
      </c>
      <c r="BB57" s="31">
        <f t="shared" si="4"/>
        <v>0</v>
      </c>
      <c r="BC57" s="31">
        <f t="shared" si="7"/>
        <v>0</v>
      </c>
    </row>
    <row r="58" spans="1:55" ht="28.5" customHeight="1">
      <c r="A58" s="32"/>
      <c r="B58" s="32"/>
      <c r="C58" s="37"/>
      <c r="D58" s="38"/>
      <c r="E58" s="39" t="s">
        <v>71</v>
      </c>
      <c r="F58" s="39" t="s">
        <v>72</v>
      </c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J58"/>
      <c r="AK58"/>
      <c r="AL58"/>
      <c r="AM58"/>
      <c r="AN58"/>
      <c r="AO58"/>
      <c r="AP58"/>
      <c r="AQ58"/>
      <c r="AR58"/>
      <c r="AS58"/>
      <c r="AT58" s="4" t="str">
        <f t="shared" si="6"/>
        <v>IT费用办公IT设备折旧费</v>
      </c>
      <c r="AU58" s="4" t="str">
        <f t="shared" si="0"/>
        <v>人力资源部</v>
      </c>
      <c r="AV58" s="4" t="str">
        <f t="shared" si="1"/>
        <v>IT科技费用</v>
      </c>
      <c r="AW58" s="4" t="str">
        <f>IFERROR(VLOOKUP(AV58,[1]字段!A:B,2,0),"")</f>
        <v>IT费用</v>
      </c>
      <c r="AX58" s="30" t="str">
        <f>IF(AW58="人力费用",IF(E58="","",VLOOKUP(E58,[1]字段!D:E,2,0)),AW58)</f>
        <v>IT费用</v>
      </c>
      <c r="AY58" s="30" t="str">
        <f>IF(AT58="","",VLOOKUP(AT58,[1]字段!H:I,2,0))</f>
        <v>IT费用</v>
      </c>
      <c r="AZ58" s="31">
        <f t="shared" si="2"/>
        <v>0</v>
      </c>
      <c r="BA58" s="31">
        <f t="shared" si="3"/>
        <v>0</v>
      </c>
      <c r="BB58" s="31">
        <f t="shared" si="4"/>
        <v>0</v>
      </c>
      <c r="BC58" s="31">
        <f t="shared" si="7"/>
        <v>0</v>
      </c>
    </row>
    <row r="59" spans="1:55" ht="28.5" customHeight="1">
      <c r="A59" s="32"/>
      <c r="B59" s="32"/>
      <c r="C59" s="41"/>
      <c r="D59" s="42"/>
      <c r="E59" s="39" t="s">
        <v>73</v>
      </c>
      <c r="F59" s="39" t="s">
        <v>74</v>
      </c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J59"/>
      <c r="AK59"/>
      <c r="AL59"/>
      <c r="AM59"/>
      <c r="AN59"/>
      <c r="AO59"/>
      <c r="AP59"/>
      <c r="AQ59"/>
      <c r="AR59"/>
      <c r="AS59"/>
      <c r="AT59" s="4" t="str">
        <f t="shared" si="6"/>
        <v>IT费用计算机软件摊销</v>
      </c>
      <c r="AU59" s="4" t="str">
        <f t="shared" si="0"/>
        <v>人力资源部</v>
      </c>
      <c r="AV59" s="4" t="str">
        <f t="shared" si="1"/>
        <v>IT科技费用</v>
      </c>
      <c r="AW59" s="4" t="str">
        <f>IFERROR(VLOOKUP(AV59,[1]字段!A:B,2,0),"")</f>
        <v>IT费用</v>
      </c>
      <c r="AX59" s="30" t="str">
        <f>IF(AW59="人力费用",IF(E59="","",VLOOKUP(E59,[1]字段!D:E,2,0)),AW59)</f>
        <v>IT费用</v>
      </c>
      <c r="AY59" s="30" t="str">
        <f>IF(AT59="","",VLOOKUP(AT59,[1]字段!H:I,2,0))</f>
        <v>IT费用</v>
      </c>
      <c r="AZ59" s="31">
        <f t="shared" si="2"/>
        <v>0</v>
      </c>
      <c r="BA59" s="31">
        <f t="shared" si="3"/>
        <v>0</v>
      </c>
      <c r="BB59" s="31">
        <f t="shared" si="4"/>
        <v>0</v>
      </c>
      <c r="BC59" s="31">
        <f t="shared" si="7"/>
        <v>0</v>
      </c>
    </row>
    <row r="60" spans="1:55" ht="28.5" customHeight="1">
      <c r="C60" s="33" t="s">
        <v>93</v>
      </c>
      <c r="D60" s="34" t="s">
        <v>94</v>
      </c>
      <c r="E60" s="35"/>
      <c r="F60" s="36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J60"/>
      <c r="AK60"/>
      <c r="AL60"/>
      <c r="AM60"/>
      <c r="AN60"/>
      <c r="AO60"/>
      <c r="AP60"/>
      <c r="AQ60"/>
      <c r="AR60"/>
      <c r="AS60"/>
      <c r="AT60" s="4" t="str">
        <f t="shared" si="6"/>
        <v>日常费用</v>
      </c>
      <c r="AU60" s="4" t="str">
        <f t="shared" si="0"/>
        <v>人力资源部</v>
      </c>
      <c r="AV60" s="4" t="str">
        <f t="shared" si="1"/>
        <v>日常费用</v>
      </c>
      <c r="AW60" s="4" t="str">
        <f>IFERROR(VLOOKUP(AV60,[1]字段!A:B,2,0),"")</f>
        <v>日常费用</v>
      </c>
      <c r="AX60" s="30" t="str">
        <f>IF(AW60="人力费用",IF(E60="","",VLOOKUP(E60,[1]字段!D:E,2,0)),AW60)</f>
        <v>日常费用</v>
      </c>
      <c r="AY60" s="30">
        <f>IF(AT60="","",VLOOKUP(AT60,[1]字段!H:I,2,0))</f>
        <v>0</v>
      </c>
      <c r="AZ60" s="31">
        <f t="shared" si="2"/>
        <v>0</v>
      </c>
      <c r="BA60" s="31">
        <f t="shared" si="3"/>
        <v>0</v>
      </c>
      <c r="BB60" s="31">
        <f t="shared" si="4"/>
        <v>0</v>
      </c>
      <c r="BC60" s="31">
        <f t="shared" si="7"/>
        <v>0</v>
      </c>
    </row>
    <row r="61" spans="1:55" ht="28.5" customHeight="1">
      <c r="A61" s="32"/>
      <c r="B61" s="32"/>
      <c r="C61" s="37"/>
      <c r="D61" s="38"/>
      <c r="E61" s="39" t="s">
        <v>83</v>
      </c>
      <c r="F61" s="39" t="s">
        <v>84</v>
      </c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J61"/>
      <c r="AK61"/>
      <c r="AL61"/>
      <c r="AM61"/>
      <c r="AN61"/>
      <c r="AO61"/>
      <c r="AP61"/>
      <c r="AQ61"/>
      <c r="AR61"/>
      <c r="AS61"/>
      <c r="AT61" s="4" t="str">
        <f t="shared" si="6"/>
        <v>日常费用其他外包服务费</v>
      </c>
      <c r="AU61" s="4" t="str">
        <f t="shared" si="0"/>
        <v>人力资源部</v>
      </c>
      <c r="AV61" s="4" t="str">
        <f t="shared" si="1"/>
        <v>日常费用</v>
      </c>
      <c r="AW61" s="4" t="str">
        <f>IFERROR(VLOOKUP(AV61,[1]字段!A:B,2,0),"")</f>
        <v>日常费用</v>
      </c>
      <c r="AX61" s="30" t="str">
        <f>IF(AW61="人力费用",IF(E61="","",VLOOKUP(E61,[1]字段!D:E,2,0)),AW61)</f>
        <v>日常费用</v>
      </c>
      <c r="AY61" s="30" t="str">
        <f>IF(AT61="","",VLOOKUP(AT61,[1]字段!H:I,2,0))</f>
        <v>日常费用-外包服务费</v>
      </c>
      <c r="AZ61" s="31">
        <f t="shared" si="2"/>
        <v>0</v>
      </c>
      <c r="BA61" s="31">
        <f t="shared" si="3"/>
        <v>0</v>
      </c>
      <c r="BB61" s="31">
        <f t="shared" si="4"/>
        <v>0</v>
      </c>
      <c r="BC61" s="31">
        <f t="shared" si="7"/>
        <v>0</v>
      </c>
    </row>
    <row r="62" spans="1:55" ht="28.5" customHeight="1">
      <c r="A62" s="32"/>
      <c r="B62" s="32"/>
      <c r="C62" s="32"/>
      <c r="D62" s="40"/>
      <c r="E62" s="39" t="s">
        <v>95</v>
      </c>
      <c r="F62" s="39" t="s">
        <v>96</v>
      </c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J62"/>
      <c r="AK62"/>
      <c r="AL62"/>
      <c r="AM62"/>
      <c r="AN62"/>
      <c r="AO62"/>
      <c r="AP62"/>
      <c r="AQ62"/>
      <c r="AR62"/>
      <c r="AS62"/>
      <c r="AT62" s="4" t="str">
        <f t="shared" si="6"/>
        <v>日常费用业务招待费</v>
      </c>
      <c r="AU62" s="4" t="str">
        <f t="shared" si="0"/>
        <v>人力资源部</v>
      </c>
      <c r="AV62" s="4" t="str">
        <f t="shared" si="1"/>
        <v>日常费用</v>
      </c>
      <c r="AW62" s="4" t="str">
        <f>IFERROR(VLOOKUP(AV62,[1]字段!A:B,2,0),"")</f>
        <v>日常费用</v>
      </c>
      <c r="AX62" s="30" t="str">
        <f>IF(AW62="人力费用",IF(E62="","",VLOOKUP(E62,[1]字段!D:E,2,0)),AW62)</f>
        <v>日常费用</v>
      </c>
      <c r="AY62" s="30" t="str">
        <f>IF(AT62="","",VLOOKUP(AT62,[1]字段!H:I,2,0))</f>
        <v>日常费用-其他</v>
      </c>
      <c r="AZ62" s="31">
        <f t="shared" si="2"/>
        <v>0</v>
      </c>
      <c r="BA62" s="31">
        <f t="shared" si="3"/>
        <v>0</v>
      </c>
      <c r="BB62" s="31">
        <f t="shared" si="4"/>
        <v>0</v>
      </c>
      <c r="BC62" s="31">
        <f t="shared" si="7"/>
        <v>0</v>
      </c>
    </row>
    <row r="63" spans="1:55" ht="28.5" customHeight="1">
      <c r="A63" s="41"/>
      <c r="B63" s="41"/>
      <c r="C63" s="41"/>
      <c r="D63" s="42"/>
      <c r="E63" s="39" t="s">
        <v>104</v>
      </c>
      <c r="F63" s="39" t="s">
        <v>105</v>
      </c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J63"/>
      <c r="AK63"/>
      <c r="AL63"/>
      <c r="AM63"/>
      <c r="AN63"/>
      <c r="AO63"/>
      <c r="AP63"/>
      <c r="AQ63"/>
      <c r="AR63"/>
      <c r="AS63"/>
      <c r="AT63" s="4" t="str">
        <f t="shared" si="6"/>
        <v>日常费用会议费</v>
      </c>
      <c r="AU63" s="4" t="str">
        <f t="shared" si="0"/>
        <v>人力资源部</v>
      </c>
      <c r="AV63" s="4" t="str">
        <f t="shared" si="1"/>
        <v>日常费用</v>
      </c>
      <c r="AW63" s="4" t="str">
        <f>IFERROR(VLOOKUP(AV63,[1]字段!A:B,2,0),"")</f>
        <v>日常费用</v>
      </c>
      <c r="AX63" s="30" t="str">
        <f>IF(AW63="人力费用",IF(E63="","",VLOOKUP(E63,[1]字段!D:E,2,0)),AW63)</f>
        <v>日常费用</v>
      </c>
      <c r="AY63" s="30" t="str">
        <f>IF(AT63="","",VLOOKUP(AT63,[1]字段!H:I,2,0))</f>
        <v>日常费用-其他</v>
      </c>
      <c r="AZ63" s="31">
        <f t="shared" si="2"/>
        <v>0</v>
      </c>
      <c r="BA63" s="31">
        <f t="shared" si="3"/>
        <v>0</v>
      </c>
      <c r="BB63" s="31">
        <f t="shared" si="4"/>
        <v>0</v>
      </c>
      <c r="BC63" s="31">
        <f t="shared" si="7"/>
        <v>0</v>
      </c>
    </row>
    <row r="64" spans="1:55" ht="28.5" customHeight="1">
      <c r="A64" s="25"/>
      <c r="B64" s="26" t="s">
        <v>106</v>
      </c>
      <c r="C64" s="27"/>
      <c r="D64" s="27"/>
      <c r="E64" s="27"/>
      <c r="F64" s="28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J64"/>
      <c r="AK64"/>
      <c r="AL64"/>
      <c r="AM64"/>
      <c r="AN64"/>
      <c r="AO64"/>
      <c r="AP64"/>
      <c r="AQ64"/>
      <c r="AR64"/>
      <c r="AS64"/>
      <c r="AT64" s="4" t="str">
        <f t="shared" si="6"/>
        <v/>
      </c>
      <c r="AU64" s="4" t="str">
        <f t="shared" si="0"/>
        <v>办公室</v>
      </c>
      <c r="AV64" s="4" t="str">
        <f t="shared" si="1"/>
        <v/>
      </c>
      <c r="AW64" s="4" t="str">
        <f>IFERROR(VLOOKUP(AV64,[1]字段!A:B,2,0),"")</f>
        <v/>
      </c>
      <c r="AX64" s="30" t="str">
        <f>IF(AW64="人力费用",IF(E64="","",VLOOKUP(E64,[1]字段!D:E,2,0)),AW64)</f>
        <v/>
      </c>
      <c r="AY64" s="30" t="str">
        <f>IF(AT64="","",VLOOKUP(AT64,[1]字段!H:I,2,0))</f>
        <v/>
      </c>
      <c r="AZ64" s="31">
        <f t="shared" si="2"/>
        <v>0</v>
      </c>
      <c r="BA64" s="31">
        <f t="shared" si="3"/>
        <v>0</v>
      </c>
      <c r="BB64" s="31">
        <f t="shared" si="4"/>
        <v>0</v>
      </c>
      <c r="BC64" s="31">
        <f t="shared" si="7"/>
        <v>0</v>
      </c>
    </row>
    <row r="65" spans="1:55" ht="28.5" customHeight="1">
      <c r="A65" s="32"/>
      <c r="B65" s="32"/>
      <c r="C65" s="33" t="s">
        <v>39</v>
      </c>
      <c r="D65" s="34" t="s">
        <v>40</v>
      </c>
      <c r="E65" s="35"/>
      <c r="F65" s="36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J65"/>
      <c r="AK65"/>
      <c r="AL65"/>
      <c r="AM65"/>
      <c r="AN65"/>
      <c r="AO65"/>
      <c r="AP65"/>
      <c r="AQ65"/>
      <c r="AR65"/>
      <c r="AS65"/>
      <c r="AT65" s="4" t="str">
        <f t="shared" si="6"/>
        <v/>
      </c>
      <c r="AU65" s="4" t="str">
        <f t="shared" si="0"/>
        <v>办公室</v>
      </c>
      <c r="AV65" s="4" t="str">
        <f t="shared" si="1"/>
        <v>人力费用</v>
      </c>
      <c r="AW65" s="4" t="str">
        <f>IFERROR(VLOOKUP(AV65,[1]字段!A:B,2,0),"")</f>
        <v>人力费用</v>
      </c>
      <c r="AX65" s="30" t="str">
        <f>IF(AW65="人力费用",IF(E65="","",VLOOKUP(E65,[1]字段!D:E,2,0)),AW65)</f>
        <v/>
      </c>
      <c r="AY65" s="30" t="str">
        <f>IF(AT65="","",VLOOKUP(AT65,[1]字段!H:I,2,0))</f>
        <v/>
      </c>
      <c r="AZ65" s="31">
        <f t="shared" si="2"/>
        <v>0</v>
      </c>
      <c r="BA65" s="31">
        <f t="shared" si="3"/>
        <v>0</v>
      </c>
      <c r="BB65" s="31">
        <f t="shared" si="4"/>
        <v>0</v>
      </c>
      <c r="BC65" s="31">
        <f t="shared" si="7"/>
        <v>0</v>
      </c>
    </row>
    <row r="66" spans="1:55" ht="28.5" customHeight="1">
      <c r="A66" s="32"/>
      <c r="B66" s="32"/>
      <c r="C66" s="37"/>
      <c r="D66" s="38"/>
      <c r="E66" s="39" t="s">
        <v>41</v>
      </c>
      <c r="F66" s="39" t="s">
        <v>42</v>
      </c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J66"/>
      <c r="AK66"/>
      <c r="AL66"/>
      <c r="AM66"/>
      <c r="AN66"/>
      <c r="AO66"/>
      <c r="AP66"/>
      <c r="AQ66"/>
      <c r="AR66"/>
      <c r="AS66"/>
      <c r="AT66" s="4" t="str">
        <f t="shared" si="6"/>
        <v>1.0倍人力基础工资</v>
      </c>
      <c r="AU66" s="4" t="str">
        <f t="shared" si="0"/>
        <v>办公室</v>
      </c>
      <c r="AV66" s="4" t="str">
        <f t="shared" si="1"/>
        <v>人力费用</v>
      </c>
      <c r="AW66" s="4" t="str">
        <f>IFERROR(VLOOKUP(AV66,[1]字段!A:B,2,0),"")</f>
        <v>人力费用</v>
      </c>
      <c r="AX66" s="30" t="str">
        <f>IF(AW66="人力费用",IF(E66="","",VLOOKUP(E66,[1]字段!D:E,2,0)),AW66)</f>
        <v>1.0倍人力</v>
      </c>
      <c r="AY66" s="30" t="str">
        <f>IF(AT66="","",VLOOKUP(AT66,[1]字段!H:I,2,0))</f>
        <v>1.0倍人力</v>
      </c>
      <c r="AZ66" s="31">
        <f t="shared" si="2"/>
        <v>0</v>
      </c>
      <c r="BA66" s="31">
        <f t="shared" si="3"/>
        <v>0</v>
      </c>
      <c r="BB66" s="31">
        <f t="shared" si="4"/>
        <v>0</v>
      </c>
      <c r="BC66" s="31">
        <f t="shared" si="7"/>
        <v>0</v>
      </c>
    </row>
    <row r="67" spans="1:55" ht="28.5" customHeight="1">
      <c r="A67" s="32"/>
      <c r="B67" s="32"/>
      <c r="C67" s="32"/>
      <c r="D67" s="40"/>
      <c r="E67" s="39">
        <v>5501010602</v>
      </c>
      <c r="F67" s="3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J67"/>
      <c r="AK67"/>
      <c r="AL67"/>
      <c r="AM67"/>
      <c r="AN67"/>
      <c r="AO67"/>
      <c r="AP67"/>
      <c r="AQ67"/>
      <c r="AR67"/>
      <c r="AS67"/>
      <c r="AT67" s="4" t="str">
        <f t="shared" si="6"/>
        <v>利润分享</v>
      </c>
      <c r="AU67" s="4" t="str">
        <f t="shared" si="0"/>
        <v>办公室</v>
      </c>
      <c r="AV67" s="4" t="str">
        <f t="shared" si="1"/>
        <v>人力费用</v>
      </c>
      <c r="AW67" s="4" t="str">
        <f>IFERROR(VLOOKUP(AV67,[1]字段!A:B,2,0),"")</f>
        <v>人力费用</v>
      </c>
      <c r="AX67" s="30" t="str">
        <f>IF(AW67="人力费用",IF(E67="","",VLOOKUP(E67,[1]字段!D:E,2,0)),AW67)</f>
        <v>利润分享</v>
      </c>
      <c r="AY67" s="30" t="str">
        <f>IF(AT67="","",VLOOKUP(AT67,[1]字段!H:I,2,0))</f>
        <v>利润分享</v>
      </c>
      <c r="AZ67" s="31">
        <f t="shared" si="2"/>
        <v>0</v>
      </c>
      <c r="BA67" s="31">
        <f t="shared" si="3"/>
        <v>0</v>
      </c>
      <c r="BB67" s="31">
        <f t="shared" si="4"/>
        <v>0</v>
      </c>
      <c r="BC67" s="31">
        <f t="shared" si="7"/>
        <v>0</v>
      </c>
    </row>
    <row r="68" spans="1:55" ht="28.5" customHeight="1">
      <c r="A68" s="32"/>
      <c r="B68" s="32"/>
      <c r="C68" s="32"/>
      <c r="D68" s="40"/>
      <c r="E68" s="39">
        <v>5501010603</v>
      </c>
      <c r="F68" s="3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J68"/>
      <c r="AK68"/>
      <c r="AL68"/>
      <c r="AM68"/>
      <c r="AN68"/>
      <c r="AO68"/>
      <c r="AP68"/>
      <c r="AQ68"/>
      <c r="AR68"/>
      <c r="AS68"/>
      <c r="AT68" s="4" t="str">
        <f t="shared" si="6"/>
        <v>留任奖励</v>
      </c>
      <c r="AU68" s="4" t="str">
        <f t="shared" si="0"/>
        <v>办公室</v>
      </c>
      <c r="AV68" s="4" t="str">
        <f t="shared" si="1"/>
        <v>人力费用</v>
      </c>
      <c r="AW68" s="4" t="str">
        <f>IFERROR(VLOOKUP(AV68,[1]字段!A:B,2,0),"")</f>
        <v>人力费用</v>
      </c>
      <c r="AX68" s="30" t="str">
        <f>IF(AW68="人力费用",IF(E68="","",VLOOKUP(E68,[1]字段!D:E,2,0)),AW68)</f>
        <v>留任奖励</v>
      </c>
      <c r="AY68" s="30" t="str">
        <f>IF(AT68="","",VLOOKUP(AT68,[1]字段!H:I,2,0))</f>
        <v>留任奖励</v>
      </c>
      <c r="AZ68" s="31">
        <f t="shared" si="2"/>
        <v>0</v>
      </c>
      <c r="BA68" s="31">
        <f t="shared" si="3"/>
        <v>0</v>
      </c>
      <c r="BB68" s="31">
        <f t="shared" si="4"/>
        <v>0</v>
      </c>
      <c r="BC68" s="31">
        <f t="shared" si="7"/>
        <v>0</v>
      </c>
    </row>
    <row r="69" spans="1:55" ht="28.5" customHeight="1">
      <c r="A69" s="32"/>
      <c r="B69" s="32"/>
      <c r="C69" s="32"/>
      <c r="D69" s="40"/>
      <c r="E69" s="39">
        <v>5501010604</v>
      </c>
      <c r="F69" s="3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J69"/>
      <c r="AK69"/>
      <c r="AL69"/>
      <c r="AM69"/>
      <c r="AN69"/>
      <c r="AO69"/>
      <c r="AP69"/>
      <c r="AQ69"/>
      <c r="AR69"/>
      <c r="AS69"/>
      <c r="AT69" s="4" t="str">
        <f t="shared" si="6"/>
        <v>1.0倍人力</v>
      </c>
      <c r="AU69" s="4" t="str">
        <f t="shared" ref="AU69:AU132" si="8">IF(B69="",AU68,B69)</f>
        <v>办公室</v>
      </c>
      <c r="AV69" s="4" t="str">
        <f t="shared" ref="AV69:AV132" si="9">IF(B69&lt;&gt;"","",IF(D69="",AV68,D69))</f>
        <v>人力费用</v>
      </c>
      <c r="AW69" s="4" t="str">
        <f>IFERROR(VLOOKUP(AV69,[1]字段!A:B,2,0),"")</f>
        <v>人力费用</v>
      </c>
      <c r="AX69" s="30" t="str">
        <f>IF(AW69="人力费用",IF(E69="","",VLOOKUP(E69,[1]字段!D:E,2,0)),AW69)</f>
        <v>1.0倍人力</v>
      </c>
      <c r="AY69" s="30" t="str">
        <f>IF(AT69="","",VLOOKUP(AT69,[1]字段!H:I,2,0))</f>
        <v>1.0倍人力</v>
      </c>
      <c r="AZ69" s="31">
        <f t="shared" ref="AZ69:AZ132" si="10">IF($E69="",0,SUMIF($G$1:$AB$1,AZ$4,$G69:$AB69))</f>
        <v>0</v>
      </c>
      <c r="BA69" s="31">
        <f t="shared" ref="BA69:BA132" si="11">IF($E69="",0,SUMIF($G$1:$AE$1,BA$4,$G69:$AE69))</f>
        <v>0</v>
      </c>
      <c r="BB69" s="31">
        <f t="shared" ref="BB69:BB132" si="12">AZ69+BA69</f>
        <v>0</v>
      </c>
      <c r="BC69" s="31">
        <f t="shared" si="7"/>
        <v>0</v>
      </c>
    </row>
    <row r="70" spans="1:55" ht="28.5" customHeight="1">
      <c r="A70" s="32"/>
      <c r="B70" s="32"/>
      <c r="C70" s="32"/>
      <c r="D70" s="40"/>
      <c r="E70" s="39" t="s">
        <v>43</v>
      </c>
      <c r="F70" s="39" t="s">
        <v>44</v>
      </c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J70"/>
      <c r="AK70"/>
      <c r="AL70"/>
      <c r="AM70"/>
      <c r="AN70"/>
      <c r="AO70"/>
      <c r="AP70"/>
      <c r="AQ70"/>
      <c r="AR70"/>
      <c r="AS70"/>
      <c r="AT70" s="4" t="str">
        <f t="shared" ref="AT70:AT133" si="13">AX70&amp;F70</f>
        <v>1.0倍人力团队建设费</v>
      </c>
      <c r="AU70" s="4" t="str">
        <f t="shared" si="8"/>
        <v>办公室</v>
      </c>
      <c r="AV70" s="4" t="str">
        <f t="shared" si="9"/>
        <v>人力费用</v>
      </c>
      <c r="AW70" s="4" t="str">
        <f>IFERROR(VLOOKUP(AV70,[1]字段!A:B,2,0),"")</f>
        <v>人力费用</v>
      </c>
      <c r="AX70" s="30" t="str">
        <f>IF(AW70="人力费用",IF(E70="","",VLOOKUP(E70,[1]字段!D:E,2,0)),AW70)</f>
        <v>1.0倍人力</v>
      </c>
      <c r="AY70" s="30" t="str">
        <f>IF(AT70="","",VLOOKUP(AT70,[1]字段!H:I,2,0))</f>
        <v>1.0倍人力</v>
      </c>
      <c r="AZ70" s="31">
        <f t="shared" si="10"/>
        <v>0</v>
      </c>
      <c r="BA70" s="31">
        <f t="shared" si="11"/>
        <v>0</v>
      </c>
      <c r="BB70" s="31">
        <f t="shared" si="12"/>
        <v>0</v>
      </c>
      <c r="BC70" s="31">
        <f t="shared" ref="BC70:BC133" si="14">IF(E70="",0,SUM(G70:AE70)-AZ70-BA70)</f>
        <v>0</v>
      </c>
    </row>
    <row r="71" spans="1:55" ht="28.5" customHeight="1">
      <c r="A71" s="32"/>
      <c r="B71" s="32"/>
      <c r="C71" s="32"/>
      <c r="D71" s="40"/>
      <c r="E71" s="39" t="s">
        <v>45</v>
      </c>
      <c r="F71" s="39" t="s">
        <v>46</v>
      </c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J71"/>
      <c r="AK71"/>
      <c r="AL71"/>
      <c r="AM71"/>
      <c r="AN71"/>
      <c r="AO71"/>
      <c r="AP71"/>
      <c r="AQ71"/>
      <c r="AR71"/>
      <c r="AS71"/>
      <c r="AT71" s="4" t="str">
        <f t="shared" si="13"/>
        <v>1.0倍人力其他职工福利费</v>
      </c>
      <c r="AU71" s="4" t="str">
        <f t="shared" si="8"/>
        <v>办公室</v>
      </c>
      <c r="AV71" s="4" t="str">
        <f t="shared" si="9"/>
        <v>人力费用</v>
      </c>
      <c r="AW71" s="4" t="str">
        <f>IFERROR(VLOOKUP(AV71,[1]字段!A:B,2,0),"")</f>
        <v>人力费用</v>
      </c>
      <c r="AX71" s="30" t="str">
        <f>IF(AW71="人力费用",IF(E71="","",VLOOKUP(E71,[1]字段!D:E,2,0)),AW71)</f>
        <v>1.0倍人力</v>
      </c>
      <c r="AY71" s="30" t="str">
        <f>IF(AT71="","",VLOOKUP(AT71,[1]字段!H:I,2,0))</f>
        <v>1.0倍人力</v>
      </c>
      <c r="AZ71" s="31">
        <f t="shared" si="10"/>
        <v>0</v>
      </c>
      <c r="BA71" s="31">
        <f t="shared" si="11"/>
        <v>0</v>
      </c>
      <c r="BB71" s="31">
        <f t="shared" si="12"/>
        <v>0</v>
      </c>
      <c r="BC71" s="31">
        <f t="shared" si="14"/>
        <v>0</v>
      </c>
    </row>
    <row r="72" spans="1:55" ht="28.5" customHeight="1">
      <c r="A72" s="32"/>
      <c r="B72" s="32"/>
      <c r="C72" s="32"/>
      <c r="D72" s="40"/>
      <c r="E72" s="39" t="s">
        <v>47</v>
      </c>
      <c r="F72" s="39" t="s">
        <v>48</v>
      </c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J72"/>
      <c r="AK72"/>
      <c r="AL72"/>
      <c r="AM72"/>
      <c r="AN72"/>
      <c r="AO72"/>
      <c r="AP72"/>
      <c r="AQ72"/>
      <c r="AR72"/>
      <c r="AS72"/>
      <c r="AT72" s="4" t="str">
        <f t="shared" si="13"/>
        <v>1.0倍人力工会经费</v>
      </c>
      <c r="AU72" s="4" t="str">
        <f t="shared" si="8"/>
        <v>办公室</v>
      </c>
      <c r="AV72" s="4" t="str">
        <f t="shared" si="9"/>
        <v>人力费用</v>
      </c>
      <c r="AW72" s="4" t="str">
        <f>IFERROR(VLOOKUP(AV72,[1]字段!A:B,2,0),"")</f>
        <v>人力费用</v>
      </c>
      <c r="AX72" s="30" t="str">
        <f>IF(AW72="人力费用",IF(E72="","",VLOOKUP(E72,[1]字段!D:E,2,0)),AW72)</f>
        <v>1.0倍人力</v>
      </c>
      <c r="AY72" s="30" t="str">
        <f>IF(AT72="","",VLOOKUP(AT72,[1]字段!H:I,2,0))</f>
        <v>1.0倍人力</v>
      </c>
      <c r="AZ72" s="31">
        <f t="shared" si="10"/>
        <v>0</v>
      </c>
      <c r="BA72" s="31">
        <f t="shared" si="11"/>
        <v>0</v>
      </c>
      <c r="BB72" s="31">
        <f t="shared" si="12"/>
        <v>0</v>
      </c>
      <c r="BC72" s="31">
        <f t="shared" si="14"/>
        <v>0</v>
      </c>
    </row>
    <row r="73" spans="1:55" ht="28.5" customHeight="1">
      <c r="A73" s="32"/>
      <c r="B73" s="32"/>
      <c r="C73" s="32"/>
      <c r="D73" s="40"/>
      <c r="E73" s="39" t="s">
        <v>49</v>
      </c>
      <c r="F73" s="39" t="s">
        <v>50</v>
      </c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J73"/>
      <c r="AK73"/>
      <c r="AL73"/>
      <c r="AM73"/>
      <c r="AN73"/>
      <c r="AO73"/>
      <c r="AP73"/>
      <c r="AQ73"/>
      <c r="AR73"/>
      <c r="AS73"/>
      <c r="AT73" s="4" t="str">
        <f t="shared" si="13"/>
        <v>1.0倍人力基本养老保险</v>
      </c>
      <c r="AU73" s="4" t="str">
        <f t="shared" si="8"/>
        <v>办公室</v>
      </c>
      <c r="AV73" s="4" t="str">
        <f t="shared" si="9"/>
        <v>人力费用</v>
      </c>
      <c r="AW73" s="4" t="str">
        <f>IFERROR(VLOOKUP(AV73,[1]字段!A:B,2,0),"")</f>
        <v>人力费用</v>
      </c>
      <c r="AX73" s="30" t="str">
        <f>IF(AW73="人力费用",IF(E73="","",VLOOKUP(E73,[1]字段!D:E,2,0)),AW73)</f>
        <v>1.0倍人力</v>
      </c>
      <c r="AY73" s="30" t="str">
        <f>IF(AT73="","",VLOOKUP(AT73,[1]字段!H:I,2,0))</f>
        <v>1.0倍人力</v>
      </c>
      <c r="AZ73" s="31">
        <f t="shared" si="10"/>
        <v>0</v>
      </c>
      <c r="BA73" s="31">
        <f t="shared" si="11"/>
        <v>0</v>
      </c>
      <c r="BB73" s="31">
        <f t="shared" si="12"/>
        <v>0</v>
      </c>
      <c r="BC73" s="31">
        <f t="shared" si="14"/>
        <v>0</v>
      </c>
    </row>
    <row r="74" spans="1:55" ht="28.5" customHeight="1">
      <c r="A74" s="32"/>
      <c r="B74" s="32"/>
      <c r="C74" s="32"/>
      <c r="D74" s="40"/>
      <c r="E74" s="39" t="s">
        <v>51</v>
      </c>
      <c r="F74" s="39" t="s">
        <v>52</v>
      </c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  <c r="AJ74"/>
      <c r="AK74"/>
      <c r="AL74"/>
      <c r="AM74"/>
      <c r="AN74"/>
      <c r="AO74"/>
      <c r="AP74"/>
      <c r="AQ74"/>
      <c r="AR74"/>
      <c r="AS74"/>
      <c r="AT74" s="4" t="str">
        <f t="shared" si="13"/>
        <v>1.0倍人力基本医疗保险</v>
      </c>
      <c r="AU74" s="4" t="str">
        <f t="shared" si="8"/>
        <v>办公室</v>
      </c>
      <c r="AV74" s="4" t="str">
        <f t="shared" si="9"/>
        <v>人力费用</v>
      </c>
      <c r="AW74" s="4" t="str">
        <f>IFERROR(VLOOKUP(AV74,[1]字段!A:B,2,0),"")</f>
        <v>人力费用</v>
      </c>
      <c r="AX74" s="30" t="str">
        <f>IF(AW74="人力费用",IF(E74="","",VLOOKUP(E74,[1]字段!D:E,2,0)),AW74)</f>
        <v>1.0倍人力</v>
      </c>
      <c r="AY74" s="30" t="str">
        <f>IF(AT74="","",VLOOKUP(AT74,[1]字段!H:I,2,0))</f>
        <v>1.0倍人力</v>
      </c>
      <c r="AZ74" s="31">
        <f t="shared" si="10"/>
        <v>0</v>
      </c>
      <c r="BA74" s="31">
        <f t="shared" si="11"/>
        <v>0</v>
      </c>
      <c r="BB74" s="31">
        <f t="shared" si="12"/>
        <v>0</v>
      </c>
      <c r="BC74" s="31">
        <f t="shared" si="14"/>
        <v>0</v>
      </c>
    </row>
    <row r="75" spans="1:55" ht="28.5" customHeight="1">
      <c r="A75" s="32"/>
      <c r="B75" s="32"/>
      <c r="C75" s="32"/>
      <c r="D75" s="40"/>
      <c r="E75" s="39" t="s">
        <v>53</v>
      </c>
      <c r="F75" s="39" t="s">
        <v>54</v>
      </c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9"/>
      <c r="AJ75"/>
      <c r="AK75"/>
      <c r="AL75"/>
      <c r="AM75"/>
      <c r="AN75"/>
      <c r="AO75"/>
      <c r="AP75"/>
      <c r="AQ75"/>
      <c r="AR75"/>
      <c r="AS75"/>
      <c r="AT75" s="4" t="str">
        <f t="shared" si="13"/>
        <v>1.0倍人力工伤保险</v>
      </c>
      <c r="AU75" s="4" t="str">
        <f t="shared" si="8"/>
        <v>办公室</v>
      </c>
      <c r="AV75" s="4" t="str">
        <f t="shared" si="9"/>
        <v>人力费用</v>
      </c>
      <c r="AW75" s="4" t="str">
        <f>IFERROR(VLOOKUP(AV75,[1]字段!A:B,2,0),"")</f>
        <v>人力费用</v>
      </c>
      <c r="AX75" s="30" t="str">
        <f>IF(AW75="人力费用",IF(E75="","",VLOOKUP(E75,[1]字段!D:E,2,0)),AW75)</f>
        <v>1.0倍人力</v>
      </c>
      <c r="AY75" s="30" t="str">
        <f>IF(AT75="","",VLOOKUP(AT75,[1]字段!H:I,2,0))</f>
        <v>1.0倍人力</v>
      </c>
      <c r="AZ75" s="31">
        <f t="shared" si="10"/>
        <v>0</v>
      </c>
      <c r="BA75" s="31">
        <f t="shared" si="11"/>
        <v>0</v>
      </c>
      <c r="BB75" s="31">
        <f t="shared" si="12"/>
        <v>0</v>
      </c>
      <c r="BC75" s="31">
        <f t="shared" si="14"/>
        <v>0</v>
      </c>
    </row>
    <row r="76" spans="1:55" ht="28.5" customHeight="1">
      <c r="A76" s="32"/>
      <c r="B76" s="32"/>
      <c r="C76" s="32"/>
      <c r="D76" s="40"/>
      <c r="E76" s="39" t="s">
        <v>55</v>
      </c>
      <c r="F76" s="39" t="s">
        <v>56</v>
      </c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J76"/>
      <c r="AK76"/>
      <c r="AL76"/>
      <c r="AM76"/>
      <c r="AN76"/>
      <c r="AO76"/>
      <c r="AP76"/>
      <c r="AQ76"/>
      <c r="AR76"/>
      <c r="AS76"/>
      <c r="AT76" s="4" t="str">
        <f t="shared" si="13"/>
        <v>1.0倍人力生育保险</v>
      </c>
      <c r="AU76" s="4" t="str">
        <f t="shared" si="8"/>
        <v>办公室</v>
      </c>
      <c r="AV76" s="4" t="str">
        <f t="shared" si="9"/>
        <v>人力费用</v>
      </c>
      <c r="AW76" s="4" t="str">
        <f>IFERROR(VLOOKUP(AV76,[1]字段!A:B,2,0),"")</f>
        <v>人力费用</v>
      </c>
      <c r="AX76" s="30" t="str">
        <f>IF(AW76="人力费用",IF(E76="","",VLOOKUP(E76,[1]字段!D:E,2,0)),AW76)</f>
        <v>1.0倍人力</v>
      </c>
      <c r="AY76" s="30" t="str">
        <f>IF(AT76="","",VLOOKUP(AT76,[1]字段!H:I,2,0))</f>
        <v>1.0倍人力</v>
      </c>
      <c r="AZ76" s="31">
        <f t="shared" si="10"/>
        <v>0</v>
      </c>
      <c r="BA76" s="31">
        <f t="shared" si="11"/>
        <v>0</v>
      </c>
      <c r="BB76" s="31">
        <f t="shared" si="12"/>
        <v>0</v>
      </c>
      <c r="BC76" s="31">
        <f t="shared" si="14"/>
        <v>0</v>
      </c>
    </row>
    <row r="77" spans="1:55" ht="28.5" customHeight="1">
      <c r="A77" s="32"/>
      <c r="B77" s="32"/>
      <c r="C77" s="32"/>
      <c r="D77" s="40"/>
      <c r="E77" s="39" t="s">
        <v>57</v>
      </c>
      <c r="F77" s="39" t="s">
        <v>58</v>
      </c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  <c r="AJ77"/>
      <c r="AK77"/>
      <c r="AL77"/>
      <c r="AM77"/>
      <c r="AN77"/>
      <c r="AO77"/>
      <c r="AP77"/>
      <c r="AQ77"/>
      <c r="AR77"/>
      <c r="AS77"/>
      <c r="AT77" s="4" t="str">
        <f t="shared" si="13"/>
        <v>1.0倍人力失业保险</v>
      </c>
      <c r="AU77" s="4" t="str">
        <f t="shared" si="8"/>
        <v>办公室</v>
      </c>
      <c r="AV77" s="4" t="str">
        <f t="shared" si="9"/>
        <v>人力费用</v>
      </c>
      <c r="AW77" s="4" t="str">
        <f>IFERROR(VLOOKUP(AV77,[1]字段!A:B,2,0),"")</f>
        <v>人力费用</v>
      </c>
      <c r="AX77" s="30" t="str">
        <f>IF(AW77="人力费用",IF(E77="","",VLOOKUP(E77,[1]字段!D:E,2,0)),AW77)</f>
        <v>1.0倍人力</v>
      </c>
      <c r="AY77" s="30" t="str">
        <f>IF(AT77="","",VLOOKUP(AT77,[1]字段!H:I,2,0))</f>
        <v>1.0倍人力</v>
      </c>
      <c r="AZ77" s="31">
        <f t="shared" si="10"/>
        <v>0</v>
      </c>
      <c r="BA77" s="31">
        <f t="shared" si="11"/>
        <v>0</v>
      </c>
      <c r="BB77" s="31">
        <f t="shared" si="12"/>
        <v>0</v>
      </c>
      <c r="BC77" s="31">
        <f t="shared" si="14"/>
        <v>0</v>
      </c>
    </row>
    <row r="78" spans="1:55" ht="28.5" customHeight="1">
      <c r="A78" s="32"/>
      <c r="B78" s="32"/>
      <c r="C78" s="32"/>
      <c r="D78" s="40"/>
      <c r="E78" s="39" t="s">
        <v>59</v>
      </c>
      <c r="F78" s="39" t="s">
        <v>60</v>
      </c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  <c r="AJ78"/>
      <c r="AK78"/>
      <c r="AL78"/>
      <c r="AM78"/>
      <c r="AN78"/>
      <c r="AO78"/>
      <c r="AP78"/>
      <c r="AQ78"/>
      <c r="AR78"/>
      <c r="AS78"/>
      <c r="AT78" s="4" t="str">
        <f t="shared" si="13"/>
        <v>1.0倍人力住房公积金</v>
      </c>
      <c r="AU78" s="4" t="str">
        <f t="shared" si="8"/>
        <v>办公室</v>
      </c>
      <c r="AV78" s="4" t="str">
        <f t="shared" si="9"/>
        <v>人力费用</v>
      </c>
      <c r="AW78" s="4" t="str">
        <f>IFERROR(VLOOKUP(AV78,[1]字段!A:B,2,0),"")</f>
        <v>人力费用</v>
      </c>
      <c r="AX78" s="30" t="str">
        <f>IF(AW78="人力费用",IF(E78="","",VLOOKUP(E78,[1]字段!D:E,2,0)),AW78)</f>
        <v>1.0倍人力</v>
      </c>
      <c r="AY78" s="30" t="str">
        <f>IF(AT78="","",VLOOKUP(AT78,[1]字段!H:I,2,0))</f>
        <v>1.0倍人力</v>
      </c>
      <c r="AZ78" s="31">
        <f t="shared" si="10"/>
        <v>0</v>
      </c>
      <c r="BA78" s="31">
        <f t="shared" si="11"/>
        <v>0</v>
      </c>
      <c r="BB78" s="31">
        <f t="shared" si="12"/>
        <v>0</v>
      </c>
      <c r="BC78" s="31">
        <f t="shared" si="14"/>
        <v>0</v>
      </c>
    </row>
    <row r="79" spans="1:55" ht="28.5" customHeight="1">
      <c r="A79" s="32"/>
      <c r="B79" s="32"/>
      <c r="C79" s="41"/>
      <c r="D79" s="42"/>
      <c r="E79" s="39" t="s">
        <v>100</v>
      </c>
      <c r="F79" s="39" t="s">
        <v>101</v>
      </c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29"/>
      <c r="AJ79"/>
      <c r="AK79"/>
      <c r="AL79"/>
      <c r="AM79"/>
      <c r="AN79"/>
      <c r="AO79"/>
      <c r="AP79"/>
      <c r="AQ79"/>
      <c r="AR79"/>
      <c r="AS79"/>
      <c r="AT79" s="4" t="str">
        <f t="shared" si="13"/>
        <v>劳务支出劳务支出</v>
      </c>
      <c r="AU79" s="4" t="str">
        <f t="shared" si="8"/>
        <v>办公室</v>
      </c>
      <c r="AV79" s="4" t="str">
        <f t="shared" si="9"/>
        <v>人力费用</v>
      </c>
      <c r="AW79" s="4" t="str">
        <f>IFERROR(VLOOKUP(AV79,[1]字段!A:B,2,0),"")</f>
        <v>人力费用</v>
      </c>
      <c r="AX79" s="30" t="str">
        <f>IF(AW79="人力费用",IF(E79="","",VLOOKUP(E79,[1]字段!D:E,2,0)),AW79)</f>
        <v>劳务支出</v>
      </c>
      <c r="AY79" s="30" t="str">
        <f>IF(AT79="","",VLOOKUP(AT79,[1]字段!H:I,2,0))</f>
        <v>劳务支出</v>
      </c>
      <c r="AZ79" s="31">
        <f t="shared" si="10"/>
        <v>0</v>
      </c>
      <c r="BA79" s="31">
        <f t="shared" si="11"/>
        <v>0</v>
      </c>
      <c r="BB79" s="31">
        <f t="shared" si="12"/>
        <v>0</v>
      </c>
      <c r="BC79" s="31">
        <f t="shared" si="14"/>
        <v>0</v>
      </c>
    </row>
    <row r="80" spans="1:55" ht="28.5" customHeight="1">
      <c r="C80" s="33" t="s">
        <v>107</v>
      </c>
      <c r="D80" s="34" t="s">
        <v>108</v>
      </c>
      <c r="E80" s="35"/>
      <c r="F80" s="36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  <c r="AJ80"/>
      <c r="AK80"/>
      <c r="AL80"/>
      <c r="AM80"/>
      <c r="AN80"/>
      <c r="AO80"/>
      <c r="AP80"/>
      <c r="AQ80"/>
      <c r="AR80"/>
      <c r="AS80"/>
      <c r="AT80" s="4" t="str">
        <f t="shared" si="13"/>
        <v>营销费用</v>
      </c>
      <c r="AU80" s="4" t="str">
        <f t="shared" si="8"/>
        <v>办公室</v>
      </c>
      <c r="AV80" s="4" t="str">
        <f t="shared" si="9"/>
        <v>营销费用</v>
      </c>
      <c r="AW80" s="4" t="str">
        <f>IFERROR(VLOOKUP(AV80,[1]字段!A:B,2,0),"")</f>
        <v>营销费用</v>
      </c>
      <c r="AX80" s="30" t="str">
        <f>IF(AW80="人力费用",IF(E80="","",VLOOKUP(E80,[1]字段!D:E,2,0)),AW80)</f>
        <v>营销费用</v>
      </c>
      <c r="AY80" s="30">
        <f>IF(AT80="","",VLOOKUP(AT80,[1]字段!H:I,2,0))</f>
        <v>0</v>
      </c>
      <c r="AZ80" s="31">
        <f t="shared" si="10"/>
        <v>0</v>
      </c>
      <c r="BA80" s="31">
        <f t="shared" si="11"/>
        <v>0</v>
      </c>
      <c r="BB80" s="31">
        <f t="shared" si="12"/>
        <v>0</v>
      </c>
      <c r="BC80" s="31">
        <f t="shared" si="14"/>
        <v>0</v>
      </c>
    </row>
    <row r="81" spans="1:55" ht="28.5" customHeight="1">
      <c r="A81" s="32"/>
      <c r="B81" s="32"/>
      <c r="C81" s="37"/>
      <c r="D81" s="38"/>
      <c r="E81" s="39" t="s">
        <v>109</v>
      </c>
      <c r="F81" s="39" t="s">
        <v>110</v>
      </c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  <c r="AJ81"/>
      <c r="AK81"/>
      <c r="AL81"/>
      <c r="AM81"/>
      <c r="AN81"/>
      <c r="AO81"/>
      <c r="AP81"/>
      <c r="AQ81"/>
      <c r="AR81"/>
      <c r="AS81"/>
      <c r="AT81" s="4" t="str">
        <f t="shared" si="13"/>
        <v>营销费用广告费</v>
      </c>
      <c r="AU81" s="4" t="str">
        <f t="shared" si="8"/>
        <v>办公室</v>
      </c>
      <c r="AV81" s="4" t="str">
        <f t="shared" si="9"/>
        <v>营销费用</v>
      </c>
      <c r="AW81" s="4" t="str">
        <f>IFERROR(VLOOKUP(AV81,[1]字段!A:B,2,0),"")</f>
        <v>营销费用</v>
      </c>
      <c r="AX81" s="30" t="str">
        <f>IF(AW81="人力费用",IF(E81="","",VLOOKUP(E81,[1]字段!D:E,2,0)),AW81)</f>
        <v>营销费用</v>
      </c>
      <c r="AY81" s="30" t="str">
        <f>IF(AT81="","",VLOOKUP(AT81,[1]字段!H:I,2,0))</f>
        <v>营销费用</v>
      </c>
      <c r="AZ81" s="31">
        <f t="shared" si="10"/>
        <v>0</v>
      </c>
      <c r="BA81" s="31">
        <f t="shared" si="11"/>
        <v>0</v>
      </c>
      <c r="BB81" s="31">
        <f t="shared" si="12"/>
        <v>0</v>
      </c>
      <c r="BC81" s="31">
        <f t="shared" si="14"/>
        <v>0</v>
      </c>
    </row>
    <row r="82" spans="1:55" ht="28.5" customHeight="1">
      <c r="A82" s="32"/>
      <c r="B82" s="32"/>
      <c r="C82" s="32"/>
      <c r="D82" s="40"/>
      <c r="E82" s="39" t="s">
        <v>111</v>
      </c>
      <c r="F82" s="39" t="s">
        <v>112</v>
      </c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J82"/>
      <c r="AK82"/>
      <c r="AL82"/>
      <c r="AM82"/>
      <c r="AN82"/>
      <c r="AO82"/>
      <c r="AP82"/>
      <c r="AQ82"/>
      <c r="AR82"/>
      <c r="AS82"/>
      <c r="AT82" s="4" t="str">
        <f t="shared" si="13"/>
        <v>营销费用业务宣传费</v>
      </c>
      <c r="AU82" s="4" t="str">
        <f t="shared" si="8"/>
        <v>办公室</v>
      </c>
      <c r="AV82" s="4" t="str">
        <f t="shared" si="9"/>
        <v>营销费用</v>
      </c>
      <c r="AW82" s="4" t="str">
        <f>IFERROR(VLOOKUP(AV82,[1]字段!A:B,2,0),"")</f>
        <v>营销费用</v>
      </c>
      <c r="AX82" s="30" t="str">
        <f>IF(AW82="人力费用",IF(E82="","",VLOOKUP(E82,[1]字段!D:E,2,0)),AW82)</f>
        <v>营销费用</v>
      </c>
      <c r="AY82" s="30" t="str">
        <f>IF(AT82="","",VLOOKUP(AT82,[1]字段!H:I,2,0))</f>
        <v>营销费用</v>
      </c>
      <c r="AZ82" s="31">
        <f t="shared" si="10"/>
        <v>0</v>
      </c>
      <c r="BA82" s="31">
        <f t="shared" si="11"/>
        <v>0</v>
      </c>
      <c r="BB82" s="31">
        <f t="shared" si="12"/>
        <v>0</v>
      </c>
      <c r="BC82" s="31">
        <f t="shared" si="14"/>
        <v>0</v>
      </c>
    </row>
    <row r="83" spans="1:55" ht="28.5" customHeight="1">
      <c r="A83" s="32"/>
      <c r="B83" s="32"/>
      <c r="C83" s="41"/>
      <c r="D83" s="42"/>
      <c r="E83" s="39" t="s">
        <v>95</v>
      </c>
      <c r="F83" s="39" t="s">
        <v>96</v>
      </c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  <c r="AE83" s="29"/>
      <c r="AJ83"/>
      <c r="AK83"/>
      <c r="AL83"/>
      <c r="AM83"/>
      <c r="AN83"/>
      <c r="AO83"/>
      <c r="AP83"/>
      <c r="AQ83"/>
      <c r="AR83"/>
      <c r="AS83"/>
      <c r="AT83" s="4" t="str">
        <f t="shared" si="13"/>
        <v>营销费用业务招待费</v>
      </c>
      <c r="AU83" s="4" t="str">
        <f t="shared" si="8"/>
        <v>办公室</v>
      </c>
      <c r="AV83" s="4" t="str">
        <f t="shared" si="9"/>
        <v>营销费用</v>
      </c>
      <c r="AW83" s="4" t="str">
        <f>IFERROR(VLOOKUP(AV83,[1]字段!A:B,2,0),"")</f>
        <v>营销费用</v>
      </c>
      <c r="AX83" s="30" t="str">
        <f>IF(AW83="人力费用",IF(E83="","",VLOOKUP(E83,[1]字段!D:E,2,0)),AW83)</f>
        <v>营销费用</v>
      </c>
      <c r="AY83" s="30" t="str">
        <f>IF(AT83="","",VLOOKUP(AT83,[1]字段!H:I,2,0))</f>
        <v>营销费用</v>
      </c>
      <c r="AZ83" s="31">
        <f t="shared" si="10"/>
        <v>0</v>
      </c>
      <c r="BA83" s="31">
        <f t="shared" si="11"/>
        <v>0</v>
      </c>
      <c r="BB83" s="31">
        <f t="shared" si="12"/>
        <v>0</v>
      </c>
      <c r="BC83" s="31">
        <f t="shared" si="14"/>
        <v>0</v>
      </c>
    </row>
    <row r="84" spans="1:55" ht="28.5" customHeight="1">
      <c r="C84" s="33" t="s">
        <v>65</v>
      </c>
      <c r="D84" s="34" t="s">
        <v>66</v>
      </c>
      <c r="E84" s="35"/>
      <c r="F84" s="36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  <c r="AJ84"/>
      <c r="AK84"/>
      <c r="AL84"/>
      <c r="AM84"/>
      <c r="AN84"/>
      <c r="AO84"/>
      <c r="AP84"/>
      <c r="AQ84"/>
      <c r="AR84"/>
      <c r="AS84"/>
      <c r="AT84" s="4" t="str">
        <f t="shared" si="13"/>
        <v>IT费用</v>
      </c>
      <c r="AU84" s="4" t="str">
        <f t="shared" si="8"/>
        <v>办公室</v>
      </c>
      <c r="AV84" s="4" t="str">
        <f t="shared" si="9"/>
        <v>IT科技费用</v>
      </c>
      <c r="AW84" s="4" t="str">
        <f>IFERROR(VLOOKUP(AV84,[1]字段!A:B,2,0),"")</f>
        <v>IT费用</v>
      </c>
      <c r="AX84" s="30" t="str">
        <f>IF(AW84="人力费用",IF(E84="","",VLOOKUP(E84,[1]字段!D:E,2,0)),AW84)</f>
        <v>IT费用</v>
      </c>
      <c r="AY84" s="30">
        <f>IF(AT84="","",VLOOKUP(AT84,[1]字段!H:I,2,0))</f>
        <v>0</v>
      </c>
      <c r="AZ84" s="31">
        <f t="shared" si="10"/>
        <v>0</v>
      </c>
      <c r="BA84" s="31">
        <f t="shared" si="11"/>
        <v>0</v>
      </c>
      <c r="BB84" s="31">
        <f t="shared" si="12"/>
        <v>0</v>
      </c>
      <c r="BC84" s="31">
        <f t="shared" si="14"/>
        <v>0</v>
      </c>
    </row>
    <row r="85" spans="1:55" ht="28.5" customHeight="1">
      <c r="A85" s="32"/>
      <c r="B85" s="32"/>
      <c r="C85" s="37"/>
      <c r="D85" s="38"/>
      <c r="E85" s="39" t="s">
        <v>67</v>
      </c>
      <c r="F85" s="39" t="s">
        <v>68</v>
      </c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  <c r="AJ85"/>
      <c r="AK85"/>
      <c r="AL85"/>
      <c r="AM85"/>
      <c r="AN85"/>
      <c r="AO85"/>
      <c r="AP85"/>
      <c r="AQ85"/>
      <c r="AR85"/>
      <c r="AS85"/>
      <c r="AT85" s="4" t="str">
        <f t="shared" si="13"/>
        <v>IT费用一般运营设备折旧费</v>
      </c>
      <c r="AU85" s="4" t="str">
        <f t="shared" si="8"/>
        <v>办公室</v>
      </c>
      <c r="AV85" s="4" t="str">
        <f t="shared" si="9"/>
        <v>IT科技费用</v>
      </c>
      <c r="AW85" s="4" t="str">
        <f>IFERROR(VLOOKUP(AV85,[1]字段!A:B,2,0),"")</f>
        <v>IT费用</v>
      </c>
      <c r="AX85" s="30" t="str">
        <f>IF(AW85="人力费用",IF(E85="","",VLOOKUP(E85,[1]字段!D:E,2,0)),AW85)</f>
        <v>IT费用</v>
      </c>
      <c r="AY85" s="30" t="str">
        <f>IF(AT85="","",VLOOKUP(AT85,[1]字段!H:I,2,0))</f>
        <v>IT费用</v>
      </c>
      <c r="AZ85" s="31">
        <f t="shared" si="10"/>
        <v>0</v>
      </c>
      <c r="BA85" s="31">
        <f t="shared" si="11"/>
        <v>0</v>
      </c>
      <c r="BB85" s="31">
        <f t="shared" si="12"/>
        <v>0</v>
      </c>
      <c r="BC85" s="31">
        <f t="shared" si="14"/>
        <v>0</v>
      </c>
    </row>
    <row r="86" spans="1:55" ht="28.5" customHeight="1">
      <c r="A86" s="32"/>
      <c r="B86" s="32"/>
      <c r="C86" s="32"/>
      <c r="D86" s="40"/>
      <c r="E86" s="39" t="s">
        <v>69</v>
      </c>
      <c r="F86" s="39" t="s">
        <v>70</v>
      </c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  <c r="AJ86"/>
      <c r="AK86"/>
      <c r="AL86"/>
      <c r="AM86"/>
      <c r="AN86"/>
      <c r="AO86"/>
      <c r="AP86"/>
      <c r="AQ86"/>
      <c r="AR86"/>
      <c r="AS86"/>
      <c r="AT86" s="4" t="str">
        <f t="shared" si="13"/>
        <v>IT费用移动终端折旧费</v>
      </c>
      <c r="AU86" s="4" t="str">
        <f t="shared" si="8"/>
        <v>办公室</v>
      </c>
      <c r="AV86" s="4" t="str">
        <f t="shared" si="9"/>
        <v>IT科技费用</v>
      </c>
      <c r="AW86" s="4" t="str">
        <f>IFERROR(VLOOKUP(AV86,[1]字段!A:B,2,0),"")</f>
        <v>IT费用</v>
      </c>
      <c r="AX86" s="30" t="str">
        <f>IF(AW86="人力费用",IF(E86="","",VLOOKUP(E86,[1]字段!D:E,2,0)),AW86)</f>
        <v>IT费用</v>
      </c>
      <c r="AY86" s="30" t="str">
        <f>IF(AT86="","",VLOOKUP(AT86,[1]字段!H:I,2,0))</f>
        <v>IT费用</v>
      </c>
      <c r="AZ86" s="31">
        <f t="shared" si="10"/>
        <v>0</v>
      </c>
      <c r="BA86" s="31">
        <f t="shared" si="11"/>
        <v>0</v>
      </c>
      <c r="BB86" s="31">
        <f t="shared" si="12"/>
        <v>0</v>
      </c>
      <c r="BC86" s="31">
        <f t="shared" si="14"/>
        <v>0</v>
      </c>
    </row>
    <row r="87" spans="1:55" ht="28.5" customHeight="1">
      <c r="A87" s="32"/>
      <c r="B87" s="32"/>
      <c r="C87" s="32"/>
      <c r="D87" s="40"/>
      <c r="E87" s="39" t="s">
        <v>71</v>
      </c>
      <c r="F87" s="39" t="s">
        <v>72</v>
      </c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  <c r="AJ87"/>
      <c r="AK87"/>
      <c r="AL87"/>
      <c r="AM87"/>
      <c r="AN87"/>
      <c r="AO87"/>
      <c r="AP87"/>
      <c r="AQ87"/>
      <c r="AR87"/>
      <c r="AS87"/>
      <c r="AT87" s="4" t="str">
        <f t="shared" si="13"/>
        <v>IT费用办公IT设备折旧费</v>
      </c>
      <c r="AU87" s="4" t="str">
        <f t="shared" si="8"/>
        <v>办公室</v>
      </c>
      <c r="AV87" s="4" t="str">
        <f t="shared" si="9"/>
        <v>IT科技费用</v>
      </c>
      <c r="AW87" s="4" t="str">
        <f>IFERROR(VLOOKUP(AV87,[1]字段!A:B,2,0),"")</f>
        <v>IT费用</v>
      </c>
      <c r="AX87" s="30" t="str">
        <f>IF(AW87="人力费用",IF(E87="","",VLOOKUP(E87,[1]字段!D:E,2,0)),AW87)</f>
        <v>IT费用</v>
      </c>
      <c r="AY87" s="30" t="str">
        <f>IF(AT87="","",VLOOKUP(AT87,[1]字段!H:I,2,0))</f>
        <v>IT费用</v>
      </c>
      <c r="AZ87" s="31">
        <f t="shared" si="10"/>
        <v>0</v>
      </c>
      <c r="BA87" s="31">
        <f t="shared" si="11"/>
        <v>0</v>
      </c>
      <c r="BB87" s="31">
        <f t="shared" si="12"/>
        <v>0</v>
      </c>
      <c r="BC87" s="31">
        <f t="shared" si="14"/>
        <v>0</v>
      </c>
    </row>
    <row r="88" spans="1:55" ht="28.5" customHeight="1">
      <c r="A88" s="32"/>
      <c r="B88" s="32"/>
      <c r="C88" s="32"/>
      <c r="D88" s="40"/>
      <c r="E88" s="39" t="s">
        <v>73</v>
      </c>
      <c r="F88" s="39" t="s">
        <v>74</v>
      </c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29"/>
      <c r="AJ88"/>
      <c r="AK88"/>
      <c r="AL88"/>
      <c r="AM88"/>
      <c r="AN88"/>
      <c r="AO88"/>
      <c r="AP88"/>
      <c r="AQ88"/>
      <c r="AR88"/>
      <c r="AS88"/>
      <c r="AT88" s="4" t="str">
        <f t="shared" si="13"/>
        <v>IT费用计算机软件摊销</v>
      </c>
      <c r="AU88" s="4" t="str">
        <f t="shared" si="8"/>
        <v>办公室</v>
      </c>
      <c r="AV88" s="4" t="str">
        <f>IF(B88&lt;&gt;"","",IF(D88="",AV87,D88))</f>
        <v>IT科技费用</v>
      </c>
      <c r="AW88" s="4" t="str">
        <f>IFERROR(VLOOKUP(AV88,[1]字段!A:B,2,0),"")</f>
        <v>IT费用</v>
      </c>
      <c r="AX88" s="30" t="str">
        <f>IF(AW88="人力费用",IF(E88="","",VLOOKUP(E88,[1]字段!D:E,2,0)),AW88)</f>
        <v>IT费用</v>
      </c>
      <c r="AY88" s="30" t="str">
        <f>IF(AT88="","",VLOOKUP(AT88,[1]字段!H:I,2,0))</f>
        <v>IT费用</v>
      </c>
      <c r="AZ88" s="31">
        <f t="shared" si="10"/>
        <v>0</v>
      </c>
      <c r="BA88" s="31">
        <f t="shared" si="11"/>
        <v>0</v>
      </c>
      <c r="BB88" s="31">
        <f t="shared" si="12"/>
        <v>0</v>
      </c>
      <c r="BC88" s="31">
        <f t="shared" si="14"/>
        <v>0</v>
      </c>
    </row>
    <row r="89" spans="1:55" ht="28.5" customHeight="1">
      <c r="A89" s="32"/>
      <c r="B89" s="32"/>
      <c r="C89" s="41"/>
      <c r="D89" s="42"/>
      <c r="E89" s="39" t="s">
        <v>75</v>
      </c>
      <c r="F89" s="39" t="s">
        <v>76</v>
      </c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  <c r="AE89" s="29"/>
      <c r="AJ89"/>
      <c r="AK89"/>
      <c r="AL89"/>
      <c r="AM89"/>
      <c r="AN89"/>
      <c r="AO89"/>
      <c r="AP89"/>
      <c r="AQ89"/>
      <c r="AR89"/>
      <c r="AS89"/>
      <c r="AT89" s="4" t="str">
        <f t="shared" si="13"/>
        <v>IT费用数据资源摊销</v>
      </c>
      <c r="AU89" s="4" t="str">
        <f t="shared" si="8"/>
        <v>办公室</v>
      </c>
      <c r="AV89" s="4" t="str">
        <f t="shared" si="9"/>
        <v>IT科技费用</v>
      </c>
      <c r="AW89" s="4" t="str">
        <f>IFERROR(VLOOKUP(AV89,[1]字段!A:B,2,0),"")</f>
        <v>IT费用</v>
      </c>
      <c r="AX89" s="30" t="str">
        <f>IF(AW89="人力费用",IF(E89="","",VLOOKUP(E89,[1]字段!D:E,2,0)),AW89)</f>
        <v>IT费用</v>
      </c>
      <c r="AY89" s="30" t="str">
        <f>IF(AT89="","",VLOOKUP(AT89,[1]字段!H:I,2,0))</f>
        <v>IT费用</v>
      </c>
      <c r="AZ89" s="31">
        <f t="shared" si="10"/>
        <v>0</v>
      </c>
      <c r="BA89" s="31">
        <f t="shared" si="11"/>
        <v>0</v>
      </c>
      <c r="BB89" s="31">
        <f t="shared" si="12"/>
        <v>0</v>
      </c>
      <c r="BC89" s="31">
        <f t="shared" si="14"/>
        <v>0</v>
      </c>
    </row>
    <row r="90" spans="1:55" ht="28.5" customHeight="1">
      <c r="C90" s="33" t="s">
        <v>113</v>
      </c>
      <c r="D90" s="34" t="s">
        <v>114</v>
      </c>
      <c r="E90" s="35"/>
      <c r="F90" s="36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  <c r="AJ90"/>
      <c r="AK90"/>
      <c r="AL90"/>
      <c r="AM90"/>
      <c r="AN90"/>
      <c r="AO90"/>
      <c r="AP90"/>
      <c r="AQ90"/>
      <c r="AR90"/>
      <c r="AS90"/>
      <c r="AT90" s="4" t="str">
        <f t="shared" si="13"/>
        <v>职场费用</v>
      </c>
      <c r="AU90" s="4" t="str">
        <f t="shared" si="8"/>
        <v>办公室</v>
      </c>
      <c r="AV90" s="4" t="str">
        <f t="shared" si="9"/>
        <v>IT职场费用</v>
      </c>
      <c r="AW90" s="4" t="str">
        <f>IFERROR(VLOOKUP(AV90,[1]字段!A:B,2,0),"")</f>
        <v>职场费用</v>
      </c>
      <c r="AX90" s="30" t="str">
        <f>IF(AW90="人力费用",IF(E90="","",VLOOKUP(E90,[1]字段!D:E,2,0)),AW90)</f>
        <v>职场费用</v>
      </c>
      <c r="AY90" s="30">
        <f>IF(AT90="","",VLOOKUP(AT90,[1]字段!H:I,2,0))</f>
        <v>0</v>
      </c>
      <c r="AZ90" s="31">
        <f t="shared" si="10"/>
        <v>0</v>
      </c>
      <c r="BA90" s="31">
        <f t="shared" si="11"/>
        <v>0</v>
      </c>
      <c r="BB90" s="31">
        <f t="shared" si="12"/>
        <v>0</v>
      </c>
      <c r="BC90" s="31">
        <f t="shared" si="14"/>
        <v>0</v>
      </c>
    </row>
    <row r="91" spans="1:55" ht="28.5" customHeight="1">
      <c r="A91" s="32"/>
      <c r="B91" s="32"/>
      <c r="C91" s="37"/>
      <c r="D91" s="38"/>
      <c r="E91" s="39" t="s">
        <v>115</v>
      </c>
      <c r="F91" s="39" t="s">
        <v>116</v>
      </c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J91"/>
      <c r="AK91"/>
      <c r="AL91"/>
      <c r="AM91"/>
      <c r="AN91"/>
      <c r="AO91"/>
      <c r="AP91"/>
      <c r="AQ91"/>
      <c r="AR91"/>
      <c r="AS91"/>
      <c r="AT91" s="4" t="str">
        <f t="shared" si="13"/>
        <v>职场费用房屋及建筑物折旧费</v>
      </c>
      <c r="AU91" s="4" t="str">
        <f t="shared" si="8"/>
        <v>办公室</v>
      </c>
      <c r="AV91" s="4" t="str">
        <f t="shared" si="9"/>
        <v>IT职场费用</v>
      </c>
      <c r="AW91" s="4" t="str">
        <f>IFERROR(VLOOKUP(AV91,[1]字段!A:B,2,0),"")</f>
        <v>职场费用</v>
      </c>
      <c r="AX91" s="30" t="str">
        <f>IF(AW91="人力费用",IF(E91="","",VLOOKUP(E91,[1]字段!D:E,2,0)),AW91)</f>
        <v>职场费用</v>
      </c>
      <c r="AY91" s="30" t="str">
        <f>IF(AT91="","",VLOOKUP(AT91,[1]字段!H:I,2,0))</f>
        <v>职场费用</v>
      </c>
      <c r="AZ91" s="31">
        <f t="shared" si="10"/>
        <v>0</v>
      </c>
      <c r="BA91" s="31">
        <f t="shared" si="11"/>
        <v>0</v>
      </c>
      <c r="BB91" s="31">
        <f t="shared" si="12"/>
        <v>0</v>
      </c>
      <c r="BC91" s="31">
        <f t="shared" si="14"/>
        <v>0</v>
      </c>
    </row>
    <row r="92" spans="1:55" ht="28.5" customHeight="1">
      <c r="A92" s="32"/>
      <c r="B92" s="32"/>
      <c r="C92" s="32"/>
      <c r="D92" s="40"/>
      <c r="E92" s="39" t="s">
        <v>117</v>
      </c>
      <c r="F92" s="39" t="s">
        <v>118</v>
      </c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  <c r="AJ92"/>
      <c r="AK92"/>
      <c r="AL92"/>
      <c r="AM92"/>
      <c r="AN92"/>
      <c r="AO92"/>
      <c r="AP92"/>
      <c r="AQ92"/>
      <c r="AR92"/>
      <c r="AS92"/>
      <c r="AT92" s="4" t="str">
        <f t="shared" si="13"/>
        <v>职场费用自有房屋及建筑物装修折旧费</v>
      </c>
      <c r="AU92" s="4" t="str">
        <f t="shared" si="8"/>
        <v>办公室</v>
      </c>
      <c r="AV92" s="4" t="str">
        <f t="shared" si="9"/>
        <v>IT职场费用</v>
      </c>
      <c r="AW92" s="4" t="str">
        <f>IFERROR(VLOOKUP(AV92,[1]字段!A:B,2,0),"")</f>
        <v>职场费用</v>
      </c>
      <c r="AX92" s="30" t="str">
        <f>IF(AW92="人力费用",IF(E92="","",VLOOKUP(E92,[1]字段!D:E,2,0)),AW92)</f>
        <v>职场费用</v>
      </c>
      <c r="AY92" s="30" t="str">
        <f>IF(AT92="","",VLOOKUP(AT92,[1]字段!H:I,2,0))</f>
        <v>职场费用</v>
      </c>
      <c r="AZ92" s="31">
        <f t="shared" si="10"/>
        <v>0</v>
      </c>
      <c r="BA92" s="31">
        <f t="shared" si="11"/>
        <v>0</v>
      </c>
      <c r="BB92" s="31">
        <f t="shared" si="12"/>
        <v>0</v>
      </c>
      <c r="BC92" s="31">
        <f t="shared" si="14"/>
        <v>0</v>
      </c>
    </row>
    <row r="93" spans="1:55" ht="28.5" customHeight="1">
      <c r="A93" s="32"/>
      <c r="B93" s="32"/>
      <c r="C93" s="32"/>
      <c r="D93" s="40"/>
      <c r="E93" s="39" t="s">
        <v>119</v>
      </c>
      <c r="F93" s="39" t="s">
        <v>120</v>
      </c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29"/>
      <c r="AJ93"/>
      <c r="AK93"/>
      <c r="AL93"/>
      <c r="AM93"/>
      <c r="AN93"/>
      <c r="AO93"/>
      <c r="AP93"/>
      <c r="AQ93"/>
      <c r="AR93"/>
      <c r="AS93"/>
      <c r="AT93" s="4" t="str">
        <f t="shared" si="13"/>
        <v>职场费用土地使用权摊销</v>
      </c>
      <c r="AU93" s="4" t="str">
        <f t="shared" si="8"/>
        <v>办公室</v>
      </c>
      <c r="AV93" s="4" t="str">
        <f t="shared" si="9"/>
        <v>IT职场费用</v>
      </c>
      <c r="AW93" s="4" t="str">
        <f>IFERROR(VLOOKUP(AV93,[1]字段!A:B,2,0),"")</f>
        <v>职场费用</v>
      </c>
      <c r="AX93" s="30" t="str">
        <f>IF(AW93="人力费用",IF(E93="","",VLOOKUP(E93,[1]字段!D:E,2,0)),AW93)</f>
        <v>职场费用</v>
      </c>
      <c r="AY93" s="30" t="str">
        <f>IF(AT93="","",VLOOKUP(AT93,[1]字段!H:I,2,0))</f>
        <v>职场费用</v>
      </c>
      <c r="AZ93" s="31">
        <f t="shared" si="10"/>
        <v>0</v>
      </c>
      <c r="BA93" s="31">
        <f t="shared" si="11"/>
        <v>0</v>
      </c>
      <c r="BB93" s="31">
        <f t="shared" si="12"/>
        <v>0</v>
      </c>
      <c r="BC93" s="31">
        <f t="shared" si="14"/>
        <v>0</v>
      </c>
    </row>
    <row r="94" spans="1:55" ht="28.5" customHeight="1">
      <c r="A94" s="32"/>
      <c r="B94" s="32"/>
      <c r="C94" s="32"/>
      <c r="D94" s="40"/>
      <c r="E94" s="39" t="s">
        <v>121</v>
      </c>
      <c r="F94" s="39" t="s">
        <v>122</v>
      </c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J94"/>
      <c r="AK94"/>
      <c r="AL94"/>
      <c r="AM94"/>
      <c r="AN94"/>
      <c r="AO94"/>
      <c r="AP94"/>
      <c r="AQ94"/>
      <c r="AR94"/>
      <c r="AS94"/>
      <c r="AT94" s="4" t="str">
        <f t="shared" si="13"/>
        <v>职场费用房租费</v>
      </c>
      <c r="AU94" s="4" t="str">
        <f t="shared" si="8"/>
        <v>办公室</v>
      </c>
      <c r="AV94" s="4" t="str">
        <f t="shared" si="9"/>
        <v>IT职场费用</v>
      </c>
      <c r="AW94" s="4" t="str">
        <f>IFERROR(VLOOKUP(AV94,[1]字段!A:B,2,0),"")</f>
        <v>职场费用</v>
      </c>
      <c r="AX94" s="30" t="str">
        <f>IF(AW94="人力费用",IF(E94="","",VLOOKUP(E94,[1]字段!D:E,2,0)),AW94)</f>
        <v>职场费用</v>
      </c>
      <c r="AY94" s="30" t="str">
        <f>IF(AT94="","",VLOOKUP(AT94,[1]字段!H:I,2,0))</f>
        <v>职场费用</v>
      </c>
      <c r="AZ94" s="31">
        <f t="shared" si="10"/>
        <v>0</v>
      </c>
      <c r="BA94" s="31">
        <f t="shared" si="11"/>
        <v>0</v>
      </c>
      <c r="BB94" s="31">
        <f t="shared" si="12"/>
        <v>0</v>
      </c>
      <c r="BC94" s="31">
        <f t="shared" si="14"/>
        <v>0</v>
      </c>
    </row>
    <row r="95" spans="1:55" ht="28.5" customHeight="1">
      <c r="A95" s="32"/>
      <c r="B95" s="32"/>
      <c r="C95" s="32"/>
      <c r="D95" s="40"/>
      <c r="E95" s="39" t="s">
        <v>123</v>
      </c>
      <c r="F95" s="39" t="s">
        <v>124</v>
      </c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J95"/>
      <c r="AK95"/>
      <c r="AL95"/>
      <c r="AM95"/>
      <c r="AN95"/>
      <c r="AO95"/>
      <c r="AP95"/>
      <c r="AQ95"/>
      <c r="AR95"/>
      <c r="AS95"/>
      <c r="AT95" s="4" t="str">
        <f t="shared" si="13"/>
        <v>职场费用物业管理费</v>
      </c>
      <c r="AU95" s="4" t="str">
        <f t="shared" si="8"/>
        <v>办公室</v>
      </c>
      <c r="AV95" s="4" t="str">
        <f t="shared" si="9"/>
        <v>IT职场费用</v>
      </c>
      <c r="AW95" s="4" t="str">
        <f>IFERROR(VLOOKUP(AV95,[1]字段!A:B,2,0),"")</f>
        <v>职场费用</v>
      </c>
      <c r="AX95" s="30" t="str">
        <f>IF(AW95="人力费用",IF(E95="","",VLOOKUP(E95,[1]字段!D:E,2,0)),AW95)</f>
        <v>职场费用</v>
      </c>
      <c r="AY95" s="30" t="str">
        <f>IF(AT95="","",VLOOKUP(AT95,[1]字段!H:I,2,0))</f>
        <v>职场费用</v>
      </c>
      <c r="AZ95" s="31">
        <f t="shared" si="10"/>
        <v>0</v>
      </c>
      <c r="BA95" s="31">
        <f t="shared" si="11"/>
        <v>0</v>
      </c>
      <c r="BB95" s="31">
        <f t="shared" si="12"/>
        <v>0</v>
      </c>
      <c r="BC95" s="31">
        <f t="shared" si="14"/>
        <v>0</v>
      </c>
    </row>
    <row r="96" spans="1:55" ht="28.5" customHeight="1">
      <c r="A96" s="32"/>
      <c r="B96" s="32"/>
      <c r="C96" s="32"/>
      <c r="D96" s="40"/>
      <c r="E96" s="39" t="s">
        <v>125</v>
      </c>
      <c r="F96" s="39" t="s">
        <v>126</v>
      </c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  <c r="AE96" s="29"/>
      <c r="AJ96"/>
      <c r="AK96"/>
      <c r="AL96"/>
      <c r="AM96"/>
      <c r="AN96"/>
      <c r="AO96"/>
      <c r="AP96"/>
      <c r="AQ96"/>
      <c r="AR96"/>
      <c r="AS96"/>
      <c r="AT96" s="4" t="str">
        <f t="shared" si="13"/>
        <v>职场费用水电气费</v>
      </c>
      <c r="AU96" s="4" t="str">
        <f t="shared" si="8"/>
        <v>办公室</v>
      </c>
      <c r="AV96" s="4" t="str">
        <f t="shared" si="9"/>
        <v>IT职场费用</v>
      </c>
      <c r="AW96" s="4" t="str">
        <f>IFERROR(VLOOKUP(AV96,[1]字段!A:B,2,0),"")</f>
        <v>职场费用</v>
      </c>
      <c r="AX96" s="30" t="str">
        <f>IF(AW96="人力费用",IF(E96="","",VLOOKUP(E96,[1]字段!D:E,2,0)),AW96)</f>
        <v>职场费用</v>
      </c>
      <c r="AY96" s="30" t="str">
        <f>IF(AT96="","",VLOOKUP(AT96,[1]字段!H:I,2,0))</f>
        <v>职场费用</v>
      </c>
      <c r="AZ96" s="31">
        <f t="shared" si="10"/>
        <v>0</v>
      </c>
      <c r="BA96" s="31">
        <f t="shared" si="11"/>
        <v>0</v>
      </c>
      <c r="BB96" s="31">
        <f t="shared" si="12"/>
        <v>0</v>
      </c>
      <c r="BC96" s="31">
        <f t="shared" si="14"/>
        <v>0</v>
      </c>
    </row>
    <row r="97" spans="1:55" ht="28.5" customHeight="1">
      <c r="A97" s="32"/>
      <c r="B97" s="32"/>
      <c r="C97" s="32"/>
      <c r="D97" s="40"/>
      <c r="E97" s="39" t="s">
        <v>127</v>
      </c>
      <c r="F97" s="39" t="s">
        <v>128</v>
      </c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  <c r="AE97" s="29"/>
      <c r="AJ97"/>
      <c r="AK97"/>
      <c r="AL97"/>
      <c r="AM97"/>
      <c r="AN97"/>
      <c r="AO97"/>
      <c r="AP97"/>
      <c r="AQ97"/>
      <c r="AR97"/>
      <c r="AS97"/>
      <c r="AT97" s="4" t="str">
        <f t="shared" si="13"/>
        <v>职场费用租入房屋及建筑物折旧费</v>
      </c>
      <c r="AU97" s="4" t="str">
        <f t="shared" si="8"/>
        <v>办公室</v>
      </c>
      <c r="AV97" s="4" t="str">
        <f t="shared" si="9"/>
        <v>IT职场费用</v>
      </c>
      <c r="AW97" s="4" t="str">
        <f>IFERROR(VLOOKUP(AV97,[1]字段!A:B,2,0),"")</f>
        <v>职场费用</v>
      </c>
      <c r="AX97" s="30" t="str">
        <f>IF(AW97="人力费用",IF(E97="","",VLOOKUP(E97,[1]字段!D:E,2,0)),AW97)</f>
        <v>职场费用</v>
      </c>
      <c r="AY97" s="30" t="str">
        <f>IF(AT97="","",VLOOKUP(AT97,[1]字段!H:I,2,0))</f>
        <v>职场费用</v>
      </c>
      <c r="AZ97" s="31">
        <f t="shared" si="10"/>
        <v>0</v>
      </c>
      <c r="BA97" s="31">
        <f t="shared" si="11"/>
        <v>0</v>
      </c>
      <c r="BB97" s="31">
        <f t="shared" si="12"/>
        <v>0</v>
      </c>
      <c r="BC97" s="31">
        <f t="shared" si="14"/>
        <v>0</v>
      </c>
    </row>
    <row r="98" spans="1:55" ht="28.5" customHeight="1">
      <c r="A98" s="32"/>
      <c r="B98" s="32"/>
      <c r="C98" s="41"/>
      <c r="D98" s="42"/>
      <c r="E98" s="39" t="s">
        <v>129</v>
      </c>
      <c r="F98" s="39" t="s">
        <v>130</v>
      </c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  <c r="AE98" s="29"/>
      <c r="AJ98"/>
      <c r="AK98"/>
      <c r="AL98"/>
      <c r="AM98"/>
      <c r="AN98"/>
      <c r="AO98"/>
      <c r="AP98"/>
      <c r="AQ98"/>
      <c r="AR98"/>
      <c r="AS98"/>
      <c r="AT98" s="4" t="str">
        <f t="shared" si="13"/>
        <v>职场费用租入房屋及建筑物租赁负债利息费用</v>
      </c>
      <c r="AU98" s="4" t="str">
        <f t="shared" si="8"/>
        <v>办公室</v>
      </c>
      <c r="AV98" s="4" t="str">
        <f t="shared" si="9"/>
        <v>IT职场费用</v>
      </c>
      <c r="AW98" s="4" t="str">
        <f>IFERROR(VLOOKUP(AV98,[1]字段!A:B,2,0),"")</f>
        <v>职场费用</v>
      </c>
      <c r="AX98" s="30" t="str">
        <f>IF(AW98="人力费用",IF(E98="","",VLOOKUP(E98,[1]字段!D:E,2,0)),AW98)</f>
        <v>职场费用</v>
      </c>
      <c r="AY98" s="30" t="str">
        <f>IF(AT98="","",VLOOKUP(AT98,[1]字段!H:I,2,0))</f>
        <v>职场费用</v>
      </c>
      <c r="AZ98" s="31">
        <f t="shared" si="10"/>
        <v>0</v>
      </c>
      <c r="BA98" s="31">
        <f t="shared" si="11"/>
        <v>0</v>
      </c>
      <c r="BB98" s="31">
        <f t="shared" si="12"/>
        <v>0</v>
      </c>
      <c r="BC98" s="31">
        <f t="shared" si="14"/>
        <v>0</v>
      </c>
    </row>
    <row r="99" spans="1:55" ht="28.5" customHeight="1">
      <c r="C99" s="33" t="s">
        <v>85</v>
      </c>
      <c r="D99" s="34" t="s">
        <v>86</v>
      </c>
      <c r="E99" s="35"/>
      <c r="F99" s="36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29"/>
      <c r="AJ99"/>
      <c r="AK99"/>
      <c r="AL99"/>
      <c r="AM99"/>
      <c r="AN99"/>
      <c r="AO99"/>
      <c r="AP99"/>
      <c r="AQ99"/>
      <c r="AR99"/>
      <c r="AS99"/>
      <c r="AT99" s="4" t="str">
        <f t="shared" si="13"/>
        <v>日常费用</v>
      </c>
      <c r="AU99" s="4" t="str">
        <f t="shared" si="8"/>
        <v>办公室</v>
      </c>
      <c r="AV99" s="4" t="str">
        <f t="shared" si="9"/>
        <v>IT日常费用</v>
      </c>
      <c r="AW99" s="4" t="str">
        <f>IFERROR(VLOOKUP(AV99,[1]字段!A:B,2,0),"")</f>
        <v>日常费用</v>
      </c>
      <c r="AX99" s="30" t="str">
        <f>IF(AW99="人力费用",IF(E99="","",VLOOKUP(E99,[1]字段!D:E,2,0)),AW99)</f>
        <v>日常费用</v>
      </c>
      <c r="AY99" s="30">
        <f>IF(AT99="","",VLOOKUP(AT99,[1]字段!H:I,2,0))</f>
        <v>0</v>
      </c>
      <c r="AZ99" s="31">
        <f t="shared" si="10"/>
        <v>0</v>
      </c>
      <c r="BA99" s="31">
        <f t="shared" si="11"/>
        <v>0</v>
      </c>
      <c r="BB99" s="31">
        <f t="shared" si="12"/>
        <v>0</v>
      </c>
      <c r="BC99" s="31">
        <f t="shared" si="14"/>
        <v>0</v>
      </c>
    </row>
    <row r="100" spans="1:55" ht="28.5" customHeight="1">
      <c r="A100" s="32"/>
      <c r="B100" s="32"/>
      <c r="C100" s="37"/>
      <c r="D100" s="38"/>
      <c r="E100" s="39" t="s">
        <v>87</v>
      </c>
      <c r="F100" s="39" t="s">
        <v>88</v>
      </c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  <c r="AE100" s="29"/>
      <c r="AJ100"/>
      <c r="AK100"/>
      <c r="AL100"/>
      <c r="AM100"/>
      <c r="AN100"/>
      <c r="AO100"/>
      <c r="AP100"/>
      <c r="AQ100"/>
      <c r="AR100"/>
      <c r="AS100"/>
      <c r="AT100" s="4" t="str">
        <f t="shared" si="13"/>
        <v>日常费用办公OA设备折旧费</v>
      </c>
      <c r="AU100" s="4" t="str">
        <f t="shared" si="8"/>
        <v>办公室</v>
      </c>
      <c r="AV100" s="4" t="str">
        <f t="shared" si="9"/>
        <v>IT日常费用</v>
      </c>
      <c r="AW100" s="4" t="str">
        <f>IFERROR(VLOOKUP(AV100,[1]字段!A:B,2,0),"")</f>
        <v>日常费用</v>
      </c>
      <c r="AX100" s="30" t="str">
        <f>IF(AW100="人力费用",IF(E100="","",VLOOKUP(E100,[1]字段!D:E,2,0)),AW100)</f>
        <v>日常费用</v>
      </c>
      <c r="AY100" s="30" t="str">
        <f>IF(AT100="","",VLOOKUP(AT100,[1]字段!H:I,2,0))</f>
        <v>日常费用-其他</v>
      </c>
      <c r="AZ100" s="31">
        <f t="shared" si="10"/>
        <v>0</v>
      </c>
      <c r="BA100" s="31">
        <f t="shared" si="11"/>
        <v>0</v>
      </c>
      <c r="BB100" s="31">
        <f t="shared" si="12"/>
        <v>0</v>
      </c>
      <c r="BC100" s="31">
        <f t="shared" si="14"/>
        <v>0</v>
      </c>
    </row>
    <row r="101" spans="1:55" ht="28.5" customHeight="1">
      <c r="A101" s="32"/>
      <c r="B101" s="32"/>
      <c r="C101" s="32"/>
      <c r="D101" s="40"/>
      <c r="E101" s="39" t="s">
        <v>131</v>
      </c>
      <c r="F101" s="39" t="s">
        <v>132</v>
      </c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J101"/>
      <c r="AK101"/>
      <c r="AL101"/>
      <c r="AM101"/>
      <c r="AN101"/>
      <c r="AO101"/>
      <c r="AP101"/>
      <c r="AQ101"/>
      <c r="AR101"/>
      <c r="AS101"/>
      <c r="AT101" s="4" t="str">
        <f t="shared" si="13"/>
        <v>日常费用交通工具折旧费</v>
      </c>
      <c r="AU101" s="4" t="str">
        <f t="shared" si="8"/>
        <v>办公室</v>
      </c>
      <c r="AV101" s="4" t="str">
        <f t="shared" si="9"/>
        <v>IT日常费用</v>
      </c>
      <c r="AW101" s="4" t="str">
        <f>IFERROR(VLOOKUP(AV101,[1]字段!A:B,2,0),"")</f>
        <v>日常费用</v>
      </c>
      <c r="AX101" s="30" t="str">
        <f>IF(AW101="人力费用",IF(E101="","",VLOOKUP(E101,[1]字段!D:E,2,0)),AW101)</f>
        <v>日常费用</v>
      </c>
      <c r="AY101" s="30" t="str">
        <f>IF(AT101="","",VLOOKUP(AT101,[1]字段!H:I,2,0))</f>
        <v>日常费用-其他</v>
      </c>
      <c r="AZ101" s="31">
        <f t="shared" si="10"/>
        <v>0</v>
      </c>
      <c r="BA101" s="31">
        <f t="shared" si="11"/>
        <v>0</v>
      </c>
      <c r="BB101" s="31">
        <f t="shared" si="12"/>
        <v>0</v>
      </c>
      <c r="BC101" s="31">
        <f t="shared" si="14"/>
        <v>0</v>
      </c>
    </row>
    <row r="102" spans="1:55" ht="28.5" customHeight="1">
      <c r="A102" s="32"/>
      <c r="B102" s="32"/>
      <c r="C102" s="32"/>
      <c r="D102" s="40"/>
      <c r="E102" s="39" t="s">
        <v>89</v>
      </c>
      <c r="F102" s="39" t="s">
        <v>90</v>
      </c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J102"/>
      <c r="AK102"/>
      <c r="AL102"/>
      <c r="AM102"/>
      <c r="AN102"/>
      <c r="AO102"/>
      <c r="AP102"/>
      <c r="AQ102"/>
      <c r="AR102"/>
      <c r="AS102"/>
      <c r="AT102" s="4" t="str">
        <f t="shared" si="13"/>
        <v>日常费用办公家具折旧费</v>
      </c>
      <c r="AU102" s="4" t="str">
        <f t="shared" si="8"/>
        <v>办公室</v>
      </c>
      <c r="AV102" s="4" t="str">
        <f t="shared" si="9"/>
        <v>IT日常费用</v>
      </c>
      <c r="AW102" s="4" t="str">
        <f>IFERROR(VLOOKUP(AV102,[1]字段!A:B,2,0),"")</f>
        <v>日常费用</v>
      </c>
      <c r="AX102" s="30" t="str">
        <f>IF(AW102="人力费用",IF(E102="","",VLOOKUP(E102,[1]字段!D:E,2,0)),AW102)</f>
        <v>日常费用</v>
      </c>
      <c r="AY102" s="30" t="str">
        <f>IF(AT102="","",VLOOKUP(AT102,[1]字段!H:I,2,0))</f>
        <v>日常费用-其他</v>
      </c>
      <c r="AZ102" s="31">
        <f t="shared" si="10"/>
        <v>0</v>
      </c>
      <c r="BA102" s="31">
        <f t="shared" si="11"/>
        <v>0</v>
      </c>
      <c r="BB102" s="31">
        <f t="shared" si="12"/>
        <v>0</v>
      </c>
      <c r="BC102" s="31">
        <f t="shared" si="14"/>
        <v>0</v>
      </c>
    </row>
    <row r="103" spans="1:55" ht="28.5" customHeight="1">
      <c r="A103" s="32"/>
      <c r="B103" s="32"/>
      <c r="C103" s="32"/>
      <c r="D103" s="40"/>
      <c r="E103" s="39" t="s">
        <v>133</v>
      </c>
      <c r="F103" s="39" t="s">
        <v>134</v>
      </c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  <c r="AE103" s="29"/>
      <c r="AJ103"/>
      <c r="AK103"/>
      <c r="AL103"/>
      <c r="AM103"/>
      <c r="AN103"/>
      <c r="AO103"/>
      <c r="AP103"/>
      <c r="AQ103"/>
      <c r="AR103"/>
      <c r="AS103"/>
      <c r="AT103" s="4" t="str">
        <f t="shared" si="13"/>
        <v>日常费用装修及修理费</v>
      </c>
      <c r="AU103" s="4" t="str">
        <f t="shared" si="8"/>
        <v>办公室</v>
      </c>
      <c r="AV103" s="4" t="str">
        <f t="shared" si="9"/>
        <v>IT日常费用</v>
      </c>
      <c r="AW103" s="4" t="str">
        <f>IFERROR(VLOOKUP(AV103,[1]字段!A:B,2,0),"")</f>
        <v>日常费用</v>
      </c>
      <c r="AX103" s="30" t="str">
        <f>IF(AW103="人力费用",IF(E103="","",VLOOKUP(E103,[1]字段!D:E,2,0)),AW103)</f>
        <v>日常费用</v>
      </c>
      <c r="AY103" s="30" t="str">
        <f>IF(AT103="","",VLOOKUP(AT103,[1]字段!H:I,2,0))</f>
        <v>日常费用-其他</v>
      </c>
      <c r="AZ103" s="31">
        <f t="shared" si="10"/>
        <v>0</v>
      </c>
      <c r="BA103" s="31">
        <f t="shared" si="11"/>
        <v>0</v>
      </c>
      <c r="BB103" s="31">
        <f t="shared" si="12"/>
        <v>0</v>
      </c>
      <c r="BC103" s="31">
        <f t="shared" si="14"/>
        <v>0</v>
      </c>
    </row>
    <row r="104" spans="1:55" ht="28.5" customHeight="1">
      <c r="A104" s="32"/>
      <c r="B104" s="32"/>
      <c r="C104" s="32"/>
      <c r="D104" s="40"/>
      <c r="E104" s="39" t="s">
        <v>135</v>
      </c>
      <c r="F104" s="39" t="s">
        <v>136</v>
      </c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  <c r="AE104" s="29"/>
      <c r="AJ104"/>
      <c r="AK104"/>
      <c r="AL104"/>
      <c r="AM104"/>
      <c r="AN104"/>
      <c r="AO104"/>
      <c r="AP104"/>
      <c r="AQ104"/>
      <c r="AR104"/>
      <c r="AS104"/>
      <c r="AT104" s="4" t="str">
        <f t="shared" si="13"/>
        <v>日常费用其他邮电费</v>
      </c>
      <c r="AU104" s="4" t="str">
        <f t="shared" si="8"/>
        <v>办公室</v>
      </c>
      <c r="AV104" s="4" t="str">
        <f t="shared" si="9"/>
        <v>IT日常费用</v>
      </c>
      <c r="AW104" s="4" t="str">
        <f>IFERROR(VLOOKUP(AV104,[1]字段!A:B,2,0),"")</f>
        <v>日常费用</v>
      </c>
      <c r="AX104" s="30" t="str">
        <f>IF(AW104="人力费用",IF(E104="","",VLOOKUP(E104,[1]字段!D:E,2,0)),AW104)</f>
        <v>日常费用</v>
      </c>
      <c r="AY104" s="30" t="str">
        <f>IF(AT104="","",VLOOKUP(AT104,[1]字段!H:I,2,0))</f>
        <v>日常费用-其他</v>
      </c>
      <c r="AZ104" s="31">
        <f t="shared" si="10"/>
        <v>0</v>
      </c>
      <c r="BA104" s="31">
        <f t="shared" si="11"/>
        <v>0</v>
      </c>
      <c r="BB104" s="31">
        <f t="shared" si="12"/>
        <v>0</v>
      </c>
      <c r="BC104" s="31">
        <f t="shared" si="14"/>
        <v>0</v>
      </c>
    </row>
    <row r="105" spans="1:55" ht="28.5" customHeight="1">
      <c r="A105" s="32"/>
      <c r="B105" s="32"/>
      <c r="C105" s="32"/>
      <c r="D105" s="40"/>
      <c r="E105" s="39" t="s">
        <v>91</v>
      </c>
      <c r="F105" s="39" t="s">
        <v>92</v>
      </c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29"/>
      <c r="AJ105"/>
      <c r="AK105"/>
      <c r="AL105"/>
      <c r="AM105"/>
      <c r="AN105"/>
      <c r="AO105"/>
      <c r="AP105"/>
      <c r="AQ105"/>
      <c r="AR105"/>
      <c r="AS105"/>
      <c r="AT105" s="4" t="str">
        <f t="shared" si="13"/>
        <v>日常费用办公费用</v>
      </c>
      <c r="AU105" s="4" t="str">
        <f t="shared" si="8"/>
        <v>办公室</v>
      </c>
      <c r="AV105" s="4" t="str">
        <f t="shared" si="9"/>
        <v>IT日常费用</v>
      </c>
      <c r="AW105" s="4" t="str">
        <f>IFERROR(VLOOKUP(AV105,[1]字段!A:B,2,0),"")</f>
        <v>日常费用</v>
      </c>
      <c r="AX105" s="30" t="str">
        <f>IF(AW105="人力费用",IF(E105="","",VLOOKUP(E105,[1]字段!D:E,2,0)),AW105)</f>
        <v>日常费用</v>
      </c>
      <c r="AY105" s="30" t="str">
        <f>IF(AT105="","",VLOOKUP(AT105,[1]字段!H:I,2,0))</f>
        <v>日常费用-其他</v>
      </c>
      <c r="AZ105" s="31">
        <f t="shared" si="10"/>
        <v>0</v>
      </c>
      <c r="BA105" s="31">
        <f t="shared" si="11"/>
        <v>0</v>
      </c>
      <c r="BB105" s="31">
        <f t="shared" si="12"/>
        <v>0</v>
      </c>
      <c r="BC105" s="31">
        <f t="shared" si="14"/>
        <v>0</v>
      </c>
    </row>
    <row r="106" spans="1:55" ht="28.5" customHeight="1">
      <c r="A106" s="32"/>
      <c r="B106" s="32"/>
      <c r="C106" s="32"/>
      <c r="D106" s="40"/>
      <c r="E106" s="39" t="s">
        <v>137</v>
      </c>
      <c r="F106" s="39" t="s">
        <v>138</v>
      </c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  <c r="AE106" s="29"/>
      <c r="AJ106"/>
      <c r="AK106"/>
      <c r="AL106"/>
      <c r="AM106"/>
      <c r="AN106"/>
      <c r="AO106"/>
      <c r="AP106"/>
      <c r="AQ106"/>
      <c r="AR106"/>
      <c r="AS106"/>
      <c r="AT106" s="4" t="str">
        <f t="shared" si="13"/>
        <v>日常费用低值易耗品支出</v>
      </c>
      <c r="AU106" s="4" t="str">
        <f t="shared" si="8"/>
        <v>办公室</v>
      </c>
      <c r="AV106" s="4" t="str">
        <f t="shared" si="9"/>
        <v>IT日常费用</v>
      </c>
      <c r="AW106" s="4" t="str">
        <f>IFERROR(VLOOKUP(AV106,[1]字段!A:B,2,0),"")</f>
        <v>日常费用</v>
      </c>
      <c r="AX106" s="30" t="str">
        <f>IF(AW106="人力费用",IF(E106="","",VLOOKUP(E106,[1]字段!D:E,2,0)),AW106)</f>
        <v>日常费用</v>
      </c>
      <c r="AY106" s="30" t="str">
        <f>IF(AT106="","",VLOOKUP(AT106,[1]字段!H:I,2,0))</f>
        <v>日常费用-其他</v>
      </c>
      <c r="AZ106" s="31">
        <f t="shared" si="10"/>
        <v>0</v>
      </c>
      <c r="BA106" s="31">
        <f t="shared" si="11"/>
        <v>0</v>
      </c>
      <c r="BB106" s="31">
        <f t="shared" si="12"/>
        <v>0</v>
      </c>
      <c r="BC106" s="31">
        <f t="shared" si="14"/>
        <v>0</v>
      </c>
    </row>
    <row r="107" spans="1:55" ht="28.5" customHeight="1">
      <c r="A107" s="32"/>
      <c r="B107" s="32"/>
      <c r="C107" s="32"/>
      <c r="D107" s="40"/>
      <c r="E107" s="39" t="s">
        <v>95</v>
      </c>
      <c r="F107" s="39" t="s">
        <v>96</v>
      </c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  <c r="AD107" s="29"/>
      <c r="AE107" s="29"/>
      <c r="AJ107"/>
      <c r="AK107"/>
      <c r="AL107"/>
      <c r="AM107"/>
      <c r="AN107"/>
      <c r="AO107"/>
      <c r="AP107"/>
      <c r="AQ107"/>
      <c r="AR107"/>
      <c r="AS107"/>
      <c r="AT107" s="4" t="str">
        <f t="shared" si="13"/>
        <v>日常费用业务招待费</v>
      </c>
      <c r="AU107" s="4" t="str">
        <f t="shared" si="8"/>
        <v>办公室</v>
      </c>
      <c r="AV107" s="4" t="str">
        <f t="shared" si="9"/>
        <v>IT日常费用</v>
      </c>
      <c r="AW107" s="4" t="str">
        <f>IFERROR(VLOOKUP(AV107,[1]字段!A:B,2,0),"")</f>
        <v>日常费用</v>
      </c>
      <c r="AX107" s="30" t="str">
        <f>IF(AW107="人力费用",IF(E107="","",VLOOKUP(E107,[1]字段!D:E,2,0)),AW107)</f>
        <v>日常费用</v>
      </c>
      <c r="AY107" s="30" t="str">
        <f>IF(AT107="","",VLOOKUP(AT107,[1]字段!H:I,2,0))</f>
        <v>日常费用-其他</v>
      </c>
      <c r="AZ107" s="31">
        <f t="shared" si="10"/>
        <v>0</v>
      </c>
      <c r="BA107" s="31">
        <f t="shared" si="11"/>
        <v>0</v>
      </c>
      <c r="BB107" s="31">
        <f t="shared" si="12"/>
        <v>0</v>
      </c>
      <c r="BC107" s="31">
        <f t="shared" si="14"/>
        <v>0</v>
      </c>
    </row>
    <row r="108" spans="1:55" ht="28.5" customHeight="1">
      <c r="A108" s="32"/>
      <c r="B108" s="32"/>
      <c r="C108" s="32"/>
      <c r="D108" s="40"/>
      <c r="E108" s="39" t="s">
        <v>139</v>
      </c>
      <c r="F108" s="39" t="s">
        <v>140</v>
      </c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  <c r="AE108" s="29"/>
      <c r="AJ108"/>
      <c r="AK108"/>
      <c r="AL108"/>
      <c r="AM108"/>
      <c r="AN108"/>
      <c r="AO108"/>
      <c r="AP108"/>
      <c r="AQ108"/>
      <c r="AR108"/>
      <c r="AS108"/>
      <c r="AT108" s="4" t="str">
        <f t="shared" si="13"/>
        <v>日常费用差旅费</v>
      </c>
      <c r="AU108" s="4" t="str">
        <f t="shared" si="8"/>
        <v>办公室</v>
      </c>
      <c r="AV108" s="4" t="str">
        <f t="shared" si="9"/>
        <v>IT日常费用</v>
      </c>
      <c r="AW108" s="4" t="str">
        <f>IFERROR(VLOOKUP(AV108,[1]字段!A:B,2,0),"")</f>
        <v>日常费用</v>
      </c>
      <c r="AX108" s="30" t="str">
        <f>IF(AW108="人力费用",IF(E108="","",VLOOKUP(E108,[1]字段!D:E,2,0)),AW108)</f>
        <v>日常费用</v>
      </c>
      <c r="AY108" s="30" t="str">
        <f>IF(AT108="","",VLOOKUP(AT108,[1]字段!H:I,2,0))</f>
        <v>日常费用-其他</v>
      </c>
      <c r="AZ108" s="31">
        <f t="shared" si="10"/>
        <v>0</v>
      </c>
      <c r="BA108" s="31">
        <f t="shared" si="11"/>
        <v>0</v>
      </c>
      <c r="BB108" s="31">
        <f t="shared" si="12"/>
        <v>0</v>
      </c>
      <c r="BC108" s="31">
        <f t="shared" si="14"/>
        <v>0</v>
      </c>
    </row>
    <row r="109" spans="1:55" ht="28.5" customHeight="1">
      <c r="A109" s="32"/>
      <c r="B109" s="32"/>
      <c r="C109" s="41"/>
      <c r="D109" s="42"/>
      <c r="E109" s="39" t="s">
        <v>104</v>
      </c>
      <c r="F109" s="39" t="s">
        <v>105</v>
      </c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  <c r="AD109" s="29"/>
      <c r="AE109" s="29"/>
      <c r="AJ109"/>
      <c r="AK109"/>
      <c r="AL109"/>
      <c r="AM109"/>
      <c r="AN109"/>
      <c r="AO109"/>
      <c r="AP109"/>
      <c r="AQ109"/>
      <c r="AR109"/>
      <c r="AS109"/>
      <c r="AT109" s="4" t="str">
        <f t="shared" si="13"/>
        <v>日常费用会议费</v>
      </c>
      <c r="AU109" s="4" t="str">
        <f t="shared" si="8"/>
        <v>办公室</v>
      </c>
      <c r="AV109" s="4" t="str">
        <f t="shared" si="9"/>
        <v>IT日常费用</v>
      </c>
      <c r="AW109" s="4" t="str">
        <f>IFERROR(VLOOKUP(AV109,[1]字段!A:B,2,0),"")</f>
        <v>日常费用</v>
      </c>
      <c r="AX109" s="30" t="str">
        <f>IF(AW109="人力费用",IF(E109="","",VLOOKUP(E109,[1]字段!D:E,2,0)),AW109)</f>
        <v>日常费用</v>
      </c>
      <c r="AY109" s="30" t="str">
        <f>IF(AT109="","",VLOOKUP(AT109,[1]字段!H:I,2,0))</f>
        <v>日常费用-其他</v>
      </c>
      <c r="AZ109" s="31">
        <f t="shared" si="10"/>
        <v>0</v>
      </c>
      <c r="BA109" s="31">
        <f t="shared" si="11"/>
        <v>0</v>
      </c>
      <c r="BB109" s="31">
        <f t="shared" si="12"/>
        <v>0</v>
      </c>
      <c r="BC109" s="31">
        <f t="shared" si="14"/>
        <v>0</v>
      </c>
    </row>
    <row r="110" spans="1:55" ht="28.5" customHeight="1">
      <c r="C110" s="33" t="s">
        <v>141</v>
      </c>
      <c r="D110" s="34" t="s">
        <v>142</v>
      </c>
      <c r="E110" s="35"/>
      <c r="F110" s="36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  <c r="AJ110"/>
      <c r="AK110"/>
      <c r="AL110"/>
      <c r="AM110"/>
      <c r="AN110"/>
      <c r="AO110"/>
      <c r="AP110"/>
      <c r="AQ110"/>
      <c r="AR110"/>
      <c r="AS110"/>
      <c r="AT110" s="4" t="str">
        <f t="shared" si="13"/>
        <v>职场费用</v>
      </c>
      <c r="AU110" s="4" t="str">
        <f t="shared" si="8"/>
        <v>办公室</v>
      </c>
      <c r="AV110" s="4" t="str">
        <f t="shared" si="9"/>
        <v>职场费用</v>
      </c>
      <c r="AW110" s="4" t="str">
        <f>IFERROR(VLOOKUP(AV110,[1]字段!A:B,2,0),"")</f>
        <v>职场费用</v>
      </c>
      <c r="AX110" s="30" t="str">
        <f>IF(AW110="人力费用",IF(E110="","",VLOOKUP(E110,[1]字段!D:E,2,0)),AW110)</f>
        <v>职场费用</v>
      </c>
      <c r="AY110" s="30">
        <f>IF(AT110="","",VLOOKUP(AT110,[1]字段!H:I,2,0))</f>
        <v>0</v>
      </c>
      <c r="AZ110" s="31">
        <f t="shared" si="10"/>
        <v>0</v>
      </c>
      <c r="BA110" s="31">
        <f t="shared" si="11"/>
        <v>0</v>
      </c>
      <c r="BB110" s="31">
        <f t="shared" si="12"/>
        <v>0</v>
      </c>
      <c r="BC110" s="31">
        <f t="shared" si="14"/>
        <v>0</v>
      </c>
    </row>
    <row r="111" spans="1:55" ht="28.5" customHeight="1">
      <c r="A111" s="32"/>
      <c r="B111" s="32"/>
      <c r="C111" s="37"/>
      <c r="D111" s="38"/>
      <c r="E111" s="39" t="s">
        <v>115</v>
      </c>
      <c r="F111" s="39" t="s">
        <v>116</v>
      </c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  <c r="AE111" s="29"/>
      <c r="AJ111"/>
      <c r="AK111"/>
      <c r="AL111"/>
      <c r="AM111"/>
      <c r="AN111"/>
      <c r="AO111"/>
      <c r="AP111"/>
      <c r="AQ111"/>
      <c r="AR111"/>
      <c r="AS111"/>
      <c r="AT111" s="4" t="str">
        <f t="shared" si="13"/>
        <v>职场费用房屋及建筑物折旧费</v>
      </c>
      <c r="AU111" s="4" t="str">
        <f t="shared" si="8"/>
        <v>办公室</v>
      </c>
      <c r="AV111" s="4" t="str">
        <f t="shared" si="9"/>
        <v>职场费用</v>
      </c>
      <c r="AW111" s="4" t="str">
        <f>IFERROR(VLOOKUP(AV111,[1]字段!A:B,2,0),"")</f>
        <v>职场费用</v>
      </c>
      <c r="AX111" s="30" t="str">
        <f>IF(AW111="人力费用",IF(E111="","",VLOOKUP(E111,[1]字段!D:E,2,0)),AW111)</f>
        <v>职场费用</v>
      </c>
      <c r="AY111" s="30" t="str">
        <f>IF(AT111="","",VLOOKUP(AT111,[1]字段!H:I,2,0))</f>
        <v>职场费用</v>
      </c>
      <c r="AZ111" s="31">
        <f t="shared" si="10"/>
        <v>0</v>
      </c>
      <c r="BA111" s="31">
        <f t="shared" si="11"/>
        <v>0</v>
      </c>
      <c r="BB111" s="31">
        <f t="shared" si="12"/>
        <v>0</v>
      </c>
      <c r="BC111" s="31">
        <f t="shared" si="14"/>
        <v>0</v>
      </c>
    </row>
    <row r="112" spans="1:55" ht="28.5" customHeight="1">
      <c r="A112" s="32"/>
      <c r="B112" s="32"/>
      <c r="C112" s="32"/>
      <c r="D112" s="40"/>
      <c r="E112" s="39" t="s">
        <v>117</v>
      </c>
      <c r="F112" s="39" t="s">
        <v>118</v>
      </c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  <c r="AE112" s="29"/>
      <c r="AJ112"/>
      <c r="AK112"/>
      <c r="AL112"/>
      <c r="AM112"/>
      <c r="AN112"/>
      <c r="AO112"/>
      <c r="AP112"/>
      <c r="AQ112"/>
      <c r="AR112"/>
      <c r="AS112"/>
      <c r="AT112" s="4" t="str">
        <f t="shared" si="13"/>
        <v>职场费用自有房屋及建筑物装修折旧费</v>
      </c>
      <c r="AU112" s="4" t="str">
        <f t="shared" si="8"/>
        <v>办公室</v>
      </c>
      <c r="AV112" s="4" t="str">
        <f t="shared" si="9"/>
        <v>职场费用</v>
      </c>
      <c r="AW112" s="4" t="str">
        <f>IFERROR(VLOOKUP(AV112,[1]字段!A:B,2,0),"")</f>
        <v>职场费用</v>
      </c>
      <c r="AX112" s="30" t="str">
        <f>IF(AW112="人力费用",IF(E112="","",VLOOKUP(E112,[1]字段!D:E,2,0)),AW112)</f>
        <v>职场费用</v>
      </c>
      <c r="AY112" s="30" t="str">
        <f>IF(AT112="","",VLOOKUP(AT112,[1]字段!H:I,2,0))</f>
        <v>职场费用</v>
      </c>
      <c r="AZ112" s="31">
        <f t="shared" si="10"/>
        <v>0</v>
      </c>
      <c r="BA112" s="31">
        <f t="shared" si="11"/>
        <v>0</v>
      </c>
      <c r="BB112" s="31">
        <f t="shared" si="12"/>
        <v>0</v>
      </c>
      <c r="BC112" s="31">
        <f t="shared" si="14"/>
        <v>0</v>
      </c>
    </row>
    <row r="113" spans="1:55" ht="28.5" customHeight="1">
      <c r="A113" s="32"/>
      <c r="B113" s="32"/>
      <c r="C113" s="32"/>
      <c r="D113" s="40"/>
      <c r="E113" s="39" t="s">
        <v>119</v>
      </c>
      <c r="F113" s="39" t="s">
        <v>120</v>
      </c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J113"/>
      <c r="AK113"/>
      <c r="AL113"/>
      <c r="AM113"/>
      <c r="AN113"/>
      <c r="AO113"/>
      <c r="AP113"/>
      <c r="AQ113"/>
      <c r="AR113"/>
      <c r="AS113"/>
      <c r="AT113" s="4" t="str">
        <f t="shared" si="13"/>
        <v>职场费用土地使用权摊销</v>
      </c>
      <c r="AU113" s="4" t="str">
        <f t="shared" si="8"/>
        <v>办公室</v>
      </c>
      <c r="AV113" s="4" t="str">
        <f t="shared" si="9"/>
        <v>职场费用</v>
      </c>
      <c r="AW113" s="4" t="str">
        <f>IFERROR(VLOOKUP(AV113,[1]字段!A:B,2,0),"")</f>
        <v>职场费用</v>
      </c>
      <c r="AX113" s="30" t="str">
        <f>IF(AW113="人力费用",IF(E113="","",VLOOKUP(E113,[1]字段!D:E,2,0)),AW113)</f>
        <v>职场费用</v>
      </c>
      <c r="AY113" s="30" t="str">
        <f>IF(AT113="","",VLOOKUP(AT113,[1]字段!H:I,2,0))</f>
        <v>职场费用</v>
      </c>
      <c r="AZ113" s="31">
        <f t="shared" si="10"/>
        <v>0</v>
      </c>
      <c r="BA113" s="31">
        <f t="shared" si="11"/>
        <v>0</v>
      </c>
      <c r="BB113" s="31">
        <f t="shared" si="12"/>
        <v>0</v>
      </c>
      <c r="BC113" s="31">
        <f t="shared" si="14"/>
        <v>0</v>
      </c>
    </row>
    <row r="114" spans="1:55" ht="28.5" customHeight="1">
      <c r="A114" s="32"/>
      <c r="B114" s="32"/>
      <c r="C114" s="32"/>
      <c r="D114" s="40"/>
      <c r="E114" s="39" t="s">
        <v>121</v>
      </c>
      <c r="F114" s="39" t="s">
        <v>122</v>
      </c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  <c r="AE114" s="29"/>
      <c r="AJ114"/>
      <c r="AK114"/>
      <c r="AL114"/>
      <c r="AM114"/>
      <c r="AN114"/>
      <c r="AO114"/>
      <c r="AP114"/>
      <c r="AQ114"/>
      <c r="AR114"/>
      <c r="AS114"/>
      <c r="AT114" s="4" t="str">
        <f t="shared" si="13"/>
        <v>职场费用房租费</v>
      </c>
      <c r="AU114" s="4" t="str">
        <f t="shared" si="8"/>
        <v>办公室</v>
      </c>
      <c r="AV114" s="4" t="str">
        <f t="shared" si="9"/>
        <v>职场费用</v>
      </c>
      <c r="AW114" s="4" t="str">
        <f>IFERROR(VLOOKUP(AV114,[1]字段!A:B,2,0),"")</f>
        <v>职场费用</v>
      </c>
      <c r="AX114" s="30" t="str">
        <f>IF(AW114="人力费用",IF(E114="","",VLOOKUP(E114,[1]字段!D:E,2,0)),AW114)</f>
        <v>职场费用</v>
      </c>
      <c r="AY114" s="30" t="str">
        <f>IF(AT114="","",VLOOKUP(AT114,[1]字段!H:I,2,0))</f>
        <v>职场费用</v>
      </c>
      <c r="AZ114" s="31">
        <f t="shared" si="10"/>
        <v>0</v>
      </c>
      <c r="BA114" s="31">
        <f t="shared" si="11"/>
        <v>0</v>
      </c>
      <c r="BB114" s="31">
        <f t="shared" si="12"/>
        <v>0</v>
      </c>
      <c r="BC114" s="31">
        <f t="shared" si="14"/>
        <v>0</v>
      </c>
    </row>
    <row r="115" spans="1:55" ht="28.5" customHeight="1">
      <c r="A115" s="32"/>
      <c r="B115" s="32"/>
      <c r="C115" s="32"/>
      <c r="D115" s="40"/>
      <c r="E115" s="39" t="s">
        <v>123</v>
      </c>
      <c r="F115" s="39" t="s">
        <v>124</v>
      </c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  <c r="AD115" s="29"/>
      <c r="AE115" s="29"/>
      <c r="AJ115"/>
      <c r="AK115"/>
      <c r="AL115"/>
      <c r="AM115"/>
      <c r="AN115"/>
      <c r="AO115"/>
      <c r="AP115"/>
      <c r="AQ115"/>
      <c r="AR115"/>
      <c r="AS115"/>
      <c r="AT115" s="4" t="str">
        <f t="shared" si="13"/>
        <v>职场费用物业管理费</v>
      </c>
      <c r="AU115" s="4" t="str">
        <f t="shared" si="8"/>
        <v>办公室</v>
      </c>
      <c r="AV115" s="4" t="str">
        <f t="shared" si="9"/>
        <v>职场费用</v>
      </c>
      <c r="AW115" s="4" t="str">
        <f>IFERROR(VLOOKUP(AV115,[1]字段!A:B,2,0),"")</f>
        <v>职场费用</v>
      </c>
      <c r="AX115" s="30" t="str">
        <f>IF(AW115="人力费用",IF(E115="","",VLOOKUP(E115,[1]字段!D:E,2,0)),AW115)</f>
        <v>职场费用</v>
      </c>
      <c r="AY115" s="30" t="str">
        <f>IF(AT115="","",VLOOKUP(AT115,[1]字段!H:I,2,0))</f>
        <v>职场费用</v>
      </c>
      <c r="AZ115" s="31">
        <f t="shared" si="10"/>
        <v>0</v>
      </c>
      <c r="BA115" s="31">
        <f t="shared" si="11"/>
        <v>0</v>
      </c>
      <c r="BB115" s="31">
        <f t="shared" si="12"/>
        <v>0</v>
      </c>
      <c r="BC115" s="31">
        <f t="shared" si="14"/>
        <v>0</v>
      </c>
    </row>
    <row r="116" spans="1:55" ht="28.5" customHeight="1">
      <c r="A116" s="32"/>
      <c r="B116" s="32"/>
      <c r="C116" s="32"/>
      <c r="D116" s="40"/>
      <c r="E116" s="39" t="s">
        <v>125</v>
      </c>
      <c r="F116" s="39" t="s">
        <v>126</v>
      </c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  <c r="AD116" s="29"/>
      <c r="AE116" s="29"/>
      <c r="AJ116"/>
      <c r="AK116"/>
      <c r="AL116"/>
      <c r="AM116"/>
      <c r="AN116"/>
      <c r="AO116"/>
      <c r="AP116"/>
      <c r="AQ116"/>
      <c r="AR116"/>
      <c r="AS116"/>
      <c r="AT116" s="4" t="str">
        <f t="shared" si="13"/>
        <v>职场费用水电气费</v>
      </c>
      <c r="AU116" s="4" t="str">
        <f t="shared" si="8"/>
        <v>办公室</v>
      </c>
      <c r="AV116" s="4" t="str">
        <f t="shared" si="9"/>
        <v>职场费用</v>
      </c>
      <c r="AW116" s="4" t="str">
        <f>IFERROR(VLOOKUP(AV116,[1]字段!A:B,2,0),"")</f>
        <v>职场费用</v>
      </c>
      <c r="AX116" s="30" t="str">
        <f>IF(AW116="人力费用",IF(E116="","",VLOOKUP(E116,[1]字段!D:E,2,0)),AW116)</f>
        <v>职场费用</v>
      </c>
      <c r="AY116" s="30" t="str">
        <f>IF(AT116="","",VLOOKUP(AT116,[1]字段!H:I,2,0))</f>
        <v>职场费用</v>
      </c>
      <c r="AZ116" s="31">
        <f t="shared" si="10"/>
        <v>0</v>
      </c>
      <c r="BA116" s="31">
        <f t="shared" si="11"/>
        <v>0</v>
      </c>
      <c r="BB116" s="31">
        <f t="shared" si="12"/>
        <v>0</v>
      </c>
      <c r="BC116" s="31">
        <f t="shared" si="14"/>
        <v>0</v>
      </c>
    </row>
    <row r="117" spans="1:55" ht="28.5" customHeight="1">
      <c r="A117" s="32"/>
      <c r="B117" s="32"/>
      <c r="C117" s="32"/>
      <c r="D117" s="40"/>
      <c r="E117" s="39" t="s">
        <v>127</v>
      </c>
      <c r="F117" s="39" t="s">
        <v>128</v>
      </c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  <c r="AE117" s="29"/>
      <c r="AJ117"/>
      <c r="AK117"/>
      <c r="AL117"/>
      <c r="AM117"/>
      <c r="AN117"/>
      <c r="AO117"/>
      <c r="AP117"/>
      <c r="AQ117"/>
      <c r="AR117"/>
      <c r="AS117"/>
      <c r="AT117" s="4" t="str">
        <f t="shared" si="13"/>
        <v>职场费用租入房屋及建筑物折旧费</v>
      </c>
      <c r="AU117" s="4" t="str">
        <f t="shared" si="8"/>
        <v>办公室</v>
      </c>
      <c r="AV117" s="4" t="str">
        <f t="shared" si="9"/>
        <v>职场费用</v>
      </c>
      <c r="AW117" s="4" t="str">
        <f>IFERROR(VLOOKUP(AV117,[1]字段!A:B,2,0),"")</f>
        <v>职场费用</v>
      </c>
      <c r="AX117" s="30" t="str">
        <f>IF(AW117="人力费用",IF(E117="","",VLOOKUP(E117,[1]字段!D:E,2,0)),AW117)</f>
        <v>职场费用</v>
      </c>
      <c r="AY117" s="30" t="str">
        <f>IF(AT117="","",VLOOKUP(AT117,[1]字段!H:I,2,0))</f>
        <v>职场费用</v>
      </c>
      <c r="AZ117" s="31">
        <f t="shared" si="10"/>
        <v>0</v>
      </c>
      <c r="BA117" s="31">
        <f t="shared" si="11"/>
        <v>0</v>
      </c>
      <c r="BB117" s="31">
        <f t="shared" si="12"/>
        <v>0</v>
      </c>
      <c r="BC117" s="31">
        <f t="shared" si="14"/>
        <v>0</v>
      </c>
    </row>
    <row r="118" spans="1:55" ht="28.5" customHeight="1">
      <c r="A118" s="32"/>
      <c r="B118" s="32"/>
      <c r="C118" s="41"/>
      <c r="D118" s="42"/>
      <c r="E118" s="39" t="s">
        <v>129</v>
      </c>
      <c r="F118" s="39" t="s">
        <v>130</v>
      </c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  <c r="AJ118"/>
      <c r="AK118"/>
      <c r="AL118"/>
      <c r="AM118"/>
      <c r="AN118"/>
      <c r="AO118"/>
      <c r="AP118"/>
      <c r="AQ118"/>
      <c r="AR118"/>
      <c r="AS118"/>
      <c r="AT118" s="4" t="str">
        <f t="shared" si="13"/>
        <v>职场费用租入房屋及建筑物租赁负债利息费用</v>
      </c>
      <c r="AU118" s="4" t="str">
        <f t="shared" si="8"/>
        <v>办公室</v>
      </c>
      <c r="AV118" s="4" t="str">
        <f t="shared" si="9"/>
        <v>职场费用</v>
      </c>
      <c r="AW118" s="4" t="str">
        <f>IFERROR(VLOOKUP(AV118,[1]字段!A:B,2,0),"")</f>
        <v>职场费用</v>
      </c>
      <c r="AX118" s="30" t="str">
        <f>IF(AW118="人力费用",IF(E118="","",VLOOKUP(E118,[1]字段!D:E,2,0)),AW118)</f>
        <v>职场费用</v>
      </c>
      <c r="AY118" s="30" t="str">
        <f>IF(AT118="","",VLOOKUP(AT118,[1]字段!H:I,2,0))</f>
        <v>职场费用</v>
      </c>
      <c r="AZ118" s="31">
        <f t="shared" si="10"/>
        <v>0</v>
      </c>
      <c r="BA118" s="31">
        <f t="shared" si="11"/>
        <v>0</v>
      </c>
      <c r="BB118" s="31">
        <f t="shared" si="12"/>
        <v>0</v>
      </c>
      <c r="BC118" s="31">
        <f t="shared" si="14"/>
        <v>0</v>
      </c>
    </row>
    <row r="119" spans="1:55" ht="28.5" customHeight="1">
      <c r="C119" s="33" t="s">
        <v>93</v>
      </c>
      <c r="D119" s="34" t="s">
        <v>94</v>
      </c>
      <c r="E119" s="35"/>
      <c r="F119" s="36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  <c r="AD119" s="29"/>
      <c r="AE119" s="29"/>
      <c r="AJ119"/>
      <c r="AK119"/>
      <c r="AL119"/>
      <c r="AM119"/>
      <c r="AN119"/>
      <c r="AO119"/>
      <c r="AP119"/>
      <c r="AQ119"/>
      <c r="AR119"/>
      <c r="AS119"/>
      <c r="AT119" s="4" t="str">
        <f t="shared" si="13"/>
        <v>日常费用</v>
      </c>
      <c r="AU119" s="4" t="str">
        <f t="shared" si="8"/>
        <v>办公室</v>
      </c>
      <c r="AV119" s="4" t="str">
        <f t="shared" si="9"/>
        <v>日常费用</v>
      </c>
      <c r="AW119" s="4" t="str">
        <f>IFERROR(VLOOKUP(AV119,[1]字段!A:B,2,0),"")</f>
        <v>日常费用</v>
      </c>
      <c r="AX119" s="30" t="str">
        <f>IF(AW119="人力费用",IF(E119="","",VLOOKUP(E119,[1]字段!D:E,2,0)),AW119)</f>
        <v>日常费用</v>
      </c>
      <c r="AY119" s="30">
        <f>IF(AT119="","",VLOOKUP(AT119,[1]字段!H:I,2,0))</f>
        <v>0</v>
      </c>
      <c r="AZ119" s="31">
        <f t="shared" si="10"/>
        <v>0</v>
      </c>
      <c r="BA119" s="31">
        <f t="shared" si="11"/>
        <v>0</v>
      </c>
      <c r="BB119" s="31">
        <f t="shared" si="12"/>
        <v>0</v>
      </c>
      <c r="BC119" s="31">
        <f t="shared" si="14"/>
        <v>0</v>
      </c>
    </row>
    <row r="120" spans="1:55" ht="28.5" customHeight="1">
      <c r="A120" s="32"/>
      <c r="B120" s="32"/>
      <c r="C120" s="37"/>
      <c r="D120" s="38"/>
      <c r="E120" s="39" t="s">
        <v>87</v>
      </c>
      <c r="F120" s="39" t="s">
        <v>88</v>
      </c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  <c r="AD120" s="29"/>
      <c r="AE120" s="29"/>
      <c r="AJ120"/>
      <c r="AK120"/>
      <c r="AL120"/>
      <c r="AM120"/>
      <c r="AN120"/>
      <c r="AO120"/>
      <c r="AP120"/>
      <c r="AQ120"/>
      <c r="AR120"/>
      <c r="AS120"/>
      <c r="AT120" s="4" t="str">
        <f t="shared" si="13"/>
        <v>日常费用办公OA设备折旧费</v>
      </c>
      <c r="AU120" s="4" t="str">
        <f t="shared" si="8"/>
        <v>办公室</v>
      </c>
      <c r="AV120" s="4" t="str">
        <f t="shared" si="9"/>
        <v>日常费用</v>
      </c>
      <c r="AW120" s="4" t="str">
        <f>IFERROR(VLOOKUP(AV120,[1]字段!A:B,2,0),"")</f>
        <v>日常费用</v>
      </c>
      <c r="AX120" s="30" t="str">
        <f>IF(AW120="人力费用",IF(E120="","",VLOOKUP(E120,[1]字段!D:E,2,0)),AW120)</f>
        <v>日常费用</v>
      </c>
      <c r="AY120" s="30" t="str">
        <f>IF(AT120="","",VLOOKUP(AT120,[1]字段!H:I,2,0))</f>
        <v>日常费用-其他</v>
      </c>
      <c r="AZ120" s="31">
        <f t="shared" si="10"/>
        <v>0</v>
      </c>
      <c r="BA120" s="31">
        <f t="shared" si="11"/>
        <v>0</v>
      </c>
      <c r="BB120" s="31">
        <f t="shared" si="12"/>
        <v>0</v>
      </c>
      <c r="BC120" s="31">
        <f t="shared" si="14"/>
        <v>0</v>
      </c>
    </row>
    <row r="121" spans="1:55" ht="28.5" customHeight="1">
      <c r="A121" s="32"/>
      <c r="B121" s="32"/>
      <c r="C121" s="32"/>
      <c r="D121" s="40"/>
      <c r="E121" s="39" t="s">
        <v>131</v>
      </c>
      <c r="F121" s="39" t="s">
        <v>132</v>
      </c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  <c r="AD121" s="29"/>
      <c r="AE121" s="29"/>
      <c r="AJ121"/>
      <c r="AK121"/>
      <c r="AL121"/>
      <c r="AM121"/>
      <c r="AN121"/>
      <c r="AO121"/>
      <c r="AP121"/>
      <c r="AQ121"/>
      <c r="AR121"/>
      <c r="AS121"/>
      <c r="AT121" s="4" t="str">
        <f t="shared" si="13"/>
        <v>日常费用交通工具折旧费</v>
      </c>
      <c r="AU121" s="4" t="str">
        <f t="shared" si="8"/>
        <v>办公室</v>
      </c>
      <c r="AV121" s="4" t="str">
        <f t="shared" si="9"/>
        <v>日常费用</v>
      </c>
      <c r="AW121" s="4" t="str">
        <f>IFERROR(VLOOKUP(AV121,[1]字段!A:B,2,0),"")</f>
        <v>日常费用</v>
      </c>
      <c r="AX121" s="30" t="str">
        <f>IF(AW121="人力费用",IF(E121="","",VLOOKUP(E121,[1]字段!D:E,2,0)),AW121)</f>
        <v>日常费用</v>
      </c>
      <c r="AY121" s="30" t="str">
        <f>IF(AT121="","",VLOOKUP(AT121,[1]字段!H:I,2,0))</f>
        <v>日常费用-其他</v>
      </c>
      <c r="AZ121" s="31">
        <f t="shared" si="10"/>
        <v>0</v>
      </c>
      <c r="BA121" s="31">
        <f t="shared" si="11"/>
        <v>0</v>
      </c>
      <c r="BB121" s="31">
        <f t="shared" si="12"/>
        <v>0</v>
      </c>
      <c r="BC121" s="31">
        <f t="shared" si="14"/>
        <v>0</v>
      </c>
    </row>
    <row r="122" spans="1:55" ht="28.5" customHeight="1">
      <c r="A122" s="32"/>
      <c r="B122" s="32"/>
      <c r="C122" s="32"/>
      <c r="D122" s="40"/>
      <c r="E122" s="39" t="s">
        <v>89</v>
      </c>
      <c r="F122" s="39" t="s">
        <v>90</v>
      </c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  <c r="AD122" s="29"/>
      <c r="AE122" s="29"/>
      <c r="AJ122"/>
      <c r="AK122"/>
      <c r="AL122"/>
      <c r="AM122"/>
      <c r="AN122"/>
      <c r="AO122"/>
      <c r="AP122"/>
      <c r="AQ122"/>
      <c r="AR122"/>
      <c r="AS122"/>
      <c r="AT122" s="4" t="str">
        <f t="shared" si="13"/>
        <v>日常费用办公家具折旧费</v>
      </c>
      <c r="AU122" s="4" t="str">
        <f t="shared" si="8"/>
        <v>办公室</v>
      </c>
      <c r="AV122" s="4" t="str">
        <f t="shared" si="9"/>
        <v>日常费用</v>
      </c>
      <c r="AW122" s="4" t="str">
        <f>IFERROR(VLOOKUP(AV122,[1]字段!A:B,2,0),"")</f>
        <v>日常费用</v>
      </c>
      <c r="AX122" s="30" t="str">
        <f>IF(AW122="人力费用",IF(E122="","",VLOOKUP(E122,[1]字段!D:E,2,0)),AW122)</f>
        <v>日常费用</v>
      </c>
      <c r="AY122" s="30" t="str">
        <f>IF(AT122="","",VLOOKUP(AT122,[1]字段!H:I,2,0))</f>
        <v>日常费用-其他</v>
      </c>
      <c r="AZ122" s="31">
        <f t="shared" si="10"/>
        <v>0</v>
      </c>
      <c r="BA122" s="31">
        <f t="shared" si="11"/>
        <v>0</v>
      </c>
      <c r="BB122" s="31">
        <f t="shared" si="12"/>
        <v>0</v>
      </c>
      <c r="BC122" s="31">
        <f t="shared" si="14"/>
        <v>0</v>
      </c>
    </row>
    <row r="123" spans="1:55" ht="28.5" customHeight="1">
      <c r="A123" s="32"/>
      <c r="B123" s="32"/>
      <c r="C123" s="32"/>
      <c r="D123" s="40"/>
      <c r="E123" s="39" t="s">
        <v>143</v>
      </c>
      <c r="F123" s="39" t="s">
        <v>144</v>
      </c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  <c r="AJ123"/>
      <c r="AK123"/>
      <c r="AL123"/>
      <c r="AM123"/>
      <c r="AN123"/>
      <c r="AO123"/>
      <c r="AP123"/>
      <c r="AQ123"/>
      <c r="AR123"/>
      <c r="AS123"/>
      <c r="AT123" s="4" t="str">
        <f t="shared" si="13"/>
        <v>日常费用车船使用费</v>
      </c>
      <c r="AU123" s="4" t="str">
        <f t="shared" si="8"/>
        <v>办公室</v>
      </c>
      <c r="AV123" s="4" t="str">
        <f t="shared" si="9"/>
        <v>日常费用</v>
      </c>
      <c r="AW123" s="4" t="str">
        <f>IFERROR(VLOOKUP(AV123,[1]字段!A:B,2,0),"")</f>
        <v>日常费用</v>
      </c>
      <c r="AX123" s="30" t="str">
        <f>IF(AW123="人力费用",IF(E123="","",VLOOKUP(E123,[1]字段!D:E,2,0)),AW123)</f>
        <v>日常费用</v>
      </c>
      <c r="AY123" s="30" t="str">
        <f>IF(AT123="","",VLOOKUP(AT123,[1]字段!H:I,2,0))</f>
        <v>日常费用-其他</v>
      </c>
      <c r="AZ123" s="31">
        <f t="shared" si="10"/>
        <v>0</v>
      </c>
      <c r="BA123" s="31">
        <f t="shared" si="11"/>
        <v>0</v>
      </c>
      <c r="BB123" s="31">
        <f t="shared" si="12"/>
        <v>0</v>
      </c>
      <c r="BC123" s="31">
        <f t="shared" si="14"/>
        <v>0</v>
      </c>
    </row>
    <row r="124" spans="1:55" ht="28.5" customHeight="1">
      <c r="A124" s="32"/>
      <c r="B124" s="32"/>
      <c r="C124" s="32"/>
      <c r="D124" s="40"/>
      <c r="E124" s="39" t="s">
        <v>77</v>
      </c>
      <c r="F124" s="39" t="s">
        <v>78</v>
      </c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  <c r="AJ124"/>
      <c r="AK124"/>
      <c r="AL124"/>
      <c r="AM124"/>
      <c r="AN124"/>
      <c r="AO124"/>
      <c r="AP124"/>
      <c r="AQ124"/>
      <c r="AR124"/>
      <c r="AS124"/>
      <c r="AT124" s="4" t="str">
        <f t="shared" si="13"/>
        <v>日常费用咨询费</v>
      </c>
      <c r="AU124" s="4" t="str">
        <f t="shared" si="8"/>
        <v>办公室</v>
      </c>
      <c r="AV124" s="4" t="str">
        <f t="shared" si="9"/>
        <v>日常费用</v>
      </c>
      <c r="AW124" s="4" t="str">
        <f>IFERROR(VLOOKUP(AV124,[1]字段!A:B,2,0),"")</f>
        <v>日常费用</v>
      </c>
      <c r="AX124" s="30" t="str">
        <f>IF(AW124="人力费用",IF(E124="","",VLOOKUP(E124,[1]字段!D:E,2,0)),AW124)</f>
        <v>日常费用</v>
      </c>
      <c r="AY124" s="30" t="str">
        <f>IF(AT124="","",VLOOKUP(AT124,[1]字段!H:I,2,0))</f>
        <v>日常费用-咨询费</v>
      </c>
      <c r="AZ124" s="31">
        <f t="shared" si="10"/>
        <v>0</v>
      </c>
      <c r="BA124" s="31">
        <f t="shared" si="11"/>
        <v>0</v>
      </c>
      <c r="BB124" s="31">
        <f t="shared" si="12"/>
        <v>0</v>
      </c>
      <c r="BC124" s="31">
        <f t="shared" si="14"/>
        <v>0</v>
      </c>
    </row>
    <row r="125" spans="1:55" ht="28.5" customHeight="1">
      <c r="A125" s="32"/>
      <c r="B125" s="32"/>
      <c r="C125" s="32"/>
      <c r="D125" s="40"/>
      <c r="E125" s="39" t="s">
        <v>133</v>
      </c>
      <c r="F125" s="39" t="s">
        <v>134</v>
      </c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  <c r="AD125" s="29"/>
      <c r="AE125" s="29"/>
      <c r="AJ125"/>
      <c r="AK125"/>
      <c r="AL125"/>
      <c r="AM125"/>
      <c r="AN125"/>
      <c r="AO125"/>
      <c r="AP125"/>
      <c r="AQ125"/>
      <c r="AR125"/>
      <c r="AS125"/>
      <c r="AT125" s="4" t="str">
        <f t="shared" si="13"/>
        <v>日常费用装修及修理费</v>
      </c>
      <c r="AU125" s="4" t="str">
        <f t="shared" si="8"/>
        <v>办公室</v>
      </c>
      <c r="AV125" s="4" t="str">
        <f t="shared" si="9"/>
        <v>日常费用</v>
      </c>
      <c r="AW125" s="4" t="str">
        <f>IFERROR(VLOOKUP(AV125,[1]字段!A:B,2,0),"")</f>
        <v>日常费用</v>
      </c>
      <c r="AX125" s="30" t="str">
        <f>IF(AW125="人力费用",IF(E125="","",VLOOKUP(E125,[1]字段!D:E,2,0)),AW125)</f>
        <v>日常费用</v>
      </c>
      <c r="AY125" s="30" t="str">
        <f>IF(AT125="","",VLOOKUP(AT125,[1]字段!H:I,2,0))</f>
        <v>日常费用-其他</v>
      </c>
      <c r="AZ125" s="31">
        <f t="shared" si="10"/>
        <v>0</v>
      </c>
      <c r="BA125" s="31">
        <f t="shared" si="11"/>
        <v>0</v>
      </c>
      <c r="BB125" s="31">
        <f t="shared" si="12"/>
        <v>0</v>
      </c>
      <c r="BC125" s="31">
        <f t="shared" si="14"/>
        <v>0</v>
      </c>
    </row>
    <row r="126" spans="1:55" ht="28.5" customHeight="1">
      <c r="A126" s="32"/>
      <c r="B126" s="32"/>
      <c r="C126" s="32"/>
      <c r="D126" s="40"/>
      <c r="E126" s="39" t="s">
        <v>135</v>
      </c>
      <c r="F126" s="39" t="s">
        <v>136</v>
      </c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J126"/>
      <c r="AK126"/>
      <c r="AL126"/>
      <c r="AM126"/>
      <c r="AN126"/>
      <c r="AO126"/>
      <c r="AP126"/>
      <c r="AQ126"/>
      <c r="AR126"/>
      <c r="AS126"/>
      <c r="AT126" s="4" t="str">
        <f t="shared" si="13"/>
        <v>日常费用其他邮电费</v>
      </c>
      <c r="AU126" s="4" t="str">
        <f t="shared" si="8"/>
        <v>办公室</v>
      </c>
      <c r="AV126" s="4" t="str">
        <f t="shared" si="9"/>
        <v>日常费用</v>
      </c>
      <c r="AW126" s="4" t="str">
        <f>IFERROR(VLOOKUP(AV126,[1]字段!A:B,2,0),"")</f>
        <v>日常费用</v>
      </c>
      <c r="AX126" s="30" t="str">
        <f>IF(AW126="人力费用",IF(E126="","",VLOOKUP(E126,[1]字段!D:E,2,0)),AW126)</f>
        <v>日常费用</v>
      </c>
      <c r="AY126" s="30" t="str">
        <f>IF(AT126="","",VLOOKUP(AT126,[1]字段!H:I,2,0))</f>
        <v>日常费用-其他</v>
      </c>
      <c r="AZ126" s="31">
        <f t="shared" si="10"/>
        <v>0</v>
      </c>
      <c r="BA126" s="31">
        <f t="shared" si="11"/>
        <v>0</v>
      </c>
      <c r="BB126" s="31">
        <f t="shared" si="12"/>
        <v>0</v>
      </c>
      <c r="BC126" s="31">
        <f t="shared" si="14"/>
        <v>0</v>
      </c>
    </row>
    <row r="127" spans="1:55" ht="28.5" customHeight="1">
      <c r="A127" s="32"/>
      <c r="B127" s="32"/>
      <c r="C127" s="32"/>
      <c r="D127" s="40"/>
      <c r="E127" s="39" t="s">
        <v>91</v>
      </c>
      <c r="F127" s="39" t="s">
        <v>92</v>
      </c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  <c r="AC127" s="29"/>
      <c r="AD127" s="29"/>
      <c r="AE127" s="29"/>
      <c r="AJ127"/>
      <c r="AK127"/>
      <c r="AL127"/>
      <c r="AM127"/>
      <c r="AN127"/>
      <c r="AO127"/>
      <c r="AP127"/>
      <c r="AQ127"/>
      <c r="AR127"/>
      <c r="AS127"/>
      <c r="AT127" s="4" t="str">
        <f t="shared" si="13"/>
        <v>日常费用办公费用</v>
      </c>
      <c r="AU127" s="4" t="str">
        <f t="shared" si="8"/>
        <v>办公室</v>
      </c>
      <c r="AV127" s="4" t="str">
        <f t="shared" si="9"/>
        <v>日常费用</v>
      </c>
      <c r="AW127" s="4" t="str">
        <f>IFERROR(VLOOKUP(AV127,[1]字段!A:B,2,0),"")</f>
        <v>日常费用</v>
      </c>
      <c r="AX127" s="30" t="str">
        <f>IF(AW127="人力费用",IF(E127="","",VLOOKUP(E127,[1]字段!D:E,2,0)),AW127)</f>
        <v>日常费用</v>
      </c>
      <c r="AY127" s="30" t="str">
        <f>IF(AT127="","",VLOOKUP(AT127,[1]字段!H:I,2,0))</f>
        <v>日常费用-其他</v>
      </c>
      <c r="AZ127" s="31">
        <f t="shared" si="10"/>
        <v>0</v>
      </c>
      <c r="BA127" s="31">
        <f t="shared" si="11"/>
        <v>0</v>
      </c>
      <c r="BB127" s="31">
        <f t="shared" si="12"/>
        <v>0</v>
      </c>
      <c r="BC127" s="31">
        <f t="shared" si="14"/>
        <v>0</v>
      </c>
    </row>
    <row r="128" spans="1:55" ht="28.5" customHeight="1">
      <c r="A128" s="32"/>
      <c r="B128" s="32"/>
      <c r="C128" s="32"/>
      <c r="D128" s="40"/>
      <c r="E128" s="39" t="s">
        <v>137</v>
      </c>
      <c r="F128" s="39" t="s">
        <v>138</v>
      </c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  <c r="AB128" s="29"/>
      <c r="AC128" s="29"/>
      <c r="AD128" s="29"/>
      <c r="AE128" s="29"/>
      <c r="AJ128"/>
      <c r="AK128"/>
      <c r="AL128"/>
      <c r="AM128"/>
      <c r="AN128"/>
      <c r="AO128"/>
      <c r="AP128"/>
      <c r="AQ128"/>
      <c r="AR128"/>
      <c r="AS128"/>
      <c r="AT128" s="4" t="str">
        <f t="shared" si="13"/>
        <v>日常费用低值易耗品支出</v>
      </c>
      <c r="AU128" s="4" t="str">
        <f t="shared" si="8"/>
        <v>办公室</v>
      </c>
      <c r="AV128" s="4" t="str">
        <f t="shared" si="9"/>
        <v>日常费用</v>
      </c>
      <c r="AW128" s="4" t="str">
        <f>IFERROR(VLOOKUP(AV128,[1]字段!A:B,2,0),"")</f>
        <v>日常费用</v>
      </c>
      <c r="AX128" s="30" t="str">
        <f>IF(AW128="人力费用",IF(E128="","",VLOOKUP(E128,[1]字段!D:E,2,0)),AW128)</f>
        <v>日常费用</v>
      </c>
      <c r="AY128" s="30" t="str">
        <f>IF(AT128="","",VLOOKUP(AT128,[1]字段!H:I,2,0))</f>
        <v>日常费用-其他</v>
      </c>
      <c r="AZ128" s="31">
        <f t="shared" si="10"/>
        <v>0</v>
      </c>
      <c r="BA128" s="31">
        <f t="shared" si="11"/>
        <v>0</v>
      </c>
      <c r="BB128" s="31">
        <f t="shared" si="12"/>
        <v>0</v>
      </c>
      <c r="BC128" s="31">
        <f t="shared" si="14"/>
        <v>0</v>
      </c>
    </row>
    <row r="129" spans="1:55" ht="28.5" customHeight="1">
      <c r="A129" s="32"/>
      <c r="B129" s="32"/>
      <c r="C129" s="32"/>
      <c r="D129" s="40"/>
      <c r="E129" s="39" t="s">
        <v>95</v>
      </c>
      <c r="F129" s="39" t="s">
        <v>96</v>
      </c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  <c r="AC129" s="29"/>
      <c r="AD129" s="29"/>
      <c r="AE129" s="29"/>
      <c r="AJ129"/>
      <c r="AK129"/>
      <c r="AL129"/>
      <c r="AM129"/>
      <c r="AN129"/>
      <c r="AO129"/>
      <c r="AP129"/>
      <c r="AQ129"/>
      <c r="AR129"/>
      <c r="AS129"/>
      <c r="AT129" s="4" t="str">
        <f t="shared" si="13"/>
        <v>日常费用业务招待费</v>
      </c>
      <c r="AU129" s="4" t="str">
        <f t="shared" si="8"/>
        <v>办公室</v>
      </c>
      <c r="AV129" s="4" t="str">
        <f t="shared" si="9"/>
        <v>日常费用</v>
      </c>
      <c r="AW129" s="4" t="str">
        <f>IFERROR(VLOOKUP(AV129,[1]字段!A:B,2,0),"")</f>
        <v>日常费用</v>
      </c>
      <c r="AX129" s="30" t="str">
        <f>IF(AW129="人力费用",IF(E129="","",VLOOKUP(E129,[1]字段!D:E,2,0)),AW129)</f>
        <v>日常费用</v>
      </c>
      <c r="AY129" s="30" t="str">
        <f>IF(AT129="","",VLOOKUP(AT129,[1]字段!H:I,2,0))</f>
        <v>日常费用-其他</v>
      </c>
      <c r="AZ129" s="31">
        <f t="shared" si="10"/>
        <v>0</v>
      </c>
      <c r="BA129" s="31">
        <f t="shared" si="11"/>
        <v>0</v>
      </c>
      <c r="BB129" s="31">
        <f t="shared" si="12"/>
        <v>0</v>
      </c>
      <c r="BC129" s="31">
        <f t="shared" si="14"/>
        <v>0</v>
      </c>
    </row>
    <row r="130" spans="1:55" ht="28.5" customHeight="1">
      <c r="A130" s="32"/>
      <c r="B130" s="32"/>
      <c r="C130" s="32"/>
      <c r="D130" s="40"/>
      <c r="E130" s="39" t="s">
        <v>139</v>
      </c>
      <c r="F130" s="39" t="s">
        <v>140</v>
      </c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J130"/>
      <c r="AK130"/>
      <c r="AL130"/>
      <c r="AM130"/>
      <c r="AN130"/>
      <c r="AO130"/>
      <c r="AP130"/>
      <c r="AQ130"/>
      <c r="AR130"/>
      <c r="AS130"/>
      <c r="AT130" s="4" t="str">
        <f t="shared" si="13"/>
        <v>日常费用差旅费</v>
      </c>
      <c r="AU130" s="4" t="str">
        <f t="shared" si="8"/>
        <v>办公室</v>
      </c>
      <c r="AV130" s="4" t="str">
        <f t="shared" si="9"/>
        <v>日常费用</v>
      </c>
      <c r="AW130" s="4" t="str">
        <f>IFERROR(VLOOKUP(AV130,[1]字段!A:B,2,0),"")</f>
        <v>日常费用</v>
      </c>
      <c r="AX130" s="30" t="str">
        <f>IF(AW130="人力费用",IF(E130="","",VLOOKUP(E130,[1]字段!D:E,2,0)),AW130)</f>
        <v>日常费用</v>
      </c>
      <c r="AY130" s="30" t="str">
        <f>IF(AT130="","",VLOOKUP(AT130,[1]字段!H:I,2,0))</f>
        <v>日常费用-其他</v>
      </c>
      <c r="AZ130" s="31">
        <f t="shared" si="10"/>
        <v>0</v>
      </c>
      <c r="BA130" s="31">
        <f t="shared" si="11"/>
        <v>0</v>
      </c>
      <c r="BB130" s="31">
        <f t="shared" si="12"/>
        <v>0</v>
      </c>
      <c r="BC130" s="31">
        <f t="shared" si="14"/>
        <v>0</v>
      </c>
    </row>
    <row r="131" spans="1:55" ht="28.5" customHeight="1">
      <c r="A131" s="32"/>
      <c r="B131" s="32"/>
      <c r="C131" s="32"/>
      <c r="D131" s="40"/>
      <c r="E131" s="39" t="s">
        <v>104</v>
      </c>
      <c r="F131" s="39" t="s">
        <v>105</v>
      </c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J131"/>
      <c r="AK131"/>
      <c r="AL131"/>
      <c r="AM131"/>
      <c r="AN131"/>
      <c r="AO131"/>
      <c r="AP131"/>
      <c r="AQ131"/>
      <c r="AR131"/>
      <c r="AS131"/>
      <c r="AT131" s="4" t="str">
        <f t="shared" si="13"/>
        <v>日常费用会议费</v>
      </c>
      <c r="AU131" s="4" t="str">
        <f t="shared" si="8"/>
        <v>办公室</v>
      </c>
      <c r="AV131" s="4" t="str">
        <f t="shared" si="9"/>
        <v>日常费用</v>
      </c>
      <c r="AW131" s="4" t="str">
        <f>IFERROR(VLOOKUP(AV131,[1]字段!A:B,2,0),"")</f>
        <v>日常费用</v>
      </c>
      <c r="AX131" s="30" t="str">
        <f>IF(AW131="人力费用",IF(E131="","",VLOOKUP(E131,[1]字段!D:E,2,0)),AW131)</f>
        <v>日常费用</v>
      </c>
      <c r="AY131" s="30" t="str">
        <f>IF(AT131="","",VLOOKUP(AT131,[1]字段!H:I,2,0))</f>
        <v>日常费用-其他</v>
      </c>
      <c r="AZ131" s="31">
        <f t="shared" si="10"/>
        <v>0</v>
      </c>
      <c r="BA131" s="31">
        <f t="shared" si="11"/>
        <v>0</v>
      </c>
      <c r="BB131" s="31">
        <f t="shared" si="12"/>
        <v>0</v>
      </c>
      <c r="BC131" s="31">
        <f t="shared" si="14"/>
        <v>0</v>
      </c>
    </row>
    <row r="132" spans="1:55" ht="28.5" customHeight="1">
      <c r="A132" s="41"/>
      <c r="B132" s="41"/>
      <c r="C132" s="41"/>
      <c r="D132" s="42"/>
      <c r="E132" s="39" t="s">
        <v>145</v>
      </c>
      <c r="F132" s="39" t="s">
        <v>146</v>
      </c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  <c r="AD132" s="29"/>
      <c r="AE132" s="29"/>
      <c r="AJ132"/>
      <c r="AK132"/>
      <c r="AL132"/>
      <c r="AM132"/>
      <c r="AN132"/>
      <c r="AO132"/>
      <c r="AP132"/>
      <c r="AQ132"/>
      <c r="AR132"/>
      <c r="AS132"/>
      <c r="AT132" s="4" t="str">
        <f t="shared" si="13"/>
        <v>日常费用其他费用</v>
      </c>
      <c r="AU132" s="4" t="str">
        <f t="shared" si="8"/>
        <v>办公室</v>
      </c>
      <c r="AV132" s="4" t="str">
        <f t="shared" si="9"/>
        <v>日常费用</v>
      </c>
      <c r="AW132" s="4" t="str">
        <f>IFERROR(VLOOKUP(AV132,[1]字段!A:B,2,0),"")</f>
        <v>日常费用</v>
      </c>
      <c r="AX132" s="30" t="str">
        <f>IF(AW132="人力费用",IF(E132="","",VLOOKUP(E132,[1]字段!D:E,2,0)),AW132)</f>
        <v>日常费用</v>
      </c>
      <c r="AY132" s="30" t="str">
        <f>IF(AT132="","",VLOOKUP(AT132,[1]字段!H:I,2,0))</f>
        <v>日常费用-其他</v>
      </c>
      <c r="AZ132" s="31">
        <f t="shared" si="10"/>
        <v>0</v>
      </c>
      <c r="BA132" s="31">
        <f t="shared" si="11"/>
        <v>0</v>
      </c>
      <c r="BB132" s="31">
        <f t="shared" si="12"/>
        <v>0</v>
      </c>
      <c r="BC132" s="31">
        <f t="shared" si="14"/>
        <v>0</v>
      </c>
    </row>
    <row r="133" spans="1:55" ht="28.5" customHeight="1">
      <c r="A133" s="25"/>
      <c r="B133" s="26" t="s">
        <v>147</v>
      </c>
      <c r="C133" s="27"/>
      <c r="D133" s="27"/>
      <c r="E133" s="27"/>
      <c r="F133" s="28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  <c r="AB133" s="29"/>
      <c r="AC133" s="29"/>
      <c r="AD133" s="29"/>
      <c r="AE133" s="29"/>
      <c r="AJ133"/>
      <c r="AK133"/>
      <c r="AL133"/>
      <c r="AM133"/>
      <c r="AN133"/>
      <c r="AO133"/>
      <c r="AP133"/>
      <c r="AQ133"/>
      <c r="AR133"/>
      <c r="AS133"/>
      <c r="AT133" s="4" t="str">
        <f t="shared" si="13"/>
        <v/>
      </c>
      <c r="AU133" s="4" t="str">
        <f t="shared" ref="AU133:AU196" si="15">IF(B133="",AU132,B133)</f>
        <v>法律合规部</v>
      </c>
      <c r="AV133" s="4" t="str">
        <f t="shared" ref="AV133:AV196" si="16">IF(B133&lt;&gt;"","",IF(D133="",AV132,D133))</f>
        <v/>
      </c>
      <c r="AW133" s="4" t="str">
        <f>IFERROR(VLOOKUP(AV133,[1]字段!A:B,2,0),"")</f>
        <v/>
      </c>
      <c r="AX133" s="30" t="str">
        <f>IF(AW133="人力费用",IF(E133="","",VLOOKUP(E133,[1]字段!D:E,2,0)),AW133)</f>
        <v/>
      </c>
      <c r="AY133" s="30" t="str">
        <f>IF(AT133="","",VLOOKUP(AT133,[1]字段!H:I,2,0))</f>
        <v/>
      </c>
      <c r="AZ133" s="31">
        <f t="shared" ref="AZ133:AZ196" si="17">IF($E133="",0,SUMIF($G$1:$AB$1,AZ$4,$G133:$AB133))</f>
        <v>0</v>
      </c>
      <c r="BA133" s="31">
        <f t="shared" ref="BA133:BA196" si="18">IF($E133="",0,SUMIF($G$1:$AE$1,BA$4,$G133:$AE133))</f>
        <v>0</v>
      </c>
      <c r="BB133" s="31">
        <f t="shared" ref="BB133:BB196" si="19">AZ133+BA133</f>
        <v>0</v>
      </c>
      <c r="BC133" s="31">
        <f t="shared" si="14"/>
        <v>0</v>
      </c>
    </row>
    <row r="134" spans="1:55" ht="28.5" customHeight="1">
      <c r="A134" s="32"/>
      <c r="B134" s="32"/>
      <c r="C134" s="33" t="s">
        <v>39</v>
      </c>
      <c r="D134" s="34" t="s">
        <v>40</v>
      </c>
      <c r="E134" s="35"/>
      <c r="F134" s="36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  <c r="AC134" s="29"/>
      <c r="AD134" s="29"/>
      <c r="AE134" s="29"/>
      <c r="AJ134"/>
      <c r="AK134"/>
      <c r="AL134"/>
      <c r="AM134"/>
      <c r="AN134"/>
      <c r="AO134"/>
      <c r="AP134"/>
      <c r="AQ134"/>
      <c r="AR134"/>
      <c r="AS134"/>
      <c r="AT134" s="4" t="str">
        <f t="shared" ref="AT134:AT197" si="20">AX134&amp;F134</f>
        <v/>
      </c>
      <c r="AU134" s="4" t="str">
        <f t="shared" si="15"/>
        <v>法律合规部</v>
      </c>
      <c r="AV134" s="4" t="str">
        <f t="shared" si="16"/>
        <v>人力费用</v>
      </c>
      <c r="AW134" s="4" t="str">
        <f>IFERROR(VLOOKUP(AV134,[1]字段!A:B,2,0),"")</f>
        <v>人力费用</v>
      </c>
      <c r="AX134" s="30" t="str">
        <f>IF(AW134="人力费用",IF(E134="","",VLOOKUP(E134,[1]字段!D:E,2,0)),AW134)</f>
        <v/>
      </c>
      <c r="AY134" s="30" t="str">
        <f>IF(AT134="","",VLOOKUP(AT134,[1]字段!H:I,2,0))</f>
        <v/>
      </c>
      <c r="AZ134" s="31">
        <f t="shared" si="17"/>
        <v>0</v>
      </c>
      <c r="BA134" s="31">
        <f t="shared" si="18"/>
        <v>0</v>
      </c>
      <c r="BB134" s="31">
        <f t="shared" si="19"/>
        <v>0</v>
      </c>
      <c r="BC134" s="31">
        <f t="shared" ref="BC134:BC197" si="21">IF(E134="",0,SUM(G134:AE134)-AZ134-BA134)</f>
        <v>0</v>
      </c>
    </row>
    <row r="135" spans="1:55" ht="28.5" customHeight="1">
      <c r="A135" s="32"/>
      <c r="B135" s="32"/>
      <c r="C135" s="37"/>
      <c r="D135" s="38"/>
      <c r="E135" s="39" t="s">
        <v>41</v>
      </c>
      <c r="F135" s="39" t="s">
        <v>42</v>
      </c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  <c r="AC135" s="29"/>
      <c r="AD135" s="29"/>
      <c r="AE135" s="29"/>
      <c r="AJ135"/>
      <c r="AK135"/>
      <c r="AL135"/>
      <c r="AM135"/>
      <c r="AN135"/>
      <c r="AO135"/>
      <c r="AP135"/>
      <c r="AQ135"/>
      <c r="AR135"/>
      <c r="AS135"/>
      <c r="AT135" s="4" t="str">
        <f t="shared" si="20"/>
        <v>1.0倍人力基础工资</v>
      </c>
      <c r="AU135" s="4" t="str">
        <f t="shared" si="15"/>
        <v>法律合规部</v>
      </c>
      <c r="AV135" s="4" t="str">
        <f t="shared" si="16"/>
        <v>人力费用</v>
      </c>
      <c r="AW135" s="4" t="str">
        <f>IFERROR(VLOOKUP(AV135,[1]字段!A:B,2,0),"")</f>
        <v>人力费用</v>
      </c>
      <c r="AX135" s="30" t="str">
        <f>IF(AW135="人力费用",IF(E135="","",VLOOKUP(E135,[1]字段!D:E,2,0)),AW135)</f>
        <v>1.0倍人力</v>
      </c>
      <c r="AY135" s="30" t="str">
        <f>IF(AT135="","",VLOOKUP(AT135,[1]字段!H:I,2,0))</f>
        <v>1.0倍人力</v>
      </c>
      <c r="AZ135" s="31">
        <f t="shared" si="17"/>
        <v>0</v>
      </c>
      <c r="BA135" s="31">
        <f t="shared" si="18"/>
        <v>0</v>
      </c>
      <c r="BB135" s="31">
        <f t="shared" si="19"/>
        <v>0</v>
      </c>
      <c r="BC135" s="31">
        <f t="shared" si="21"/>
        <v>0</v>
      </c>
    </row>
    <row r="136" spans="1:55" ht="28.5" customHeight="1">
      <c r="A136" s="32"/>
      <c r="B136" s="32"/>
      <c r="C136" s="32"/>
      <c r="D136" s="40"/>
      <c r="E136" s="39">
        <v>5501010602</v>
      </c>
      <c r="F136" s="3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  <c r="AB136" s="29"/>
      <c r="AC136" s="29"/>
      <c r="AD136" s="29"/>
      <c r="AE136" s="29"/>
      <c r="AJ136"/>
      <c r="AK136"/>
      <c r="AL136"/>
      <c r="AM136"/>
      <c r="AN136"/>
      <c r="AO136"/>
      <c r="AP136"/>
      <c r="AQ136"/>
      <c r="AR136"/>
      <c r="AS136"/>
      <c r="AT136" s="4" t="str">
        <f t="shared" si="20"/>
        <v>利润分享</v>
      </c>
      <c r="AU136" s="4" t="str">
        <f t="shared" si="15"/>
        <v>法律合规部</v>
      </c>
      <c r="AV136" s="4" t="str">
        <f t="shared" si="16"/>
        <v>人力费用</v>
      </c>
      <c r="AW136" s="4" t="str">
        <f>IFERROR(VLOOKUP(AV136,[1]字段!A:B,2,0),"")</f>
        <v>人力费用</v>
      </c>
      <c r="AX136" s="30" t="str">
        <f>IF(AW136="人力费用",IF(E136="","",VLOOKUP(E136,[1]字段!D:E,2,0)),AW136)</f>
        <v>利润分享</v>
      </c>
      <c r="AY136" s="30" t="str">
        <f>IF(AT136="","",VLOOKUP(AT136,[1]字段!H:I,2,0))</f>
        <v>利润分享</v>
      </c>
      <c r="AZ136" s="31">
        <f t="shared" si="17"/>
        <v>0</v>
      </c>
      <c r="BA136" s="31">
        <f t="shared" si="18"/>
        <v>0</v>
      </c>
      <c r="BB136" s="31">
        <f t="shared" si="19"/>
        <v>0</v>
      </c>
      <c r="BC136" s="31">
        <f t="shared" si="21"/>
        <v>0</v>
      </c>
    </row>
    <row r="137" spans="1:55" ht="28.5" customHeight="1">
      <c r="A137" s="32"/>
      <c r="B137" s="32"/>
      <c r="C137" s="32"/>
      <c r="D137" s="40"/>
      <c r="E137" s="39">
        <v>5501010603</v>
      </c>
      <c r="F137" s="3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  <c r="AB137" s="29"/>
      <c r="AC137" s="29"/>
      <c r="AD137" s="29"/>
      <c r="AE137" s="29"/>
      <c r="AJ137"/>
      <c r="AK137"/>
      <c r="AL137"/>
      <c r="AM137"/>
      <c r="AN137"/>
      <c r="AO137"/>
      <c r="AP137"/>
      <c r="AQ137"/>
      <c r="AR137"/>
      <c r="AS137"/>
      <c r="AT137" s="4" t="str">
        <f t="shared" si="20"/>
        <v>留任奖励</v>
      </c>
      <c r="AU137" s="4" t="str">
        <f t="shared" si="15"/>
        <v>法律合规部</v>
      </c>
      <c r="AV137" s="4" t="str">
        <f t="shared" si="16"/>
        <v>人力费用</v>
      </c>
      <c r="AW137" s="4" t="str">
        <f>IFERROR(VLOOKUP(AV137,[1]字段!A:B,2,0),"")</f>
        <v>人力费用</v>
      </c>
      <c r="AX137" s="30" t="str">
        <f>IF(AW137="人力费用",IF(E137="","",VLOOKUP(E137,[1]字段!D:E,2,0)),AW137)</f>
        <v>留任奖励</v>
      </c>
      <c r="AY137" s="30" t="str">
        <f>IF(AT137="","",VLOOKUP(AT137,[1]字段!H:I,2,0))</f>
        <v>留任奖励</v>
      </c>
      <c r="AZ137" s="31">
        <f t="shared" si="17"/>
        <v>0</v>
      </c>
      <c r="BA137" s="31">
        <f t="shared" si="18"/>
        <v>0</v>
      </c>
      <c r="BB137" s="31">
        <f t="shared" si="19"/>
        <v>0</v>
      </c>
      <c r="BC137" s="31">
        <f t="shared" si="21"/>
        <v>0</v>
      </c>
    </row>
    <row r="138" spans="1:55" ht="28.5" customHeight="1">
      <c r="A138" s="32"/>
      <c r="B138" s="32"/>
      <c r="C138" s="32"/>
      <c r="D138" s="40"/>
      <c r="E138" s="39">
        <v>5501010604</v>
      </c>
      <c r="F138" s="3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  <c r="AE138" s="29"/>
      <c r="AJ138"/>
      <c r="AK138"/>
      <c r="AL138"/>
      <c r="AM138"/>
      <c r="AN138"/>
      <c r="AO138"/>
      <c r="AP138"/>
      <c r="AQ138"/>
      <c r="AR138"/>
      <c r="AS138"/>
      <c r="AT138" s="4" t="str">
        <f t="shared" si="20"/>
        <v>1.0倍人力</v>
      </c>
      <c r="AU138" s="4" t="str">
        <f t="shared" si="15"/>
        <v>法律合规部</v>
      </c>
      <c r="AV138" s="4" t="str">
        <f t="shared" si="16"/>
        <v>人力费用</v>
      </c>
      <c r="AW138" s="4" t="str">
        <f>IFERROR(VLOOKUP(AV138,[1]字段!A:B,2,0),"")</f>
        <v>人力费用</v>
      </c>
      <c r="AX138" s="30" t="str">
        <f>IF(AW138="人力费用",IF(E138="","",VLOOKUP(E138,[1]字段!D:E,2,0)),AW138)</f>
        <v>1.0倍人力</v>
      </c>
      <c r="AY138" s="30" t="str">
        <f>IF(AT138="","",VLOOKUP(AT138,[1]字段!H:I,2,0))</f>
        <v>1.0倍人力</v>
      </c>
      <c r="AZ138" s="31">
        <f t="shared" si="17"/>
        <v>0</v>
      </c>
      <c r="BA138" s="31">
        <f t="shared" si="18"/>
        <v>0</v>
      </c>
      <c r="BB138" s="31">
        <f t="shared" si="19"/>
        <v>0</v>
      </c>
      <c r="BC138" s="31">
        <f t="shared" si="21"/>
        <v>0</v>
      </c>
    </row>
    <row r="139" spans="1:55" ht="28.5" customHeight="1">
      <c r="A139" s="32"/>
      <c r="B139" s="32"/>
      <c r="C139" s="32"/>
      <c r="D139" s="40"/>
      <c r="E139" s="39" t="s">
        <v>43</v>
      </c>
      <c r="F139" s="39" t="s">
        <v>44</v>
      </c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  <c r="AB139" s="29"/>
      <c r="AC139" s="29"/>
      <c r="AD139" s="29"/>
      <c r="AE139" s="29"/>
      <c r="AJ139"/>
      <c r="AK139"/>
      <c r="AL139"/>
      <c r="AM139"/>
      <c r="AN139"/>
      <c r="AO139"/>
      <c r="AP139"/>
      <c r="AQ139"/>
      <c r="AR139"/>
      <c r="AS139"/>
      <c r="AT139" s="4" t="str">
        <f t="shared" si="20"/>
        <v>1.0倍人力团队建设费</v>
      </c>
      <c r="AU139" s="4" t="str">
        <f t="shared" si="15"/>
        <v>法律合规部</v>
      </c>
      <c r="AV139" s="4" t="str">
        <f t="shared" si="16"/>
        <v>人力费用</v>
      </c>
      <c r="AW139" s="4" t="str">
        <f>IFERROR(VLOOKUP(AV139,[1]字段!A:B,2,0),"")</f>
        <v>人力费用</v>
      </c>
      <c r="AX139" s="30" t="str">
        <f>IF(AW139="人力费用",IF(E139="","",VLOOKUP(E139,[1]字段!D:E,2,0)),AW139)</f>
        <v>1.0倍人力</v>
      </c>
      <c r="AY139" s="30" t="str">
        <f>IF(AT139="","",VLOOKUP(AT139,[1]字段!H:I,2,0))</f>
        <v>1.0倍人力</v>
      </c>
      <c r="AZ139" s="31">
        <f t="shared" si="17"/>
        <v>0</v>
      </c>
      <c r="BA139" s="31">
        <f t="shared" si="18"/>
        <v>0</v>
      </c>
      <c r="BB139" s="31">
        <f t="shared" si="19"/>
        <v>0</v>
      </c>
      <c r="BC139" s="31">
        <f t="shared" si="21"/>
        <v>0</v>
      </c>
    </row>
    <row r="140" spans="1:55" ht="28.5" customHeight="1">
      <c r="A140" s="32"/>
      <c r="B140" s="32"/>
      <c r="C140" s="32"/>
      <c r="D140" s="40"/>
      <c r="E140" s="39" t="s">
        <v>45</v>
      </c>
      <c r="F140" s="39" t="s">
        <v>46</v>
      </c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  <c r="AC140" s="29"/>
      <c r="AD140" s="29"/>
      <c r="AE140" s="29"/>
      <c r="AJ140"/>
      <c r="AK140"/>
      <c r="AL140"/>
      <c r="AM140"/>
      <c r="AN140"/>
      <c r="AO140"/>
      <c r="AP140"/>
      <c r="AQ140"/>
      <c r="AR140"/>
      <c r="AS140"/>
      <c r="AT140" s="4" t="str">
        <f t="shared" si="20"/>
        <v>1.0倍人力其他职工福利费</v>
      </c>
      <c r="AU140" s="4" t="str">
        <f t="shared" si="15"/>
        <v>法律合规部</v>
      </c>
      <c r="AV140" s="4" t="str">
        <f t="shared" si="16"/>
        <v>人力费用</v>
      </c>
      <c r="AW140" s="4" t="str">
        <f>IFERROR(VLOOKUP(AV140,[1]字段!A:B,2,0),"")</f>
        <v>人力费用</v>
      </c>
      <c r="AX140" s="30" t="str">
        <f>IF(AW140="人力费用",IF(E140="","",VLOOKUP(E140,[1]字段!D:E,2,0)),AW140)</f>
        <v>1.0倍人力</v>
      </c>
      <c r="AY140" s="30" t="str">
        <f>IF(AT140="","",VLOOKUP(AT140,[1]字段!H:I,2,0))</f>
        <v>1.0倍人力</v>
      </c>
      <c r="AZ140" s="31">
        <f t="shared" si="17"/>
        <v>0</v>
      </c>
      <c r="BA140" s="31">
        <f t="shared" si="18"/>
        <v>0</v>
      </c>
      <c r="BB140" s="31">
        <f t="shared" si="19"/>
        <v>0</v>
      </c>
      <c r="BC140" s="31">
        <f t="shared" si="21"/>
        <v>0</v>
      </c>
    </row>
    <row r="141" spans="1:55" ht="28.5" customHeight="1">
      <c r="A141" s="32"/>
      <c r="B141" s="32"/>
      <c r="C141" s="32"/>
      <c r="D141" s="40"/>
      <c r="E141" s="39" t="s">
        <v>47</v>
      </c>
      <c r="F141" s="39" t="s">
        <v>48</v>
      </c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  <c r="AC141" s="29"/>
      <c r="AD141" s="29"/>
      <c r="AE141" s="29"/>
      <c r="AJ141"/>
      <c r="AK141"/>
      <c r="AL141"/>
      <c r="AM141"/>
      <c r="AN141"/>
      <c r="AO141"/>
      <c r="AP141"/>
      <c r="AQ141"/>
      <c r="AR141"/>
      <c r="AS141"/>
      <c r="AT141" s="4" t="str">
        <f t="shared" si="20"/>
        <v>1.0倍人力工会经费</v>
      </c>
      <c r="AU141" s="4" t="str">
        <f t="shared" si="15"/>
        <v>法律合规部</v>
      </c>
      <c r="AV141" s="4" t="str">
        <f t="shared" si="16"/>
        <v>人力费用</v>
      </c>
      <c r="AW141" s="4" t="str">
        <f>IFERROR(VLOOKUP(AV141,[1]字段!A:B,2,0),"")</f>
        <v>人力费用</v>
      </c>
      <c r="AX141" s="30" t="str">
        <f>IF(AW141="人力费用",IF(E141="","",VLOOKUP(E141,[1]字段!D:E,2,0)),AW141)</f>
        <v>1.0倍人力</v>
      </c>
      <c r="AY141" s="30" t="str">
        <f>IF(AT141="","",VLOOKUP(AT141,[1]字段!H:I,2,0))</f>
        <v>1.0倍人力</v>
      </c>
      <c r="AZ141" s="31">
        <f t="shared" si="17"/>
        <v>0</v>
      </c>
      <c r="BA141" s="31">
        <f t="shared" si="18"/>
        <v>0</v>
      </c>
      <c r="BB141" s="31">
        <f t="shared" si="19"/>
        <v>0</v>
      </c>
      <c r="BC141" s="31">
        <f t="shared" si="21"/>
        <v>0</v>
      </c>
    </row>
    <row r="142" spans="1:55" ht="28.5" customHeight="1">
      <c r="A142" s="32"/>
      <c r="B142" s="32"/>
      <c r="C142" s="32"/>
      <c r="D142" s="40"/>
      <c r="E142" s="39" t="s">
        <v>49</v>
      </c>
      <c r="F142" s="39" t="s">
        <v>50</v>
      </c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  <c r="AC142" s="29"/>
      <c r="AD142" s="29"/>
      <c r="AE142" s="29"/>
      <c r="AJ142"/>
      <c r="AK142"/>
      <c r="AL142"/>
      <c r="AM142"/>
      <c r="AN142"/>
      <c r="AO142"/>
      <c r="AP142"/>
      <c r="AQ142"/>
      <c r="AR142"/>
      <c r="AS142"/>
      <c r="AT142" s="4" t="str">
        <f t="shared" si="20"/>
        <v>1.0倍人力基本养老保险</v>
      </c>
      <c r="AU142" s="4" t="str">
        <f t="shared" si="15"/>
        <v>法律合规部</v>
      </c>
      <c r="AV142" s="4" t="str">
        <f t="shared" si="16"/>
        <v>人力费用</v>
      </c>
      <c r="AW142" s="4" t="str">
        <f>IFERROR(VLOOKUP(AV142,[1]字段!A:B,2,0),"")</f>
        <v>人力费用</v>
      </c>
      <c r="AX142" s="30" t="str">
        <f>IF(AW142="人力费用",IF(E142="","",VLOOKUP(E142,[1]字段!D:E,2,0)),AW142)</f>
        <v>1.0倍人力</v>
      </c>
      <c r="AY142" s="30" t="str">
        <f>IF(AT142="","",VLOOKUP(AT142,[1]字段!H:I,2,0))</f>
        <v>1.0倍人力</v>
      </c>
      <c r="AZ142" s="31">
        <f t="shared" si="17"/>
        <v>0</v>
      </c>
      <c r="BA142" s="31">
        <f t="shared" si="18"/>
        <v>0</v>
      </c>
      <c r="BB142" s="31">
        <f t="shared" si="19"/>
        <v>0</v>
      </c>
      <c r="BC142" s="31">
        <f t="shared" si="21"/>
        <v>0</v>
      </c>
    </row>
    <row r="143" spans="1:55" ht="28.5" customHeight="1">
      <c r="A143" s="32"/>
      <c r="B143" s="32"/>
      <c r="C143" s="32"/>
      <c r="D143" s="40"/>
      <c r="E143" s="39" t="s">
        <v>51</v>
      </c>
      <c r="F143" s="39" t="s">
        <v>52</v>
      </c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  <c r="AB143" s="29"/>
      <c r="AC143" s="29"/>
      <c r="AD143" s="29"/>
      <c r="AE143" s="29"/>
      <c r="AJ143"/>
      <c r="AK143"/>
      <c r="AL143"/>
      <c r="AM143"/>
      <c r="AN143"/>
      <c r="AO143"/>
      <c r="AP143"/>
      <c r="AQ143"/>
      <c r="AR143"/>
      <c r="AS143"/>
      <c r="AT143" s="4" t="str">
        <f t="shared" si="20"/>
        <v>1.0倍人力基本医疗保险</v>
      </c>
      <c r="AU143" s="4" t="str">
        <f t="shared" si="15"/>
        <v>法律合规部</v>
      </c>
      <c r="AV143" s="4" t="str">
        <f t="shared" si="16"/>
        <v>人力费用</v>
      </c>
      <c r="AW143" s="4" t="str">
        <f>IFERROR(VLOOKUP(AV143,[1]字段!A:B,2,0),"")</f>
        <v>人力费用</v>
      </c>
      <c r="AX143" s="30" t="str">
        <f>IF(AW143="人力费用",IF(E143="","",VLOOKUP(E143,[1]字段!D:E,2,0)),AW143)</f>
        <v>1.0倍人力</v>
      </c>
      <c r="AY143" s="30" t="str">
        <f>IF(AT143="","",VLOOKUP(AT143,[1]字段!H:I,2,0))</f>
        <v>1.0倍人力</v>
      </c>
      <c r="AZ143" s="31">
        <f t="shared" si="17"/>
        <v>0</v>
      </c>
      <c r="BA143" s="31">
        <f t="shared" si="18"/>
        <v>0</v>
      </c>
      <c r="BB143" s="31">
        <f t="shared" si="19"/>
        <v>0</v>
      </c>
      <c r="BC143" s="31">
        <f t="shared" si="21"/>
        <v>0</v>
      </c>
    </row>
    <row r="144" spans="1:55" ht="28.5" customHeight="1">
      <c r="A144" s="32"/>
      <c r="B144" s="32"/>
      <c r="C144" s="32"/>
      <c r="D144" s="40"/>
      <c r="E144" s="39" t="s">
        <v>53</v>
      </c>
      <c r="F144" s="39" t="s">
        <v>54</v>
      </c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  <c r="AC144" s="29"/>
      <c r="AD144" s="29"/>
      <c r="AE144" s="29"/>
      <c r="AJ144"/>
      <c r="AK144"/>
      <c r="AL144"/>
      <c r="AM144"/>
      <c r="AN144"/>
      <c r="AO144"/>
      <c r="AP144"/>
      <c r="AQ144"/>
      <c r="AR144"/>
      <c r="AS144"/>
      <c r="AT144" s="4" t="str">
        <f t="shared" si="20"/>
        <v>1.0倍人力工伤保险</v>
      </c>
      <c r="AU144" s="4" t="str">
        <f t="shared" si="15"/>
        <v>法律合规部</v>
      </c>
      <c r="AV144" s="4" t="str">
        <f t="shared" si="16"/>
        <v>人力费用</v>
      </c>
      <c r="AW144" s="4" t="str">
        <f>IFERROR(VLOOKUP(AV144,[1]字段!A:B,2,0),"")</f>
        <v>人力费用</v>
      </c>
      <c r="AX144" s="30" t="str">
        <f>IF(AW144="人力费用",IF(E144="","",VLOOKUP(E144,[1]字段!D:E,2,0)),AW144)</f>
        <v>1.0倍人力</v>
      </c>
      <c r="AY144" s="30" t="str">
        <f>IF(AT144="","",VLOOKUP(AT144,[1]字段!H:I,2,0))</f>
        <v>1.0倍人力</v>
      </c>
      <c r="AZ144" s="31">
        <f t="shared" si="17"/>
        <v>0</v>
      </c>
      <c r="BA144" s="31">
        <f t="shared" si="18"/>
        <v>0</v>
      </c>
      <c r="BB144" s="31">
        <f t="shared" si="19"/>
        <v>0</v>
      </c>
      <c r="BC144" s="31">
        <f t="shared" si="21"/>
        <v>0</v>
      </c>
    </row>
    <row r="145" spans="1:55" ht="28.5" customHeight="1">
      <c r="A145" s="32"/>
      <c r="B145" s="32"/>
      <c r="C145" s="32"/>
      <c r="D145" s="40"/>
      <c r="E145" s="39" t="s">
        <v>55</v>
      </c>
      <c r="F145" s="39" t="s">
        <v>56</v>
      </c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  <c r="AB145" s="29"/>
      <c r="AC145" s="29"/>
      <c r="AD145" s="29"/>
      <c r="AE145" s="29"/>
      <c r="AJ145"/>
      <c r="AK145"/>
      <c r="AL145"/>
      <c r="AM145"/>
      <c r="AN145"/>
      <c r="AO145"/>
      <c r="AP145"/>
      <c r="AQ145"/>
      <c r="AR145"/>
      <c r="AS145"/>
      <c r="AT145" s="4" t="str">
        <f t="shared" si="20"/>
        <v>1.0倍人力生育保险</v>
      </c>
      <c r="AU145" s="4" t="str">
        <f t="shared" si="15"/>
        <v>法律合规部</v>
      </c>
      <c r="AV145" s="4" t="str">
        <f t="shared" si="16"/>
        <v>人力费用</v>
      </c>
      <c r="AW145" s="4" t="str">
        <f>IFERROR(VLOOKUP(AV145,[1]字段!A:B,2,0),"")</f>
        <v>人力费用</v>
      </c>
      <c r="AX145" s="30" t="str">
        <f>IF(AW145="人力费用",IF(E145="","",VLOOKUP(E145,[1]字段!D:E,2,0)),AW145)</f>
        <v>1.0倍人力</v>
      </c>
      <c r="AY145" s="30" t="str">
        <f>IF(AT145="","",VLOOKUP(AT145,[1]字段!H:I,2,0))</f>
        <v>1.0倍人力</v>
      </c>
      <c r="AZ145" s="31">
        <f t="shared" si="17"/>
        <v>0</v>
      </c>
      <c r="BA145" s="31">
        <f t="shared" si="18"/>
        <v>0</v>
      </c>
      <c r="BB145" s="31">
        <f t="shared" si="19"/>
        <v>0</v>
      </c>
      <c r="BC145" s="31">
        <f t="shared" si="21"/>
        <v>0</v>
      </c>
    </row>
    <row r="146" spans="1:55" ht="28.5" customHeight="1">
      <c r="A146" s="32"/>
      <c r="B146" s="32"/>
      <c r="C146" s="32"/>
      <c r="D146" s="40"/>
      <c r="E146" s="39" t="s">
        <v>57</v>
      </c>
      <c r="F146" s="39" t="s">
        <v>58</v>
      </c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  <c r="AC146" s="29"/>
      <c r="AD146" s="29"/>
      <c r="AE146" s="29"/>
      <c r="AJ146"/>
      <c r="AK146"/>
      <c r="AL146"/>
      <c r="AM146"/>
      <c r="AN146"/>
      <c r="AO146"/>
      <c r="AP146"/>
      <c r="AQ146"/>
      <c r="AR146"/>
      <c r="AS146"/>
      <c r="AT146" s="4" t="str">
        <f t="shared" si="20"/>
        <v>1.0倍人力失业保险</v>
      </c>
      <c r="AU146" s="4" t="str">
        <f t="shared" si="15"/>
        <v>法律合规部</v>
      </c>
      <c r="AV146" s="4" t="str">
        <f t="shared" si="16"/>
        <v>人力费用</v>
      </c>
      <c r="AW146" s="4" t="str">
        <f>IFERROR(VLOOKUP(AV146,[1]字段!A:B,2,0),"")</f>
        <v>人力费用</v>
      </c>
      <c r="AX146" s="30" t="str">
        <f>IF(AW146="人力费用",IF(E146="","",VLOOKUP(E146,[1]字段!D:E,2,0)),AW146)</f>
        <v>1.0倍人力</v>
      </c>
      <c r="AY146" s="30" t="str">
        <f>IF(AT146="","",VLOOKUP(AT146,[1]字段!H:I,2,0))</f>
        <v>1.0倍人力</v>
      </c>
      <c r="AZ146" s="31">
        <f t="shared" si="17"/>
        <v>0</v>
      </c>
      <c r="BA146" s="31">
        <f t="shared" si="18"/>
        <v>0</v>
      </c>
      <c r="BB146" s="31">
        <f t="shared" si="19"/>
        <v>0</v>
      </c>
      <c r="BC146" s="31">
        <f t="shared" si="21"/>
        <v>0</v>
      </c>
    </row>
    <row r="147" spans="1:55" ht="28.5" customHeight="1">
      <c r="A147" s="32"/>
      <c r="B147" s="32"/>
      <c r="C147" s="41"/>
      <c r="D147" s="42"/>
      <c r="E147" s="39" t="s">
        <v>59</v>
      </c>
      <c r="F147" s="39" t="s">
        <v>60</v>
      </c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  <c r="AB147" s="29"/>
      <c r="AC147" s="29"/>
      <c r="AD147" s="29"/>
      <c r="AE147" s="29"/>
      <c r="AJ147"/>
      <c r="AK147"/>
      <c r="AL147"/>
      <c r="AM147"/>
      <c r="AN147"/>
      <c r="AO147"/>
      <c r="AP147"/>
      <c r="AQ147"/>
      <c r="AR147"/>
      <c r="AS147"/>
      <c r="AT147" s="4" t="str">
        <f t="shared" si="20"/>
        <v>1.0倍人力住房公积金</v>
      </c>
      <c r="AU147" s="4" t="str">
        <f t="shared" si="15"/>
        <v>法律合规部</v>
      </c>
      <c r="AV147" s="4" t="str">
        <f t="shared" si="16"/>
        <v>人力费用</v>
      </c>
      <c r="AW147" s="4" t="str">
        <f>IFERROR(VLOOKUP(AV147,[1]字段!A:B,2,0),"")</f>
        <v>人力费用</v>
      </c>
      <c r="AX147" s="30" t="str">
        <f>IF(AW147="人力费用",IF(E147="","",VLOOKUP(E147,[1]字段!D:E,2,0)),AW147)</f>
        <v>1.0倍人力</v>
      </c>
      <c r="AY147" s="30" t="str">
        <f>IF(AT147="","",VLOOKUP(AT147,[1]字段!H:I,2,0))</f>
        <v>1.0倍人力</v>
      </c>
      <c r="AZ147" s="31">
        <f t="shared" si="17"/>
        <v>0</v>
      </c>
      <c r="BA147" s="31">
        <f t="shared" si="18"/>
        <v>0</v>
      </c>
      <c r="BB147" s="31">
        <f t="shared" si="19"/>
        <v>0</v>
      </c>
      <c r="BC147" s="31">
        <f t="shared" si="21"/>
        <v>0</v>
      </c>
    </row>
    <row r="148" spans="1:55" ht="28.5" customHeight="1">
      <c r="C148" s="33" t="s">
        <v>65</v>
      </c>
      <c r="D148" s="34" t="s">
        <v>66</v>
      </c>
      <c r="E148" s="35"/>
      <c r="F148" s="36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  <c r="AB148" s="29"/>
      <c r="AC148" s="29"/>
      <c r="AD148" s="29"/>
      <c r="AE148" s="29"/>
      <c r="AJ148"/>
      <c r="AK148"/>
      <c r="AL148"/>
      <c r="AM148"/>
      <c r="AN148"/>
      <c r="AO148"/>
      <c r="AP148"/>
      <c r="AQ148"/>
      <c r="AR148"/>
      <c r="AS148"/>
      <c r="AT148" s="4" t="str">
        <f t="shared" si="20"/>
        <v>IT费用</v>
      </c>
      <c r="AU148" s="4" t="str">
        <f t="shared" si="15"/>
        <v>法律合规部</v>
      </c>
      <c r="AV148" s="4" t="str">
        <f t="shared" si="16"/>
        <v>IT科技费用</v>
      </c>
      <c r="AW148" s="4" t="str">
        <f>IFERROR(VLOOKUP(AV148,[1]字段!A:B,2,0),"")</f>
        <v>IT费用</v>
      </c>
      <c r="AX148" s="30" t="str">
        <f>IF(AW148="人力费用",IF(E148="","",VLOOKUP(E148,[1]字段!D:E,2,0)),AW148)</f>
        <v>IT费用</v>
      </c>
      <c r="AY148" s="30">
        <f>IF(AT148="","",VLOOKUP(AT148,[1]字段!H:I,2,0))</f>
        <v>0</v>
      </c>
      <c r="AZ148" s="31">
        <f t="shared" si="17"/>
        <v>0</v>
      </c>
      <c r="BA148" s="31">
        <f t="shared" si="18"/>
        <v>0</v>
      </c>
      <c r="BB148" s="31">
        <f t="shared" si="19"/>
        <v>0</v>
      </c>
      <c r="BC148" s="31">
        <f t="shared" si="21"/>
        <v>0</v>
      </c>
    </row>
    <row r="149" spans="1:55" ht="28.5" customHeight="1">
      <c r="A149" s="32"/>
      <c r="B149" s="32"/>
      <c r="C149" s="37"/>
      <c r="D149" s="38"/>
      <c r="E149" s="39" t="s">
        <v>71</v>
      </c>
      <c r="F149" s="39" t="s">
        <v>72</v>
      </c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  <c r="AC149" s="29"/>
      <c r="AD149" s="29"/>
      <c r="AE149" s="29"/>
      <c r="AJ149"/>
      <c r="AK149"/>
      <c r="AL149"/>
      <c r="AM149"/>
      <c r="AN149"/>
      <c r="AO149"/>
      <c r="AP149"/>
      <c r="AQ149"/>
      <c r="AR149"/>
      <c r="AS149"/>
      <c r="AT149" s="4" t="str">
        <f t="shared" si="20"/>
        <v>IT费用办公IT设备折旧费</v>
      </c>
      <c r="AU149" s="4" t="str">
        <f t="shared" si="15"/>
        <v>法律合规部</v>
      </c>
      <c r="AV149" s="4" t="str">
        <f t="shared" si="16"/>
        <v>IT科技费用</v>
      </c>
      <c r="AW149" s="4" t="str">
        <f>IFERROR(VLOOKUP(AV149,[1]字段!A:B,2,0),"")</f>
        <v>IT费用</v>
      </c>
      <c r="AX149" s="30" t="str">
        <f>IF(AW149="人力费用",IF(E149="","",VLOOKUP(E149,[1]字段!D:E,2,0)),AW149)</f>
        <v>IT费用</v>
      </c>
      <c r="AY149" s="30" t="str">
        <f>IF(AT149="","",VLOOKUP(AT149,[1]字段!H:I,2,0))</f>
        <v>IT费用</v>
      </c>
      <c r="AZ149" s="31">
        <f t="shared" si="17"/>
        <v>0</v>
      </c>
      <c r="BA149" s="31">
        <f t="shared" si="18"/>
        <v>0</v>
      </c>
      <c r="BB149" s="31">
        <f t="shared" si="19"/>
        <v>0</v>
      </c>
      <c r="BC149" s="31">
        <f t="shared" si="21"/>
        <v>0</v>
      </c>
    </row>
    <row r="150" spans="1:55" ht="28.5" customHeight="1">
      <c r="A150" s="32"/>
      <c r="B150" s="32"/>
      <c r="C150" s="32"/>
      <c r="D150" s="40"/>
      <c r="E150" s="39" t="s">
        <v>73</v>
      </c>
      <c r="F150" s="39" t="s">
        <v>74</v>
      </c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  <c r="AC150" s="29"/>
      <c r="AD150" s="29"/>
      <c r="AE150" s="29"/>
      <c r="AJ150"/>
      <c r="AK150"/>
      <c r="AL150"/>
      <c r="AM150"/>
      <c r="AN150"/>
      <c r="AO150"/>
      <c r="AP150"/>
      <c r="AQ150"/>
      <c r="AR150"/>
      <c r="AS150"/>
      <c r="AT150" s="4" t="str">
        <f t="shared" si="20"/>
        <v>IT费用计算机软件摊销</v>
      </c>
      <c r="AU150" s="4" t="str">
        <f t="shared" si="15"/>
        <v>法律合规部</v>
      </c>
      <c r="AV150" s="4" t="str">
        <f t="shared" si="16"/>
        <v>IT科技费用</v>
      </c>
      <c r="AW150" s="4" t="str">
        <f>IFERROR(VLOOKUP(AV150,[1]字段!A:B,2,0),"")</f>
        <v>IT费用</v>
      </c>
      <c r="AX150" s="30" t="str">
        <f>IF(AW150="人力费用",IF(E150="","",VLOOKUP(E150,[1]字段!D:E,2,0)),AW150)</f>
        <v>IT费用</v>
      </c>
      <c r="AY150" s="30" t="str">
        <f>IF(AT150="","",VLOOKUP(AT150,[1]字段!H:I,2,0))</f>
        <v>IT费用</v>
      </c>
      <c r="AZ150" s="31">
        <f t="shared" si="17"/>
        <v>0</v>
      </c>
      <c r="BA150" s="31">
        <f t="shared" si="18"/>
        <v>0</v>
      </c>
      <c r="BB150" s="31">
        <f t="shared" si="19"/>
        <v>0</v>
      </c>
      <c r="BC150" s="31">
        <f t="shared" si="21"/>
        <v>0</v>
      </c>
    </row>
    <row r="151" spans="1:55" ht="28.5" customHeight="1">
      <c r="A151" s="32"/>
      <c r="B151" s="32"/>
      <c r="C151" s="32"/>
      <c r="D151" s="40"/>
      <c r="E151" s="39" t="s">
        <v>75</v>
      </c>
      <c r="F151" s="39" t="s">
        <v>76</v>
      </c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  <c r="AC151" s="29"/>
      <c r="AD151" s="29"/>
      <c r="AE151" s="29"/>
      <c r="AJ151"/>
      <c r="AK151"/>
      <c r="AL151"/>
      <c r="AM151"/>
      <c r="AN151"/>
      <c r="AO151"/>
      <c r="AP151"/>
      <c r="AQ151"/>
      <c r="AR151"/>
      <c r="AS151"/>
      <c r="AT151" s="4" t="str">
        <f t="shared" si="20"/>
        <v>IT费用数据资源摊销</v>
      </c>
      <c r="AU151" s="4" t="str">
        <f t="shared" si="15"/>
        <v>法律合规部</v>
      </c>
      <c r="AV151" s="4" t="str">
        <f t="shared" si="16"/>
        <v>IT科技费用</v>
      </c>
      <c r="AW151" s="4" t="str">
        <f>IFERROR(VLOOKUP(AV151,[1]字段!A:B,2,0),"")</f>
        <v>IT费用</v>
      </c>
      <c r="AX151" s="30" t="str">
        <f>IF(AW151="人力费用",IF(E151="","",VLOOKUP(E151,[1]字段!D:E,2,0)),AW151)</f>
        <v>IT费用</v>
      </c>
      <c r="AY151" s="30" t="str">
        <f>IF(AT151="","",VLOOKUP(AT151,[1]字段!H:I,2,0))</f>
        <v>IT费用</v>
      </c>
      <c r="AZ151" s="31">
        <f t="shared" si="17"/>
        <v>0</v>
      </c>
      <c r="BA151" s="31">
        <f t="shared" si="18"/>
        <v>0</v>
      </c>
      <c r="BB151" s="31">
        <f t="shared" si="19"/>
        <v>0</v>
      </c>
      <c r="BC151" s="31">
        <f t="shared" si="21"/>
        <v>0</v>
      </c>
    </row>
    <row r="152" spans="1:55" ht="28.5" customHeight="1">
      <c r="A152" s="32"/>
      <c r="B152" s="32"/>
      <c r="C152" s="41"/>
      <c r="D152" s="42"/>
      <c r="E152" s="39" t="s">
        <v>81</v>
      </c>
      <c r="F152" s="39" t="s">
        <v>82</v>
      </c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  <c r="AD152" s="29"/>
      <c r="AE152" s="29"/>
      <c r="AJ152"/>
      <c r="AK152"/>
      <c r="AL152"/>
      <c r="AM152"/>
      <c r="AN152"/>
      <c r="AO152"/>
      <c r="AP152"/>
      <c r="AQ152"/>
      <c r="AR152"/>
      <c r="AS152"/>
      <c r="AT152" s="4" t="str">
        <f t="shared" si="20"/>
        <v>IT费用电子设备运转费 </v>
      </c>
      <c r="AU152" s="4" t="str">
        <f t="shared" si="15"/>
        <v>法律合规部</v>
      </c>
      <c r="AV152" s="4" t="str">
        <f t="shared" si="16"/>
        <v>IT科技费用</v>
      </c>
      <c r="AW152" s="4" t="str">
        <f>IFERROR(VLOOKUP(AV152,[1]字段!A:B,2,0),"")</f>
        <v>IT费用</v>
      </c>
      <c r="AX152" s="30" t="str">
        <f>IF(AW152="人力费用",IF(E152="","",VLOOKUP(E152,[1]字段!D:E,2,0)),AW152)</f>
        <v>IT费用</v>
      </c>
      <c r="AY152" s="30" t="str">
        <f>IF(AT152="","",VLOOKUP(AT152,[1]字段!H:I,2,0))</f>
        <v>IT费用</v>
      </c>
      <c r="AZ152" s="31">
        <f t="shared" si="17"/>
        <v>0</v>
      </c>
      <c r="BA152" s="31">
        <f t="shared" si="18"/>
        <v>0</v>
      </c>
      <c r="BB152" s="31">
        <f t="shared" si="19"/>
        <v>0</v>
      </c>
      <c r="BC152" s="31">
        <f t="shared" si="21"/>
        <v>0</v>
      </c>
    </row>
    <row r="153" spans="1:55" ht="28.5" customHeight="1">
      <c r="C153" s="33" t="s">
        <v>93</v>
      </c>
      <c r="D153" s="34" t="s">
        <v>94</v>
      </c>
      <c r="E153" s="35"/>
      <c r="F153" s="36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  <c r="AC153" s="29"/>
      <c r="AD153" s="29"/>
      <c r="AE153" s="29"/>
      <c r="AJ153"/>
      <c r="AK153"/>
      <c r="AL153"/>
      <c r="AM153"/>
      <c r="AN153"/>
      <c r="AO153"/>
      <c r="AP153"/>
      <c r="AQ153"/>
      <c r="AR153"/>
      <c r="AS153"/>
      <c r="AT153" s="4" t="str">
        <f t="shared" si="20"/>
        <v>日常费用</v>
      </c>
      <c r="AU153" s="4" t="str">
        <f t="shared" si="15"/>
        <v>法律合规部</v>
      </c>
      <c r="AV153" s="4" t="str">
        <f t="shared" si="16"/>
        <v>日常费用</v>
      </c>
      <c r="AW153" s="4" t="str">
        <f>IFERROR(VLOOKUP(AV153,[1]字段!A:B,2,0),"")</f>
        <v>日常费用</v>
      </c>
      <c r="AX153" s="30" t="str">
        <f>IF(AW153="人力费用",IF(E153="","",VLOOKUP(E153,[1]字段!D:E,2,0)),AW153)</f>
        <v>日常费用</v>
      </c>
      <c r="AY153" s="30">
        <f>IF(AT153="","",VLOOKUP(AT153,[1]字段!H:I,2,0))</f>
        <v>0</v>
      </c>
      <c r="AZ153" s="31">
        <f t="shared" si="17"/>
        <v>0</v>
      </c>
      <c r="BA153" s="31">
        <f t="shared" si="18"/>
        <v>0</v>
      </c>
      <c r="BB153" s="31">
        <f t="shared" si="19"/>
        <v>0</v>
      </c>
      <c r="BC153" s="31">
        <f t="shared" si="21"/>
        <v>0</v>
      </c>
    </row>
    <row r="154" spans="1:55" ht="28.5" customHeight="1">
      <c r="A154" s="32"/>
      <c r="B154" s="32"/>
      <c r="C154" s="37"/>
      <c r="D154" s="38"/>
      <c r="E154" s="39" t="s">
        <v>148</v>
      </c>
      <c r="F154" s="39" t="s">
        <v>149</v>
      </c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  <c r="AB154" s="29"/>
      <c r="AC154" s="29"/>
      <c r="AD154" s="29"/>
      <c r="AE154" s="29"/>
      <c r="AJ154"/>
      <c r="AK154"/>
      <c r="AL154"/>
      <c r="AM154"/>
      <c r="AN154"/>
      <c r="AO154"/>
      <c r="AP154"/>
      <c r="AQ154"/>
      <c r="AR154"/>
      <c r="AS154"/>
      <c r="AT154" s="4" t="str">
        <f t="shared" si="20"/>
        <v>日常费用商标摊销</v>
      </c>
      <c r="AU154" s="4" t="str">
        <f t="shared" si="15"/>
        <v>法律合规部</v>
      </c>
      <c r="AV154" s="4" t="str">
        <f t="shared" si="16"/>
        <v>日常费用</v>
      </c>
      <c r="AW154" s="4" t="str">
        <f>IFERROR(VLOOKUP(AV154,[1]字段!A:B,2,0),"")</f>
        <v>日常费用</v>
      </c>
      <c r="AX154" s="30" t="str">
        <f>IF(AW154="人力费用",IF(E154="","",VLOOKUP(E154,[1]字段!D:E,2,0)),AW154)</f>
        <v>日常费用</v>
      </c>
      <c r="AY154" s="30" t="str">
        <f>IF(AT154="","",VLOOKUP(AT154,[1]字段!H:I,2,0))</f>
        <v>日常费用-其他</v>
      </c>
      <c r="AZ154" s="31">
        <f t="shared" si="17"/>
        <v>0</v>
      </c>
      <c r="BA154" s="31">
        <f t="shared" si="18"/>
        <v>0</v>
      </c>
      <c r="BB154" s="31">
        <f t="shared" si="19"/>
        <v>0</v>
      </c>
      <c r="BC154" s="31">
        <f t="shared" si="21"/>
        <v>0</v>
      </c>
    </row>
    <row r="155" spans="1:55" ht="28.5" customHeight="1">
      <c r="A155" s="32"/>
      <c r="B155" s="32"/>
      <c r="C155" s="32"/>
      <c r="D155" s="40"/>
      <c r="E155" s="39" t="s">
        <v>150</v>
      </c>
      <c r="F155" s="39" t="s">
        <v>151</v>
      </c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  <c r="AB155" s="29"/>
      <c r="AC155" s="29"/>
      <c r="AD155" s="29"/>
      <c r="AE155" s="29"/>
      <c r="AJ155"/>
      <c r="AK155"/>
      <c r="AL155"/>
      <c r="AM155"/>
      <c r="AN155"/>
      <c r="AO155"/>
      <c r="AP155"/>
      <c r="AQ155"/>
      <c r="AR155"/>
      <c r="AS155"/>
      <c r="AT155" s="4" t="str">
        <f t="shared" si="20"/>
        <v>日常费用域名摊销</v>
      </c>
      <c r="AU155" s="4" t="str">
        <f t="shared" si="15"/>
        <v>法律合规部</v>
      </c>
      <c r="AV155" s="4" t="str">
        <f t="shared" si="16"/>
        <v>日常费用</v>
      </c>
      <c r="AW155" s="4" t="str">
        <f>IFERROR(VLOOKUP(AV155,[1]字段!A:B,2,0),"")</f>
        <v>日常费用</v>
      </c>
      <c r="AX155" s="30" t="str">
        <f>IF(AW155="人力费用",IF(E155="","",VLOOKUP(E155,[1]字段!D:E,2,0)),AW155)</f>
        <v>日常费用</v>
      </c>
      <c r="AY155" s="30" t="str">
        <f>IF(AT155="","",VLOOKUP(AT155,[1]字段!H:I,2,0))</f>
        <v>日常费用-其他</v>
      </c>
      <c r="AZ155" s="31">
        <f t="shared" si="17"/>
        <v>0</v>
      </c>
      <c r="BA155" s="31">
        <f t="shared" si="18"/>
        <v>0</v>
      </c>
      <c r="BB155" s="31">
        <f t="shared" si="19"/>
        <v>0</v>
      </c>
      <c r="BC155" s="31">
        <f t="shared" si="21"/>
        <v>0</v>
      </c>
    </row>
    <row r="156" spans="1:55" ht="28.5" customHeight="1">
      <c r="A156" s="32"/>
      <c r="B156" s="32"/>
      <c r="C156" s="32"/>
      <c r="D156" s="40"/>
      <c r="E156" s="39" t="s">
        <v>152</v>
      </c>
      <c r="F156" s="39" t="s">
        <v>153</v>
      </c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  <c r="AB156" s="29"/>
      <c r="AC156" s="29"/>
      <c r="AD156" s="29"/>
      <c r="AE156" s="29"/>
      <c r="AJ156"/>
      <c r="AK156"/>
      <c r="AL156"/>
      <c r="AM156"/>
      <c r="AN156"/>
      <c r="AO156"/>
      <c r="AP156"/>
      <c r="AQ156"/>
      <c r="AR156"/>
      <c r="AS156"/>
      <c r="AT156" s="4" t="str">
        <f t="shared" si="20"/>
        <v>日常费用律师费</v>
      </c>
      <c r="AU156" s="4" t="str">
        <f t="shared" si="15"/>
        <v>法律合规部</v>
      </c>
      <c r="AV156" s="4" t="str">
        <f t="shared" si="16"/>
        <v>日常费用</v>
      </c>
      <c r="AW156" s="4" t="str">
        <f>IFERROR(VLOOKUP(AV156,[1]字段!A:B,2,0),"")</f>
        <v>日常费用</v>
      </c>
      <c r="AX156" s="30" t="str">
        <f>IF(AW156="人力费用",IF(E156="","",VLOOKUP(E156,[1]字段!D:E,2,0)),AW156)</f>
        <v>日常费用</v>
      </c>
      <c r="AY156" s="30" t="str">
        <f>IF(AT156="","",VLOOKUP(AT156,[1]字段!H:I,2,0))</f>
        <v>日常费用-其他</v>
      </c>
      <c r="AZ156" s="31">
        <f t="shared" si="17"/>
        <v>0</v>
      </c>
      <c r="BA156" s="31">
        <f t="shared" si="18"/>
        <v>0</v>
      </c>
      <c r="BB156" s="31">
        <f t="shared" si="19"/>
        <v>0</v>
      </c>
      <c r="BC156" s="31">
        <f t="shared" si="21"/>
        <v>0</v>
      </c>
    </row>
    <row r="157" spans="1:55" ht="28.5" customHeight="1">
      <c r="A157" s="32"/>
      <c r="B157" s="32"/>
      <c r="C157" s="32"/>
      <c r="D157" s="40"/>
      <c r="E157" s="39" t="s">
        <v>77</v>
      </c>
      <c r="F157" s="39" t="s">
        <v>78</v>
      </c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  <c r="AC157" s="29"/>
      <c r="AD157" s="29"/>
      <c r="AE157" s="29"/>
      <c r="AJ157"/>
      <c r="AK157"/>
      <c r="AL157"/>
      <c r="AM157"/>
      <c r="AN157"/>
      <c r="AO157"/>
      <c r="AP157"/>
      <c r="AQ157"/>
      <c r="AR157"/>
      <c r="AS157"/>
      <c r="AT157" s="4" t="str">
        <f t="shared" si="20"/>
        <v>日常费用咨询费</v>
      </c>
      <c r="AU157" s="4" t="str">
        <f t="shared" si="15"/>
        <v>法律合规部</v>
      </c>
      <c r="AV157" s="4" t="str">
        <f t="shared" si="16"/>
        <v>日常费用</v>
      </c>
      <c r="AW157" s="4" t="str">
        <f>IFERROR(VLOOKUP(AV157,[1]字段!A:B,2,0),"")</f>
        <v>日常费用</v>
      </c>
      <c r="AX157" s="30" t="str">
        <f>IF(AW157="人力费用",IF(E157="","",VLOOKUP(E157,[1]字段!D:E,2,0)),AW157)</f>
        <v>日常费用</v>
      </c>
      <c r="AY157" s="30" t="str">
        <f>IF(AT157="","",VLOOKUP(AT157,[1]字段!H:I,2,0))</f>
        <v>日常费用-咨询费</v>
      </c>
      <c r="AZ157" s="31">
        <f t="shared" si="17"/>
        <v>0</v>
      </c>
      <c r="BA157" s="31">
        <f t="shared" si="18"/>
        <v>0</v>
      </c>
      <c r="BB157" s="31">
        <f t="shared" si="19"/>
        <v>0</v>
      </c>
      <c r="BC157" s="31">
        <f t="shared" si="21"/>
        <v>0</v>
      </c>
    </row>
    <row r="158" spans="1:55" ht="28.5" customHeight="1">
      <c r="A158" s="41"/>
      <c r="B158" s="41"/>
      <c r="C158" s="41"/>
      <c r="D158" s="42"/>
      <c r="E158" s="39" t="s">
        <v>139</v>
      </c>
      <c r="F158" s="39" t="s">
        <v>140</v>
      </c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  <c r="AC158" s="29"/>
      <c r="AD158" s="29"/>
      <c r="AE158" s="29"/>
      <c r="AJ158"/>
      <c r="AK158"/>
      <c r="AL158"/>
      <c r="AM158"/>
      <c r="AN158"/>
      <c r="AO158"/>
      <c r="AP158"/>
      <c r="AQ158"/>
      <c r="AR158"/>
      <c r="AS158"/>
      <c r="AT158" s="4" t="str">
        <f t="shared" si="20"/>
        <v>日常费用差旅费</v>
      </c>
      <c r="AU158" s="4" t="str">
        <f t="shared" si="15"/>
        <v>法律合规部</v>
      </c>
      <c r="AV158" s="4" t="str">
        <f t="shared" si="16"/>
        <v>日常费用</v>
      </c>
      <c r="AW158" s="4" t="str">
        <f>IFERROR(VLOOKUP(AV158,[1]字段!A:B,2,0),"")</f>
        <v>日常费用</v>
      </c>
      <c r="AX158" s="30" t="str">
        <f>IF(AW158="人力费用",IF(E158="","",VLOOKUP(E158,[1]字段!D:E,2,0)),AW158)</f>
        <v>日常费用</v>
      </c>
      <c r="AY158" s="30" t="str">
        <f>IF(AT158="","",VLOOKUP(AT158,[1]字段!H:I,2,0))</f>
        <v>日常费用-其他</v>
      </c>
      <c r="AZ158" s="31">
        <f t="shared" si="17"/>
        <v>0</v>
      </c>
      <c r="BA158" s="31">
        <f t="shared" si="18"/>
        <v>0</v>
      </c>
      <c r="BB158" s="31">
        <f t="shared" si="19"/>
        <v>0</v>
      </c>
      <c r="BC158" s="31">
        <f t="shared" si="21"/>
        <v>0</v>
      </c>
    </row>
    <row r="159" spans="1:55" ht="28.5" customHeight="1">
      <c r="A159" s="25"/>
      <c r="B159" s="26" t="s">
        <v>154</v>
      </c>
      <c r="C159" s="27"/>
      <c r="D159" s="27"/>
      <c r="E159" s="27"/>
      <c r="F159" s="28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  <c r="AB159" s="29"/>
      <c r="AC159" s="29"/>
      <c r="AD159" s="29"/>
      <c r="AE159" s="29"/>
      <c r="AJ159"/>
      <c r="AK159"/>
      <c r="AL159"/>
      <c r="AM159"/>
      <c r="AN159"/>
      <c r="AO159"/>
      <c r="AP159"/>
      <c r="AQ159"/>
      <c r="AR159"/>
      <c r="AS159"/>
      <c r="AT159" s="4" t="str">
        <f t="shared" si="20"/>
        <v/>
      </c>
      <c r="AU159" s="4" t="str">
        <f t="shared" si="15"/>
        <v>审计部</v>
      </c>
      <c r="AV159" s="4" t="str">
        <f t="shared" si="16"/>
        <v/>
      </c>
      <c r="AW159" s="4" t="str">
        <f>IFERROR(VLOOKUP(AV159,[1]字段!A:B,2,0),"")</f>
        <v/>
      </c>
      <c r="AX159" s="30" t="str">
        <f>IF(AW159="人力费用",IF(E159="","",VLOOKUP(E159,[1]字段!D:E,2,0)),AW159)</f>
        <v/>
      </c>
      <c r="AY159" s="30" t="str">
        <f>IF(AT159="","",VLOOKUP(AT159,[1]字段!H:I,2,0))</f>
        <v/>
      </c>
      <c r="AZ159" s="31">
        <f t="shared" si="17"/>
        <v>0</v>
      </c>
      <c r="BA159" s="31">
        <f t="shared" si="18"/>
        <v>0</v>
      </c>
      <c r="BB159" s="31">
        <f t="shared" si="19"/>
        <v>0</v>
      </c>
      <c r="BC159" s="31">
        <f t="shared" si="21"/>
        <v>0</v>
      </c>
    </row>
    <row r="160" spans="1:55" ht="28.5" customHeight="1">
      <c r="A160" s="32"/>
      <c r="B160" s="32"/>
      <c r="C160" s="33" t="s">
        <v>39</v>
      </c>
      <c r="D160" s="34" t="s">
        <v>40</v>
      </c>
      <c r="E160" s="35"/>
      <c r="F160" s="36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  <c r="AC160" s="29"/>
      <c r="AD160" s="29"/>
      <c r="AE160" s="29"/>
      <c r="AJ160"/>
      <c r="AK160"/>
      <c r="AL160"/>
      <c r="AM160"/>
      <c r="AN160"/>
      <c r="AO160"/>
      <c r="AP160"/>
      <c r="AQ160"/>
      <c r="AR160"/>
      <c r="AS160"/>
      <c r="AT160" s="4" t="str">
        <f t="shared" si="20"/>
        <v/>
      </c>
      <c r="AU160" s="4" t="str">
        <f t="shared" si="15"/>
        <v>审计部</v>
      </c>
      <c r="AV160" s="4" t="str">
        <f t="shared" si="16"/>
        <v>人力费用</v>
      </c>
      <c r="AW160" s="4" t="str">
        <f>IFERROR(VLOOKUP(AV160,[1]字段!A:B,2,0),"")</f>
        <v>人力费用</v>
      </c>
      <c r="AX160" s="30" t="str">
        <f>IF(AW160="人力费用",IF(E160="","",VLOOKUP(E160,[1]字段!D:E,2,0)),AW160)</f>
        <v/>
      </c>
      <c r="AY160" s="30" t="str">
        <f>IF(AT160="","",VLOOKUP(AT160,[1]字段!H:I,2,0))</f>
        <v/>
      </c>
      <c r="AZ160" s="31">
        <f t="shared" si="17"/>
        <v>0</v>
      </c>
      <c r="BA160" s="31">
        <f t="shared" si="18"/>
        <v>0</v>
      </c>
      <c r="BB160" s="31">
        <f t="shared" si="19"/>
        <v>0</v>
      </c>
      <c r="BC160" s="31">
        <f t="shared" si="21"/>
        <v>0</v>
      </c>
    </row>
    <row r="161" spans="1:55" ht="28.5" customHeight="1">
      <c r="A161" s="32"/>
      <c r="B161" s="32"/>
      <c r="C161" s="37"/>
      <c r="D161" s="38"/>
      <c r="E161" s="39" t="s">
        <v>41</v>
      </c>
      <c r="F161" s="39" t="s">
        <v>42</v>
      </c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  <c r="AD161" s="29"/>
      <c r="AE161" s="29"/>
      <c r="AJ161"/>
      <c r="AK161"/>
      <c r="AL161"/>
      <c r="AM161"/>
      <c r="AN161"/>
      <c r="AO161"/>
      <c r="AP161"/>
      <c r="AQ161"/>
      <c r="AR161"/>
      <c r="AS161"/>
      <c r="AT161" s="4" t="str">
        <f t="shared" si="20"/>
        <v>1.0倍人力基础工资</v>
      </c>
      <c r="AU161" s="4" t="str">
        <f t="shared" si="15"/>
        <v>审计部</v>
      </c>
      <c r="AV161" s="4" t="str">
        <f t="shared" si="16"/>
        <v>人力费用</v>
      </c>
      <c r="AW161" s="4" t="str">
        <f>IFERROR(VLOOKUP(AV161,[1]字段!A:B,2,0),"")</f>
        <v>人力费用</v>
      </c>
      <c r="AX161" s="30" t="str">
        <f>IF(AW161="人力费用",IF(E161="","",VLOOKUP(E161,[1]字段!D:E,2,0)),AW161)</f>
        <v>1.0倍人力</v>
      </c>
      <c r="AY161" s="30" t="str">
        <f>IF(AT161="","",VLOOKUP(AT161,[1]字段!H:I,2,0))</f>
        <v>1.0倍人力</v>
      </c>
      <c r="AZ161" s="31">
        <f t="shared" si="17"/>
        <v>0</v>
      </c>
      <c r="BA161" s="31">
        <f t="shared" si="18"/>
        <v>0</v>
      </c>
      <c r="BB161" s="31">
        <f t="shared" si="19"/>
        <v>0</v>
      </c>
      <c r="BC161" s="31">
        <f t="shared" si="21"/>
        <v>0</v>
      </c>
    </row>
    <row r="162" spans="1:55" ht="28.5" customHeight="1">
      <c r="A162" s="32"/>
      <c r="B162" s="32"/>
      <c r="C162" s="32"/>
      <c r="D162" s="40"/>
      <c r="E162" s="39">
        <v>5501010602</v>
      </c>
      <c r="F162" s="3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J162"/>
      <c r="AK162"/>
      <c r="AL162"/>
      <c r="AM162"/>
      <c r="AN162"/>
      <c r="AO162"/>
      <c r="AP162"/>
      <c r="AQ162"/>
      <c r="AR162"/>
      <c r="AS162"/>
      <c r="AT162" s="4" t="str">
        <f t="shared" si="20"/>
        <v>利润分享</v>
      </c>
      <c r="AU162" s="4" t="str">
        <f t="shared" si="15"/>
        <v>审计部</v>
      </c>
      <c r="AV162" s="4" t="str">
        <f t="shared" si="16"/>
        <v>人力费用</v>
      </c>
      <c r="AW162" s="4" t="str">
        <f>IFERROR(VLOOKUP(AV162,[1]字段!A:B,2,0),"")</f>
        <v>人力费用</v>
      </c>
      <c r="AX162" s="30" t="str">
        <f>IF(AW162="人力费用",IF(E162="","",VLOOKUP(E162,[1]字段!D:E,2,0)),AW162)</f>
        <v>利润分享</v>
      </c>
      <c r="AY162" s="30" t="str">
        <f>IF(AT162="","",VLOOKUP(AT162,[1]字段!H:I,2,0))</f>
        <v>利润分享</v>
      </c>
      <c r="AZ162" s="31">
        <f t="shared" si="17"/>
        <v>0</v>
      </c>
      <c r="BA162" s="31">
        <f t="shared" si="18"/>
        <v>0</v>
      </c>
      <c r="BB162" s="31">
        <f t="shared" si="19"/>
        <v>0</v>
      </c>
      <c r="BC162" s="31">
        <f t="shared" si="21"/>
        <v>0</v>
      </c>
    </row>
    <row r="163" spans="1:55" ht="28.5" customHeight="1">
      <c r="A163" s="32"/>
      <c r="B163" s="32"/>
      <c r="C163" s="32"/>
      <c r="D163" s="40"/>
      <c r="E163" s="39">
        <v>5501010603</v>
      </c>
      <c r="F163" s="3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  <c r="AD163" s="29"/>
      <c r="AE163" s="29"/>
      <c r="AJ163"/>
      <c r="AK163"/>
      <c r="AL163"/>
      <c r="AM163"/>
      <c r="AN163"/>
      <c r="AO163"/>
      <c r="AP163"/>
      <c r="AQ163"/>
      <c r="AR163"/>
      <c r="AS163"/>
      <c r="AT163" s="4" t="str">
        <f t="shared" si="20"/>
        <v>留任奖励</v>
      </c>
      <c r="AU163" s="4" t="str">
        <f t="shared" si="15"/>
        <v>审计部</v>
      </c>
      <c r="AV163" s="4" t="str">
        <f t="shared" si="16"/>
        <v>人力费用</v>
      </c>
      <c r="AW163" s="4" t="str">
        <f>IFERROR(VLOOKUP(AV163,[1]字段!A:B,2,0),"")</f>
        <v>人力费用</v>
      </c>
      <c r="AX163" s="30" t="str">
        <f>IF(AW163="人力费用",IF(E163="","",VLOOKUP(E163,[1]字段!D:E,2,0)),AW163)</f>
        <v>留任奖励</v>
      </c>
      <c r="AY163" s="30" t="str">
        <f>IF(AT163="","",VLOOKUP(AT163,[1]字段!H:I,2,0))</f>
        <v>留任奖励</v>
      </c>
      <c r="AZ163" s="31">
        <f t="shared" si="17"/>
        <v>0</v>
      </c>
      <c r="BA163" s="31">
        <f t="shared" si="18"/>
        <v>0</v>
      </c>
      <c r="BB163" s="31">
        <f t="shared" si="19"/>
        <v>0</v>
      </c>
      <c r="BC163" s="31">
        <f t="shared" si="21"/>
        <v>0</v>
      </c>
    </row>
    <row r="164" spans="1:55" ht="28.5" customHeight="1">
      <c r="A164" s="32"/>
      <c r="B164" s="32"/>
      <c r="C164" s="32"/>
      <c r="D164" s="40"/>
      <c r="E164" s="39">
        <v>5501010604</v>
      </c>
      <c r="F164" s="3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  <c r="AD164" s="29"/>
      <c r="AE164" s="29"/>
      <c r="AJ164"/>
      <c r="AK164"/>
      <c r="AL164"/>
      <c r="AM164"/>
      <c r="AN164"/>
      <c r="AO164"/>
      <c r="AP164"/>
      <c r="AQ164"/>
      <c r="AR164"/>
      <c r="AS164"/>
      <c r="AT164" s="4" t="str">
        <f t="shared" si="20"/>
        <v>1.0倍人力</v>
      </c>
      <c r="AU164" s="4" t="str">
        <f t="shared" si="15"/>
        <v>审计部</v>
      </c>
      <c r="AV164" s="4" t="str">
        <f t="shared" si="16"/>
        <v>人力费用</v>
      </c>
      <c r="AW164" s="4" t="str">
        <f>IFERROR(VLOOKUP(AV164,[1]字段!A:B,2,0),"")</f>
        <v>人力费用</v>
      </c>
      <c r="AX164" s="30" t="str">
        <f>IF(AW164="人力费用",IF(E164="","",VLOOKUP(E164,[1]字段!D:E,2,0)),AW164)</f>
        <v>1.0倍人力</v>
      </c>
      <c r="AY164" s="30" t="str">
        <f>IF(AT164="","",VLOOKUP(AT164,[1]字段!H:I,2,0))</f>
        <v>1.0倍人力</v>
      </c>
      <c r="AZ164" s="31">
        <f t="shared" si="17"/>
        <v>0</v>
      </c>
      <c r="BA164" s="31">
        <f t="shared" si="18"/>
        <v>0</v>
      </c>
      <c r="BB164" s="31">
        <f t="shared" si="19"/>
        <v>0</v>
      </c>
      <c r="BC164" s="31">
        <f t="shared" si="21"/>
        <v>0</v>
      </c>
    </row>
    <row r="165" spans="1:55" ht="28.5" customHeight="1">
      <c r="A165" s="32"/>
      <c r="B165" s="32"/>
      <c r="C165" s="32"/>
      <c r="D165" s="40"/>
      <c r="E165" s="39" t="s">
        <v>43</v>
      </c>
      <c r="F165" s="39" t="s">
        <v>44</v>
      </c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J165"/>
      <c r="AK165"/>
      <c r="AL165"/>
      <c r="AM165"/>
      <c r="AN165"/>
      <c r="AO165"/>
      <c r="AP165"/>
      <c r="AQ165"/>
      <c r="AR165"/>
      <c r="AS165"/>
      <c r="AT165" s="4" t="str">
        <f t="shared" si="20"/>
        <v>1.0倍人力团队建设费</v>
      </c>
      <c r="AU165" s="4" t="str">
        <f t="shared" si="15"/>
        <v>审计部</v>
      </c>
      <c r="AV165" s="4" t="str">
        <f t="shared" si="16"/>
        <v>人力费用</v>
      </c>
      <c r="AW165" s="4" t="str">
        <f>IFERROR(VLOOKUP(AV165,[1]字段!A:B,2,0),"")</f>
        <v>人力费用</v>
      </c>
      <c r="AX165" s="30" t="str">
        <f>IF(AW165="人力费用",IF(E165="","",VLOOKUP(E165,[1]字段!D:E,2,0)),AW165)</f>
        <v>1.0倍人力</v>
      </c>
      <c r="AY165" s="30" t="str">
        <f>IF(AT165="","",VLOOKUP(AT165,[1]字段!H:I,2,0))</f>
        <v>1.0倍人力</v>
      </c>
      <c r="AZ165" s="31">
        <f t="shared" si="17"/>
        <v>0</v>
      </c>
      <c r="BA165" s="31">
        <f t="shared" si="18"/>
        <v>0</v>
      </c>
      <c r="BB165" s="31">
        <f t="shared" si="19"/>
        <v>0</v>
      </c>
      <c r="BC165" s="31">
        <f t="shared" si="21"/>
        <v>0</v>
      </c>
    </row>
    <row r="166" spans="1:55" ht="28.5" customHeight="1">
      <c r="A166" s="32"/>
      <c r="B166" s="32"/>
      <c r="C166" s="32"/>
      <c r="D166" s="40"/>
      <c r="E166" s="39" t="s">
        <v>45</v>
      </c>
      <c r="F166" s="39" t="s">
        <v>46</v>
      </c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J166"/>
      <c r="AK166"/>
      <c r="AL166"/>
      <c r="AM166"/>
      <c r="AN166"/>
      <c r="AO166"/>
      <c r="AP166"/>
      <c r="AQ166"/>
      <c r="AR166"/>
      <c r="AS166"/>
      <c r="AT166" s="4" t="str">
        <f t="shared" si="20"/>
        <v>1.0倍人力其他职工福利费</v>
      </c>
      <c r="AU166" s="4" t="str">
        <f t="shared" si="15"/>
        <v>审计部</v>
      </c>
      <c r="AV166" s="4" t="str">
        <f t="shared" si="16"/>
        <v>人力费用</v>
      </c>
      <c r="AW166" s="4" t="str">
        <f>IFERROR(VLOOKUP(AV166,[1]字段!A:B,2,0),"")</f>
        <v>人力费用</v>
      </c>
      <c r="AX166" s="30" t="str">
        <f>IF(AW166="人力费用",IF(E166="","",VLOOKUP(E166,[1]字段!D:E,2,0)),AW166)</f>
        <v>1.0倍人力</v>
      </c>
      <c r="AY166" s="30" t="str">
        <f>IF(AT166="","",VLOOKUP(AT166,[1]字段!H:I,2,0))</f>
        <v>1.0倍人力</v>
      </c>
      <c r="AZ166" s="31">
        <f t="shared" si="17"/>
        <v>0</v>
      </c>
      <c r="BA166" s="31">
        <f t="shared" si="18"/>
        <v>0</v>
      </c>
      <c r="BB166" s="31">
        <f t="shared" si="19"/>
        <v>0</v>
      </c>
      <c r="BC166" s="31">
        <f t="shared" si="21"/>
        <v>0</v>
      </c>
    </row>
    <row r="167" spans="1:55" ht="28.5" customHeight="1">
      <c r="A167" s="32"/>
      <c r="B167" s="32"/>
      <c r="C167" s="32"/>
      <c r="D167" s="40"/>
      <c r="E167" s="39" t="s">
        <v>47</v>
      </c>
      <c r="F167" s="39" t="s">
        <v>48</v>
      </c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  <c r="AD167" s="29"/>
      <c r="AE167" s="29"/>
      <c r="AJ167"/>
      <c r="AK167"/>
      <c r="AL167"/>
      <c r="AM167"/>
      <c r="AN167"/>
      <c r="AO167"/>
      <c r="AP167"/>
      <c r="AQ167"/>
      <c r="AR167"/>
      <c r="AS167"/>
      <c r="AT167" s="4" t="str">
        <f t="shared" si="20"/>
        <v>1.0倍人力工会经费</v>
      </c>
      <c r="AU167" s="4" t="str">
        <f t="shared" si="15"/>
        <v>审计部</v>
      </c>
      <c r="AV167" s="4" t="str">
        <f t="shared" si="16"/>
        <v>人力费用</v>
      </c>
      <c r="AW167" s="4" t="str">
        <f>IFERROR(VLOOKUP(AV167,[1]字段!A:B,2,0),"")</f>
        <v>人力费用</v>
      </c>
      <c r="AX167" s="30" t="str">
        <f>IF(AW167="人力费用",IF(E167="","",VLOOKUP(E167,[1]字段!D:E,2,0)),AW167)</f>
        <v>1.0倍人力</v>
      </c>
      <c r="AY167" s="30" t="str">
        <f>IF(AT167="","",VLOOKUP(AT167,[1]字段!H:I,2,0))</f>
        <v>1.0倍人力</v>
      </c>
      <c r="AZ167" s="31">
        <f t="shared" si="17"/>
        <v>0</v>
      </c>
      <c r="BA167" s="31">
        <f t="shared" si="18"/>
        <v>0</v>
      </c>
      <c r="BB167" s="31">
        <f t="shared" si="19"/>
        <v>0</v>
      </c>
      <c r="BC167" s="31">
        <f t="shared" si="21"/>
        <v>0</v>
      </c>
    </row>
    <row r="168" spans="1:55" ht="28.5" customHeight="1">
      <c r="A168" s="32"/>
      <c r="B168" s="32"/>
      <c r="C168" s="32"/>
      <c r="D168" s="40"/>
      <c r="E168" s="39" t="s">
        <v>49</v>
      </c>
      <c r="F168" s="39" t="s">
        <v>50</v>
      </c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  <c r="AC168" s="29"/>
      <c r="AD168" s="29"/>
      <c r="AE168" s="29"/>
      <c r="AJ168"/>
      <c r="AK168"/>
      <c r="AL168"/>
      <c r="AM168"/>
      <c r="AN168"/>
      <c r="AO168"/>
      <c r="AP168"/>
      <c r="AQ168"/>
      <c r="AR168"/>
      <c r="AS168"/>
      <c r="AT168" s="4" t="str">
        <f t="shared" si="20"/>
        <v>1.0倍人力基本养老保险</v>
      </c>
      <c r="AU168" s="4" t="str">
        <f t="shared" si="15"/>
        <v>审计部</v>
      </c>
      <c r="AV168" s="4" t="str">
        <f t="shared" si="16"/>
        <v>人力费用</v>
      </c>
      <c r="AW168" s="4" t="str">
        <f>IFERROR(VLOOKUP(AV168,[1]字段!A:B,2,0),"")</f>
        <v>人力费用</v>
      </c>
      <c r="AX168" s="30" t="str">
        <f>IF(AW168="人力费用",IF(E168="","",VLOOKUP(E168,[1]字段!D:E,2,0)),AW168)</f>
        <v>1.0倍人力</v>
      </c>
      <c r="AY168" s="30" t="str">
        <f>IF(AT168="","",VLOOKUP(AT168,[1]字段!H:I,2,0))</f>
        <v>1.0倍人力</v>
      </c>
      <c r="AZ168" s="31">
        <f t="shared" si="17"/>
        <v>0</v>
      </c>
      <c r="BA168" s="31">
        <f t="shared" si="18"/>
        <v>0</v>
      </c>
      <c r="BB168" s="31">
        <f t="shared" si="19"/>
        <v>0</v>
      </c>
      <c r="BC168" s="31">
        <f t="shared" si="21"/>
        <v>0</v>
      </c>
    </row>
    <row r="169" spans="1:55" ht="28.5" customHeight="1">
      <c r="A169" s="32"/>
      <c r="B169" s="32"/>
      <c r="C169" s="32"/>
      <c r="D169" s="40"/>
      <c r="E169" s="39" t="s">
        <v>51</v>
      </c>
      <c r="F169" s="39" t="s">
        <v>52</v>
      </c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J169"/>
      <c r="AK169"/>
      <c r="AL169"/>
      <c r="AM169"/>
      <c r="AN169"/>
      <c r="AO169"/>
      <c r="AP169"/>
      <c r="AQ169"/>
      <c r="AR169"/>
      <c r="AS169"/>
      <c r="AT169" s="4" t="str">
        <f t="shared" si="20"/>
        <v>1.0倍人力基本医疗保险</v>
      </c>
      <c r="AU169" s="4" t="str">
        <f t="shared" si="15"/>
        <v>审计部</v>
      </c>
      <c r="AV169" s="4" t="str">
        <f t="shared" si="16"/>
        <v>人力费用</v>
      </c>
      <c r="AW169" s="4" t="str">
        <f>IFERROR(VLOOKUP(AV169,[1]字段!A:B,2,0),"")</f>
        <v>人力费用</v>
      </c>
      <c r="AX169" s="30" t="str">
        <f>IF(AW169="人力费用",IF(E169="","",VLOOKUP(E169,[1]字段!D:E,2,0)),AW169)</f>
        <v>1.0倍人力</v>
      </c>
      <c r="AY169" s="30" t="str">
        <f>IF(AT169="","",VLOOKUP(AT169,[1]字段!H:I,2,0))</f>
        <v>1.0倍人力</v>
      </c>
      <c r="AZ169" s="31">
        <f t="shared" si="17"/>
        <v>0</v>
      </c>
      <c r="BA169" s="31">
        <f t="shared" si="18"/>
        <v>0</v>
      </c>
      <c r="BB169" s="31">
        <f t="shared" si="19"/>
        <v>0</v>
      </c>
      <c r="BC169" s="31">
        <f t="shared" si="21"/>
        <v>0</v>
      </c>
    </row>
    <row r="170" spans="1:55" ht="28.5" customHeight="1">
      <c r="A170" s="32"/>
      <c r="B170" s="32"/>
      <c r="C170" s="32"/>
      <c r="D170" s="40"/>
      <c r="E170" s="39" t="s">
        <v>53</v>
      </c>
      <c r="F170" s="39" t="s">
        <v>54</v>
      </c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J170"/>
      <c r="AK170"/>
      <c r="AL170"/>
      <c r="AM170"/>
      <c r="AN170"/>
      <c r="AO170"/>
      <c r="AP170"/>
      <c r="AQ170"/>
      <c r="AR170"/>
      <c r="AS170"/>
      <c r="AT170" s="4" t="str">
        <f t="shared" si="20"/>
        <v>1.0倍人力工伤保险</v>
      </c>
      <c r="AU170" s="4" t="str">
        <f t="shared" si="15"/>
        <v>审计部</v>
      </c>
      <c r="AV170" s="4" t="str">
        <f t="shared" si="16"/>
        <v>人力费用</v>
      </c>
      <c r="AW170" s="4" t="str">
        <f>IFERROR(VLOOKUP(AV170,[1]字段!A:B,2,0),"")</f>
        <v>人力费用</v>
      </c>
      <c r="AX170" s="30" t="str">
        <f>IF(AW170="人力费用",IF(E170="","",VLOOKUP(E170,[1]字段!D:E,2,0)),AW170)</f>
        <v>1.0倍人力</v>
      </c>
      <c r="AY170" s="30" t="str">
        <f>IF(AT170="","",VLOOKUP(AT170,[1]字段!H:I,2,0))</f>
        <v>1.0倍人力</v>
      </c>
      <c r="AZ170" s="31">
        <f t="shared" si="17"/>
        <v>0</v>
      </c>
      <c r="BA170" s="31">
        <f t="shared" si="18"/>
        <v>0</v>
      </c>
      <c r="BB170" s="31">
        <f t="shared" si="19"/>
        <v>0</v>
      </c>
      <c r="BC170" s="31">
        <f t="shared" si="21"/>
        <v>0</v>
      </c>
    </row>
    <row r="171" spans="1:55" ht="28.5" customHeight="1">
      <c r="A171" s="32"/>
      <c r="B171" s="32"/>
      <c r="C171" s="32"/>
      <c r="D171" s="40"/>
      <c r="E171" s="39" t="s">
        <v>55</v>
      </c>
      <c r="F171" s="39" t="s">
        <v>56</v>
      </c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  <c r="AB171" s="29"/>
      <c r="AC171" s="29"/>
      <c r="AD171" s="29"/>
      <c r="AE171" s="29"/>
      <c r="AJ171"/>
      <c r="AK171"/>
      <c r="AL171"/>
      <c r="AM171"/>
      <c r="AN171"/>
      <c r="AO171"/>
      <c r="AP171"/>
      <c r="AQ171"/>
      <c r="AR171"/>
      <c r="AS171"/>
      <c r="AT171" s="4" t="str">
        <f t="shared" si="20"/>
        <v>1.0倍人力生育保险</v>
      </c>
      <c r="AU171" s="4" t="str">
        <f t="shared" si="15"/>
        <v>审计部</v>
      </c>
      <c r="AV171" s="4" t="str">
        <f t="shared" si="16"/>
        <v>人力费用</v>
      </c>
      <c r="AW171" s="4" t="str">
        <f>IFERROR(VLOOKUP(AV171,[1]字段!A:B,2,0),"")</f>
        <v>人力费用</v>
      </c>
      <c r="AX171" s="30" t="str">
        <f>IF(AW171="人力费用",IF(E171="","",VLOOKUP(E171,[1]字段!D:E,2,0)),AW171)</f>
        <v>1.0倍人力</v>
      </c>
      <c r="AY171" s="30" t="str">
        <f>IF(AT171="","",VLOOKUP(AT171,[1]字段!H:I,2,0))</f>
        <v>1.0倍人力</v>
      </c>
      <c r="AZ171" s="31">
        <f t="shared" si="17"/>
        <v>0</v>
      </c>
      <c r="BA171" s="31">
        <f t="shared" si="18"/>
        <v>0</v>
      </c>
      <c r="BB171" s="31">
        <f t="shared" si="19"/>
        <v>0</v>
      </c>
      <c r="BC171" s="31">
        <f t="shared" si="21"/>
        <v>0</v>
      </c>
    </row>
    <row r="172" spans="1:55" ht="28.5" customHeight="1">
      <c r="A172" s="32"/>
      <c r="B172" s="32"/>
      <c r="C172" s="32"/>
      <c r="D172" s="40"/>
      <c r="E172" s="39" t="s">
        <v>57</v>
      </c>
      <c r="F172" s="39" t="s">
        <v>58</v>
      </c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  <c r="AB172" s="29"/>
      <c r="AC172" s="29"/>
      <c r="AD172" s="29"/>
      <c r="AE172" s="29"/>
      <c r="AJ172"/>
      <c r="AK172"/>
      <c r="AL172"/>
      <c r="AM172"/>
      <c r="AN172"/>
      <c r="AO172"/>
      <c r="AP172"/>
      <c r="AQ172"/>
      <c r="AR172"/>
      <c r="AS172"/>
      <c r="AT172" s="4" t="str">
        <f t="shared" si="20"/>
        <v>1.0倍人力失业保险</v>
      </c>
      <c r="AU172" s="4" t="str">
        <f t="shared" si="15"/>
        <v>审计部</v>
      </c>
      <c r="AV172" s="4" t="str">
        <f t="shared" si="16"/>
        <v>人力费用</v>
      </c>
      <c r="AW172" s="4" t="str">
        <f>IFERROR(VLOOKUP(AV172,[1]字段!A:B,2,0),"")</f>
        <v>人力费用</v>
      </c>
      <c r="AX172" s="30" t="str">
        <f>IF(AW172="人力费用",IF(E172="","",VLOOKUP(E172,[1]字段!D:E,2,0)),AW172)</f>
        <v>1.0倍人力</v>
      </c>
      <c r="AY172" s="30" t="str">
        <f>IF(AT172="","",VLOOKUP(AT172,[1]字段!H:I,2,0))</f>
        <v>1.0倍人力</v>
      </c>
      <c r="AZ172" s="31">
        <f t="shared" si="17"/>
        <v>0</v>
      </c>
      <c r="BA172" s="31">
        <f t="shared" si="18"/>
        <v>0</v>
      </c>
      <c r="BB172" s="31">
        <f t="shared" si="19"/>
        <v>0</v>
      </c>
      <c r="BC172" s="31">
        <f t="shared" si="21"/>
        <v>0</v>
      </c>
    </row>
    <row r="173" spans="1:55" ht="28.5" customHeight="1">
      <c r="A173" s="32"/>
      <c r="B173" s="32"/>
      <c r="C173" s="41"/>
      <c r="D173" s="42"/>
      <c r="E173" s="39" t="s">
        <v>59</v>
      </c>
      <c r="F173" s="39" t="s">
        <v>60</v>
      </c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  <c r="AB173" s="29"/>
      <c r="AC173" s="29"/>
      <c r="AD173" s="29"/>
      <c r="AE173" s="29"/>
      <c r="AJ173"/>
      <c r="AK173"/>
      <c r="AL173"/>
      <c r="AM173"/>
      <c r="AN173"/>
      <c r="AO173"/>
      <c r="AP173"/>
      <c r="AQ173"/>
      <c r="AR173"/>
      <c r="AS173"/>
      <c r="AT173" s="4" t="str">
        <f t="shared" si="20"/>
        <v>1.0倍人力住房公积金</v>
      </c>
      <c r="AU173" s="4" t="str">
        <f t="shared" si="15"/>
        <v>审计部</v>
      </c>
      <c r="AV173" s="4" t="str">
        <f t="shared" si="16"/>
        <v>人力费用</v>
      </c>
      <c r="AW173" s="4" t="str">
        <f>IFERROR(VLOOKUP(AV173,[1]字段!A:B,2,0),"")</f>
        <v>人力费用</v>
      </c>
      <c r="AX173" s="30" t="str">
        <f>IF(AW173="人力费用",IF(E173="","",VLOOKUP(E173,[1]字段!D:E,2,0)),AW173)</f>
        <v>1.0倍人力</v>
      </c>
      <c r="AY173" s="30" t="str">
        <f>IF(AT173="","",VLOOKUP(AT173,[1]字段!H:I,2,0))</f>
        <v>1.0倍人力</v>
      </c>
      <c r="AZ173" s="31">
        <f t="shared" si="17"/>
        <v>0</v>
      </c>
      <c r="BA173" s="31">
        <f t="shared" si="18"/>
        <v>0</v>
      </c>
      <c r="BB173" s="31">
        <f t="shared" si="19"/>
        <v>0</v>
      </c>
      <c r="BC173" s="31">
        <f t="shared" si="21"/>
        <v>0</v>
      </c>
    </row>
    <row r="174" spans="1:55" ht="28.5" customHeight="1">
      <c r="C174" s="33" t="s">
        <v>61</v>
      </c>
      <c r="D174" s="34" t="s">
        <v>62</v>
      </c>
      <c r="E174" s="35"/>
      <c r="F174" s="36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J174"/>
      <c r="AK174"/>
      <c r="AL174"/>
      <c r="AM174"/>
      <c r="AN174"/>
      <c r="AO174"/>
      <c r="AP174"/>
      <c r="AQ174"/>
      <c r="AR174"/>
      <c r="AS174"/>
      <c r="AT174" s="4" t="str">
        <f t="shared" si="20"/>
        <v>运营费用</v>
      </c>
      <c r="AU174" s="4" t="str">
        <f t="shared" si="15"/>
        <v>审计部</v>
      </c>
      <c r="AV174" s="4" t="str">
        <f t="shared" si="16"/>
        <v>IT运营费用</v>
      </c>
      <c r="AW174" s="4" t="str">
        <f>IFERROR(VLOOKUP(AV174,[1]字段!A:B,2,0),"")</f>
        <v>运营费用</v>
      </c>
      <c r="AX174" s="30" t="str">
        <f>IF(AW174="人力费用",IF(E174="","",VLOOKUP(E174,[1]字段!D:E,2,0)),AW174)</f>
        <v>运营费用</v>
      </c>
      <c r="AY174" s="30">
        <f>IF(AT174="","",VLOOKUP(AT174,[1]字段!H:I,2,0))</f>
        <v>0</v>
      </c>
      <c r="AZ174" s="31">
        <f t="shared" si="17"/>
        <v>0</v>
      </c>
      <c r="BA174" s="31">
        <f t="shared" si="18"/>
        <v>0</v>
      </c>
      <c r="BB174" s="31">
        <f t="shared" si="19"/>
        <v>0</v>
      </c>
      <c r="BC174" s="31">
        <f t="shared" si="21"/>
        <v>0</v>
      </c>
    </row>
    <row r="175" spans="1:55" ht="28.5" customHeight="1">
      <c r="A175" s="32"/>
      <c r="B175" s="32"/>
      <c r="C175" s="43"/>
      <c r="D175" s="43"/>
      <c r="E175" s="39" t="s">
        <v>63</v>
      </c>
      <c r="F175" s="39" t="s">
        <v>64</v>
      </c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J175"/>
      <c r="AK175"/>
      <c r="AL175"/>
      <c r="AM175"/>
      <c r="AN175"/>
      <c r="AO175"/>
      <c r="AP175"/>
      <c r="AQ175"/>
      <c r="AR175"/>
      <c r="AS175"/>
      <c r="AT175" s="4" t="str">
        <f t="shared" si="20"/>
        <v>运营费用信息资料费</v>
      </c>
      <c r="AU175" s="4" t="str">
        <f t="shared" si="15"/>
        <v>审计部</v>
      </c>
      <c r="AV175" s="4" t="str">
        <f t="shared" si="16"/>
        <v>IT运营费用</v>
      </c>
      <c r="AW175" s="4" t="str">
        <f>IFERROR(VLOOKUP(AV175,[1]字段!A:B,2,0),"")</f>
        <v>运营费用</v>
      </c>
      <c r="AX175" s="30" t="str">
        <f>IF(AW175="人力费用",IF(E175="","",VLOOKUP(E175,[1]字段!D:E,2,0)),AW175)</f>
        <v>运营费用</v>
      </c>
      <c r="AY175" s="30" t="str">
        <f>IF(AT175="","",VLOOKUP(AT175,[1]字段!H:I,2,0))</f>
        <v>运营费用-运营其他</v>
      </c>
      <c r="AZ175" s="31">
        <f t="shared" si="17"/>
        <v>0</v>
      </c>
      <c r="BA175" s="31">
        <f t="shared" si="18"/>
        <v>0</v>
      </c>
      <c r="BB175" s="31">
        <f t="shared" si="19"/>
        <v>0</v>
      </c>
      <c r="BC175" s="31">
        <f t="shared" si="21"/>
        <v>0</v>
      </c>
    </row>
    <row r="176" spans="1:55" ht="28.5" customHeight="1">
      <c r="C176" s="33" t="s">
        <v>65</v>
      </c>
      <c r="D176" s="34" t="s">
        <v>66</v>
      </c>
      <c r="E176" s="35"/>
      <c r="F176" s="36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  <c r="AB176" s="29"/>
      <c r="AC176" s="29"/>
      <c r="AD176" s="29"/>
      <c r="AE176" s="29"/>
      <c r="AJ176"/>
      <c r="AK176"/>
      <c r="AL176"/>
      <c r="AM176"/>
      <c r="AN176"/>
      <c r="AO176"/>
      <c r="AP176"/>
      <c r="AQ176"/>
      <c r="AR176"/>
      <c r="AS176"/>
      <c r="AT176" s="4" t="str">
        <f t="shared" si="20"/>
        <v>IT费用</v>
      </c>
      <c r="AU176" s="4" t="str">
        <f t="shared" si="15"/>
        <v>审计部</v>
      </c>
      <c r="AV176" s="4" t="str">
        <f t="shared" si="16"/>
        <v>IT科技费用</v>
      </c>
      <c r="AW176" s="4" t="str">
        <f>IFERROR(VLOOKUP(AV176,[1]字段!A:B,2,0),"")</f>
        <v>IT费用</v>
      </c>
      <c r="AX176" s="30" t="str">
        <f>IF(AW176="人力费用",IF(E176="","",VLOOKUP(E176,[1]字段!D:E,2,0)),AW176)</f>
        <v>IT费用</v>
      </c>
      <c r="AY176" s="30">
        <f>IF(AT176="","",VLOOKUP(AT176,[1]字段!H:I,2,0))</f>
        <v>0</v>
      </c>
      <c r="AZ176" s="31">
        <f t="shared" si="17"/>
        <v>0</v>
      </c>
      <c r="BA176" s="31">
        <f t="shared" si="18"/>
        <v>0</v>
      </c>
      <c r="BB176" s="31">
        <f t="shared" si="19"/>
        <v>0</v>
      </c>
      <c r="BC176" s="31">
        <f t="shared" si="21"/>
        <v>0</v>
      </c>
    </row>
    <row r="177" spans="1:55" ht="28.5" customHeight="1">
      <c r="A177" s="32"/>
      <c r="B177" s="32"/>
      <c r="C177" s="37"/>
      <c r="D177" s="38"/>
      <c r="E177" s="39" t="s">
        <v>67</v>
      </c>
      <c r="F177" s="39" t="s">
        <v>68</v>
      </c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  <c r="AD177" s="29"/>
      <c r="AE177" s="29"/>
      <c r="AJ177"/>
      <c r="AK177"/>
      <c r="AL177"/>
      <c r="AM177"/>
      <c r="AN177"/>
      <c r="AO177"/>
      <c r="AP177"/>
      <c r="AQ177"/>
      <c r="AR177"/>
      <c r="AS177"/>
      <c r="AT177" s="4" t="str">
        <f t="shared" si="20"/>
        <v>IT费用一般运营设备折旧费</v>
      </c>
      <c r="AU177" s="4" t="str">
        <f t="shared" si="15"/>
        <v>审计部</v>
      </c>
      <c r="AV177" s="4" t="str">
        <f t="shared" si="16"/>
        <v>IT科技费用</v>
      </c>
      <c r="AW177" s="4" t="str">
        <f>IFERROR(VLOOKUP(AV177,[1]字段!A:B,2,0),"")</f>
        <v>IT费用</v>
      </c>
      <c r="AX177" s="30" t="str">
        <f>IF(AW177="人力费用",IF(E177="","",VLOOKUP(E177,[1]字段!D:E,2,0)),AW177)</f>
        <v>IT费用</v>
      </c>
      <c r="AY177" s="30" t="str">
        <f>IF(AT177="","",VLOOKUP(AT177,[1]字段!H:I,2,0))</f>
        <v>IT费用</v>
      </c>
      <c r="AZ177" s="31">
        <f t="shared" si="17"/>
        <v>0</v>
      </c>
      <c r="BA177" s="31">
        <f t="shared" si="18"/>
        <v>0</v>
      </c>
      <c r="BB177" s="31">
        <f t="shared" si="19"/>
        <v>0</v>
      </c>
      <c r="BC177" s="31">
        <f t="shared" si="21"/>
        <v>0</v>
      </c>
    </row>
    <row r="178" spans="1:55" ht="28.5" customHeight="1">
      <c r="A178" s="32"/>
      <c r="B178" s="32"/>
      <c r="C178" s="32"/>
      <c r="D178" s="40"/>
      <c r="E178" s="39" t="s">
        <v>69</v>
      </c>
      <c r="F178" s="39" t="s">
        <v>70</v>
      </c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  <c r="AB178" s="29"/>
      <c r="AC178" s="29"/>
      <c r="AD178" s="29"/>
      <c r="AE178" s="29"/>
      <c r="AJ178"/>
      <c r="AK178"/>
      <c r="AL178"/>
      <c r="AM178"/>
      <c r="AN178"/>
      <c r="AO178"/>
      <c r="AP178"/>
      <c r="AQ178"/>
      <c r="AR178"/>
      <c r="AS178"/>
      <c r="AT178" s="4" t="str">
        <f t="shared" si="20"/>
        <v>IT费用移动终端折旧费</v>
      </c>
      <c r="AU178" s="4" t="str">
        <f t="shared" si="15"/>
        <v>审计部</v>
      </c>
      <c r="AV178" s="4" t="str">
        <f t="shared" si="16"/>
        <v>IT科技费用</v>
      </c>
      <c r="AW178" s="4" t="str">
        <f>IFERROR(VLOOKUP(AV178,[1]字段!A:B,2,0),"")</f>
        <v>IT费用</v>
      </c>
      <c r="AX178" s="30" t="str">
        <f>IF(AW178="人力费用",IF(E178="","",VLOOKUP(E178,[1]字段!D:E,2,0)),AW178)</f>
        <v>IT费用</v>
      </c>
      <c r="AY178" s="30" t="str">
        <f>IF(AT178="","",VLOOKUP(AT178,[1]字段!H:I,2,0))</f>
        <v>IT费用</v>
      </c>
      <c r="AZ178" s="31">
        <f t="shared" si="17"/>
        <v>0</v>
      </c>
      <c r="BA178" s="31">
        <f t="shared" si="18"/>
        <v>0</v>
      </c>
      <c r="BB178" s="31">
        <f t="shared" si="19"/>
        <v>0</v>
      </c>
      <c r="BC178" s="31">
        <f t="shared" si="21"/>
        <v>0</v>
      </c>
    </row>
    <row r="179" spans="1:55" ht="28.5" customHeight="1">
      <c r="A179" s="32"/>
      <c r="B179" s="32"/>
      <c r="C179" s="32"/>
      <c r="D179" s="40"/>
      <c r="E179" s="39" t="s">
        <v>71</v>
      </c>
      <c r="F179" s="39" t="s">
        <v>72</v>
      </c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  <c r="AB179" s="29"/>
      <c r="AC179" s="29"/>
      <c r="AD179" s="29"/>
      <c r="AE179" s="29"/>
      <c r="AJ179"/>
      <c r="AK179"/>
      <c r="AL179"/>
      <c r="AM179"/>
      <c r="AN179"/>
      <c r="AO179"/>
      <c r="AP179"/>
      <c r="AQ179"/>
      <c r="AR179"/>
      <c r="AS179"/>
      <c r="AT179" s="4" t="str">
        <f t="shared" si="20"/>
        <v>IT费用办公IT设备折旧费</v>
      </c>
      <c r="AU179" s="4" t="str">
        <f t="shared" si="15"/>
        <v>审计部</v>
      </c>
      <c r="AV179" s="4" t="str">
        <f t="shared" si="16"/>
        <v>IT科技费用</v>
      </c>
      <c r="AW179" s="4" t="str">
        <f>IFERROR(VLOOKUP(AV179,[1]字段!A:B,2,0),"")</f>
        <v>IT费用</v>
      </c>
      <c r="AX179" s="30" t="str">
        <f>IF(AW179="人力费用",IF(E179="","",VLOOKUP(E179,[1]字段!D:E,2,0)),AW179)</f>
        <v>IT费用</v>
      </c>
      <c r="AY179" s="30" t="str">
        <f>IF(AT179="","",VLOOKUP(AT179,[1]字段!H:I,2,0))</f>
        <v>IT费用</v>
      </c>
      <c r="AZ179" s="31">
        <f t="shared" si="17"/>
        <v>0</v>
      </c>
      <c r="BA179" s="31">
        <f t="shared" si="18"/>
        <v>0</v>
      </c>
      <c r="BB179" s="31">
        <f t="shared" si="19"/>
        <v>0</v>
      </c>
      <c r="BC179" s="31">
        <f t="shared" si="21"/>
        <v>0</v>
      </c>
    </row>
    <row r="180" spans="1:55" ht="28.5" customHeight="1">
      <c r="A180" s="32"/>
      <c r="B180" s="32"/>
      <c r="C180" s="32"/>
      <c r="D180" s="40"/>
      <c r="E180" s="39" t="s">
        <v>73</v>
      </c>
      <c r="F180" s="39" t="s">
        <v>74</v>
      </c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  <c r="AC180" s="29"/>
      <c r="AD180" s="29"/>
      <c r="AE180" s="29"/>
      <c r="AJ180"/>
      <c r="AK180"/>
      <c r="AL180"/>
      <c r="AM180"/>
      <c r="AN180"/>
      <c r="AO180"/>
      <c r="AP180"/>
      <c r="AQ180"/>
      <c r="AR180"/>
      <c r="AS180"/>
      <c r="AT180" s="4" t="str">
        <f t="shared" si="20"/>
        <v>IT费用计算机软件摊销</v>
      </c>
      <c r="AU180" s="4" t="str">
        <f t="shared" si="15"/>
        <v>审计部</v>
      </c>
      <c r="AV180" s="4" t="str">
        <f t="shared" si="16"/>
        <v>IT科技费用</v>
      </c>
      <c r="AW180" s="4" t="str">
        <f>IFERROR(VLOOKUP(AV180,[1]字段!A:B,2,0),"")</f>
        <v>IT费用</v>
      </c>
      <c r="AX180" s="30" t="str">
        <f>IF(AW180="人力费用",IF(E180="","",VLOOKUP(E180,[1]字段!D:E,2,0)),AW180)</f>
        <v>IT费用</v>
      </c>
      <c r="AY180" s="30" t="str">
        <f>IF(AT180="","",VLOOKUP(AT180,[1]字段!H:I,2,0))</f>
        <v>IT费用</v>
      </c>
      <c r="AZ180" s="31">
        <f t="shared" si="17"/>
        <v>0</v>
      </c>
      <c r="BA180" s="31">
        <f t="shared" si="18"/>
        <v>0</v>
      </c>
      <c r="BB180" s="31">
        <f t="shared" si="19"/>
        <v>0</v>
      </c>
      <c r="BC180" s="31">
        <f t="shared" si="21"/>
        <v>0</v>
      </c>
    </row>
    <row r="181" spans="1:55" ht="28.5" customHeight="1">
      <c r="A181" s="32"/>
      <c r="B181" s="32"/>
      <c r="C181" s="32"/>
      <c r="D181" s="40"/>
      <c r="E181" s="39" t="s">
        <v>75</v>
      </c>
      <c r="F181" s="39" t="s">
        <v>76</v>
      </c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  <c r="AB181" s="29"/>
      <c r="AC181" s="29"/>
      <c r="AD181" s="29"/>
      <c r="AE181" s="29"/>
      <c r="AJ181"/>
      <c r="AK181"/>
      <c r="AL181"/>
      <c r="AM181"/>
      <c r="AN181"/>
      <c r="AO181"/>
      <c r="AP181"/>
      <c r="AQ181"/>
      <c r="AR181"/>
      <c r="AS181"/>
      <c r="AT181" s="4" t="str">
        <f t="shared" si="20"/>
        <v>IT费用数据资源摊销</v>
      </c>
      <c r="AU181" s="4" t="str">
        <f t="shared" si="15"/>
        <v>审计部</v>
      </c>
      <c r="AV181" s="4" t="str">
        <f t="shared" si="16"/>
        <v>IT科技费用</v>
      </c>
      <c r="AW181" s="4" t="str">
        <f>IFERROR(VLOOKUP(AV181,[1]字段!A:B,2,0),"")</f>
        <v>IT费用</v>
      </c>
      <c r="AX181" s="30" t="str">
        <f>IF(AW181="人力费用",IF(E181="","",VLOOKUP(E181,[1]字段!D:E,2,0)),AW181)</f>
        <v>IT费用</v>
      </c>
      <c r="AY181" s="30" t="str">
        <f>IF(AT181="","",VLOOKUP(AT181,[1]字段!H:I,2,0))</f>
        <v>IT费用</v>
      </c>
      <c r="AZ181" s="31">
        <f t="shared" si="17"/>
        <v>0</v>
      </c>
      <c r="BA181" s="31">
        <f t="shared" si="18"/>
        <v>0</v>
      </c>
      <c r="BB181" s="31">
        <f t="shared" si="19"/>
        <v>0</v>
      </c>
      <c r="BC181" s="31">
        <f t="shared" si="21"/>
        <v>0</v>
      </c>
    </row>
    <row r="182" spans="1:55" ht="28.5" customHeight="1">
      <c r="A182" s="32"/>
      <c r="B182" s="32"/>
      <c r="C182" s="32"/>
      <c r="D182" s="40"/>
      <c r="E182" s="39" t="s">
        <v>77</v>
      </c>
      <c r="F182" s="39" t="s">
        <v>78</v>
      </c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  <c r="AB182" s="29"/>
      <c r="AC182" s="29"/>
      <c r="AD182" s="29"/>
      <c r="AE182" s="29"/>
      <c r="AJ182"/>
      <c r="AK182"/>
      <c r="AL182"/>
      <c r="AM182"/>
      <c r="AN182"/>
      <c r="AO182"/>
      <c r="AP182"/>
      <c r="AQ182"/>
      <c r="AR182"/>
      <c r="AS182"/>
      <c r="AT182" s="4" t="str">
        <f t="shared" si="20"/>
        <v>IT费用咨询费</v>
      </c>
      <c r="AU182" s="4" t="str">
        <f t="shared" si="15"/>
        <v>审计部</v>
      </c>
      <c r="AV182" s="4" t="str">
        <f t="shared" si="16"/>
        <v>IT科技费用</v>
      </c>
      <c r="AW182" s="4" t="str">
        <f>IFERROR(VLOOKUP(AV182,[1]字段!A:B,2,0),"")</f>
        <v>IT费用</v>
      </c>
      <c r="AX182" s="30" t="str">
        <f>IF(AW182="人力费用",IF(E182="","",VLOOKUP(E182,[1]字段!D:E,2,0)),AW182)</f>
        <v>IT费用</v>
      </c>
      <c r="AY182" s="30" t="str">
        <f>IF(AT182="","",VLOOKUP(AT182,[1]字段!H:I,2,0))</f>
        <v>IT费用</v>
      </c>
      <c r="AZ182" s="31">
        <f t="shared" si="17"/>
        <v>0</v>
      </c>
      <c r="BA182" s="31">
        <f t="shared" si="18"/>
        <v>0</v>
      </c>
      <c r="BB182" s="31">
        <f t="shared" si="19"/>
        <v>0</v>
      </c>
      <c r="BC182" s="31">
        <f t="shared" si="21"/>
        <v>0</v>
      </c>
    </row>
    <row r="183" spans="1:55" ht="28.5" customHeight="1">
      <c r="A183" s="32"/>
      <c r="B183" s="32"/>
      <c r="C183" s="32"/>
      <c r="D183" s="40"/>
      <c r="E183" s="39" t="s">
        <v>79</v>
      </c>
      <c r="F183" s="39" t="s">
        <v>80</v>
      </c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  <c r="AB183" s="29"/>
      <c r="AC183" s="29"/>
      <c r="AD183" s="29"/>
      <c r="AE183" s="29"/>
      <c r="AJ183"/>
      <c r="AK183"/>
      <c r="AL183"/>
      <c r="AM183"/>
      <c r="AN183"/>
      <c r="AO183"/>
      <c r="AP183"/>
      <c r="AQ183"/>
      <c r="AR183"/>
      <c r="AS183"/>
      <c r="AT183" s="4" t="str">
        <f t="shared" si="20"/>
        <v>IT费用网络通讯费 </v>
      </c>
      <c r="AU183" s="4" t="str">
        <f t="shared" si="15"/>
        <v>审计部</v>
      </c>
      <c r="AV183" s="4" t="str">
        <f t="shared" si="16"/>
        <v>IT科技费用</v>
      </c>
      <c r="AW183" s="4" t="str">
        <f>IFERROR(VLOOKUP(AV183,[1]字段!A:B,2,0),"")</f>
        <v>IT费用</v>
      </c>
      <c r="AX183" s="30" t="str">
        <f>IF(AW183="人力费用",IF(E183="","",VLOOKUP(E183,[1]字段!D:E,2,0)),AW183)</f>
        <v>IT费用</v>
      </c>
      <c r="AY183" s="30" t="str">
        <f>IF(AT183="","",VLOOKUP(AT183,[1]字段!H:I,2,0))</f>
        <v>IT费用</v>
      </c>
      <c r="AZ183" s="31">
        <f t="shared" si="17"/>
        <v>0</v>
      </c>
      <c r="BA183" s="31">
        <f t="shared" si="18"/>
        <v>0</v>
      </c>
      <c r="BB183" s="31">
        <f t="shared" si="19"/>
        <v>0</v>
      </c>
      <c r="BC183" s="31">
        <f t="shared" si="21"/>
        <v>0</v>
      </c>
    </row>
    <row r="184" spans="1:55" ht="28.5" customHeight="1">
      <c r="A184" s="32"/>
      <c r="B184" s="32"/>
      <c r="C184" s="32"/>
      <c r="D184" s="40"/>
      <c r="E184" s="39" t="s">
        <v>81</v>
      </c>
      <c r="F184" s="39" t="s">
        <v>82</v>
      </c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  <c r="AB184" s="29"/>
      <c r="AC184" s="29"/>
      <c r="AD184" s="29"/>
      <c r="AE184" s="29"/>
      <c r="AJ184"/>
      <c r="AK184"/>
      <c r="AL184"/>
      <c r="AM184"/>
      <c r="AN184"/>
      <c r="AO184"/>
      <c r="AP184"/>
      <c r="AQ184"/>
      <c r="AR184"/>
      <c r="AS184"/>
      <c r="AT184" s="4" t="str">
        <f t="shared" si="20"/>
        <v>IT费用电子设备运转费 </v>
      </c>
      <c r="AU184" s="4" t="str">
        <f t="shared" si="15"/>
        <v>审计部</v>
      </c>
      <c r="AV184" s="4" t="str">
        <f t="shared" si="16"/>
        <v>IT科技费用</v>
      </c>
      <c r="AW184" s="4" t="str">
        <f>IFERROR(VLOOKUP(AV184,[1]字段!A:B,2,0),"")</f>
        <v>IT费用</v>
      </c>
      <c r="AX184" s="30" t="str">
        <f>IF(AW184="人力费用",IF(E184="","",VLOOKUP(E184,[1]字段!D:E,2,0)),AW184)</f>
        <v>IT费用</v>
      </c>
      <c r="AY184" s="30" t="str">
        <f>IF(AT184="","",VLOOKUP(AT184,[1]字段!H:I,2,0))</f>
        <v>IT费用</v>
      </c>
      <c r="AZ184" s="31">
        <f t="shared" si="17"/>
        <v>0</v>
      </c>
      <c r="BA184" s="31">
        <f t="shared" si="18"/>
        <v>0</v>
      </c>
      <c r="BB184" s="31">
        <f t="shared" si="19"/>
        <v>0</v>
      </c>
      <c r="BC184" s="31">
        <f t="shared" si="21"/>
        <v>0</v>
      </c>
    </row>
    <row r="185" spans="1:55" ht="28.5" customHeight="1">
      <c r="A185" s="32"/>
      <c r="B185" s="32"/>
      <c r="C185" s="41"/>
      <c r="D185" s="42"/>
      <c r="E185" s="39" t="s">
        <v>83</v>
      </c>
      <c r="F185" s="39" t="s">
        <v>84</v>
      </c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  <c r="AB185" s="29"/>
      <c r="AC185" s="29"/>
      <c r="AD185" s="29"/>
      <c r="AE185" s="29"/>
      <c r="AJ185"/>
      <c r="AK185"/>
      <c r="AL185"/>
      <c r="AM185"/>
      <c r="AN185"/>
      <c r="AO185"/>
      <c r="AP185"/>
      <c r="AQ185"/>
      <c r="AR185"/>
      <c r="AS185"/>
      <c r="AT185" s="4" t="str">
        <f t="shared" si="20"/>
        <v>IT费用其他外包服务费</v>
      </c>
      <c r="AU185" s="4" t="str">
        <f t="shared" si="15"/>
        <v>审计部</v>
      </c>
      <c r="AV185" s="4" t="str">
        <f t="shared" si="16"/>
        <v>IT科技费用</v>
      </c>
      <c r="AW185" s="4" t="str">
        <f>IFERROR(VLOOKUP(AV185,[1]字段!A:B,2,0),"")</f>
        <v>IT费用</v>
      </c>
      <c r="AX185" s="30" t="str">
        <f>IF(AW185="人力费用",IF(E185="","",VLOOKUP(E185,[1]字段!D:E,2,0)),AW185)</f>
        <v>IT费用</v>
      </c>
      <c r="AY185" s="30" t="str">
        <f>IF(AT185="","",VLOOKUP(AT185,[1]字段!H:I,2,0))</f>
        <v>IT费用</v>
      </c>
      <c r="AZ185" s="31">
        <f t="shared" si="17"/>
        <v>0</v>
      </c>
      <c r="BA185" s="31">
        <f t="shared" si="18"/>
        <v>0</v>
      </c>
      <c r="BB185" s="31">
        <f t="shared" si="19"/>
        <v>0</v>
      </c>
      <c r="BC185" s="31">
        <f t="shared" si="21"/>
        <v>0</v>
      </c>
    </row>
    <row r="186" spans="1:55" ht="28.5" customHeight="1">
      <c r="C186" s="33" t="s">
        <v>85</v>
      </c>
      <c r="D186" s="34" t="s">
        <v>86</v>
      </c>
      <c r="E186" s="35"/>
      <c r="F186" s="36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  <c r="AB186" s="29"/>
      <c r="AC186" s="29"/>
      <c r="AD186" s="29"/>
      <c r="AE186" s="29"/>
      <c r="AJ186"/>
      <c r="AK186"/>
      <c r="AL186"/>
      <c r="AM186"/>
      <c r="AN186"/>
      <c r="AO186"/>
      <c r="AP186"/>
      <c r="AQ186"/>
      <c r="AR186"/>
      <c r="AS186"/>
      <c r="AT186" s="4" t="str">
        <f t="shared" si="20"/>
        <v>日常费用</v>
      </c>
      <c r="AU186" s="4" t="str">
        <f t="shared" si="15"/>
        <v>审计部</v>
      </c>
      <c r="AV186" s="4" t="str">
        <f t="shared" si="16"/>
        <v>IT日常费用</v>
      </c>
      <c r="AW186" s="4" t="str">
        <f>IFERROR(VLOOKUP(AV186,[1]字段!A:B,2,0),"")</f>
        <v>日常费用</v>
      </c>
      <c r="AX186" s="30" t="str">
        <f>IF(AW186="人力费用",IF(E186="","",VLOOKUP(E186,[1]字段!D:E,2,0)),AW186)</f>
        <v>日常费用</v>
      </c>
      <c r="AY186" s="30">
        <f>IF(AT186="","",VLOOKUP(AT186,[1]字段!H:I,2,0))</f>
        <v>0</v>
      </c>
      <c r="AZ186" s="31">
        <f t="shared" si="17"/>
        <v>0</v>
      </c>
      <c r="BA186" s="31">
        <f t="shared" si="18"/>
        <v>0</v>
      </c>
      <c r="BB186" s="31">
        <f t="shared" si="19"/>
        <v>0</v>
      </c>
      <c r="BC186" s="31">
        <f t="shared" si="21"/>
        <v>0</v>
      </c>
    </row>
    <row r="187" spans="1:55" ht="28.5" customHeight="1">
      <c r="A187" s="32"/>
      <c r="B187" s="32"/>
      <c r="C187" s="37"/>
      <c r="D187" s="38"/>
      <c r="E187" s="39" t="s">
        <v>87</v>
      </c>
      <c r="F187" s="39" t="s">
        <v>88</v>
      </c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  <c r="AB187" s="29"/>
      <c r="AC187" s="29"/>
      <c r="AD187" s="29"/>
      <c r="AE187" s="29"/>
      <c r="AJ187"/>
      <c r="AK187"/>
      <c r="AL187"/>
      <c r="AM187"/>
      <c r="AN187"/>
      <c r="AO187"/>
      <c r="AP187"/>
      <c r="AQ187"/>
      <c r="AR187"/>
      <c r="AS187"/>
      <c r="AT187" s="4" t="str">
        <f t="shared" si="20"/>
        <v>日常费用办公OA设备折旧费</v>
      </c>
      <c r="AU187" s="4" t="str">
        <f t="shared" si="15"/>
        <v>审计部</v>
      </c>
      <c r="AV187" s="4" t="str">
        <f t="shared" si="16"/>
        <v>IT日常费用</v>
      </c>
      <c r="AW187" s="4" t="str">
        <f>IFERROR(VLOOKUP(AV187,[1]字段!A:B,2,0),"")</f>
        <v>日常费用</v>
      </c>
      <c r="AX187" s="30" t="str">
        <f>IF(AW187="人力费用",IF(E187="","",VLOOKUP(E187,[1]字段!D:E,2,0)),AW187)</f>
        <v>日常费用</v>
      </c>
      <c r="AY187" s="30" t="str">
        <f>IF(AT187="","",VLOOKUP(AT187,[1]字段!H:I,2,0))</f>
        <v>日常费用-其他</v>
      </c>
      <c r="AZ187" s="31">
        <f t="shared" si="17"/>
        <v>0</v>
      </c>
      <c r="BA187" s="31">
        <f t="shared" si="18"/>
        <v>0</v>
      </c>
      <c r="BB187" s="31">
        <f t="shared" si="19"/>
        <v>0</v>
      </c>
      <c r="BC187" s="31">
        <f t="shared" si="21"/>
        <v>0</v>
      </c>
    </row>
    <row r="188" spans="1:55" ht="28.5" customHeight="1">
      <c r="A188" s="32"/>
      <c r="B188" s="32"/>
      <c r="C188" s="41"/>
      <c r="D188" s="42"/>
      <c r="E188" s="39" t="s">
        <v>89</v>
      </c>
      <c r="F188" s="39" t="s">
        <v>90</v>
      </c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  <c r="AB188" s="29"/>
      <c r="AC188" s="29"/>
      <c r="AD188" s="29"/>
      <c r="AE188" s="29"/>
      <c r="AJ188"/>
      <c r="AK188"/>
      <c r="AL188"/>
      <c r="AM188"/>
      <c r="AN188"/>
      <c r="AO188"/>
      <c r="AP188"/>
      <c r="AQ188"/>
      <c r="AR188"/>
      <c r="AS188"/>
      <c r="AT188" s="4" t="str">
        <f t="shared" si="20"/>
        <v>日常费用办公家具折旧费</v>
      </c>
      <c r="AU188" s="4" t="str">
        <f t="shared" si="15"/>
        <v>审计部</v>
      </c>
      <c r="AV188" s="4" t="str">
        <f t="shared" si="16"/>
        <v>IT日常费用</v>
      </c>
      <c r="AW188" s="4" t="str">
        <f>IFERROR(VLOOKUP(AV188,[1]字段!A:B,2,0),"")</f>
        <v>日常费用</v>
      </c>
      <c r="AX188" s="30" t="str">
        <f>IF(AW188="人力费用",IF(E188="","",VLOOKUP(E188,[1]字段!D:E,2,0)),AW188)</f>
        <v>日常费用</v>
      </c>
      <c r="AY188" s="30" t="str">
        <f>IF(AT188="","",VLOOKUP(AT188,[1]字段!H:I,2,0))</f>
        <v>日常费用-其他</v>
      </c>
      <c r="AZ188" s="31">
        <f t="shared" si="17"/>
        <v>0</v>
      </c>
      <c r="BA188" s="31">
        <f t="shared" si="18"/>
        <v>0</v>
      </c>
      <c r="BB188" s="31">
        <f t="shared" si="19"/>
        <v>0</v>
      </c>
      <c r="BC188" s="31">
        <f t="shared" si="21"/>
        <v>0</v>
      </c>
    </row>
    <row r="189" spans="1:55" ht="28.5" customHeight="1">
      <c r="C189" s="33" t="s">
        <v>93</v>
      </c>
      <c r="D189" s="34" t="s">
        <v>94</v>
      </c>
      <c r="E189" s="35"/>
      <c r="F189" s="36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  <c r="AB189" s="29"/>
      <c r="AC189" s="29"/>
      <c r="AD189" s="29"/>
      <c r="AE189" s="29"/>
      <c r="AJ189"/>
      <c r="AK189"/>
      <c r="AL189"/>
      <c r="AM189"/>
      <c r="AN189"/>
      <c r="AO189"/>
      <c r="AP189"/>
      <c r="AQ189"/>
      <c r="AR189"/>
      <c r="AS189"/>
      <c r="AT189" s="4" t="str">
        <f t="shared" si="20"/>
        <v>日常费用</v>
      </c>
      <c r="AU189" s="4" t="str">
        <f t="shared" si="15"/>
        <v>审计部</v>
      </c>
      <c r="AV189" s="4" t="str">
        <f t="shared" si="16"/>
        <v>日常费用</v>
      </c>
      <c r="AW189" s="4" t="str">
        <f>IFERROR(VLOOKUP(AV189,[1]字段!A:B,2,0),"")</f>
        <v>日常费用</v>
      </c>
      <c r="AX189" s="30" t="str">
        <f>IF(AW189="人力费用",IF(E189="","",VLOOKUP(E189,[1]字段!D:E,2,0)),AW189)</f>
        <v>日常费用</v>
      </c>
      <c r="AY189" s="30">
        <f>IF(AT189="","",VLOOKUP(AT189,[1]字段!H:I,2,0))</f>
        <v>0</v>
      </c>
      <c r="AZ189" s="31">
        <f t="shared" si="17"/>
        <v>0</v>
      </c>
      <c r="BA189" s="31">
        <f t="shared" si="18"/>
        <v>0</v>
      </c>
      <c r="BB189" s="31">
        <f t="shared" si="19"/>
        <v>0</v>
      </c>
      <c r="BC189" s="31">
        <f t="shared" si="21"/>
        <v>0</v>
      </c>
    </row>
    <row r="190" spans="1:55" ht="28.5" customHeight="1">
      <c r="A190" s="32"/>
      <c r="B190" s="32"/>
      <c r="C190" s="37"/>
      <c r="D190" s="38"/>
      <c r="E190" s="39" t="s">
        <v>91</v>
      </c>
      <c r="F190" s="39" t="s">
        <v>92</v>
      </c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  <c r="AB190" s="29"/>
      <c r="AC190" s="29"/>
      <c r="AD190" s="29"/>
      <c r="AE190" s="29"/>
      <c r="AJ190"/>
      <c r="AK190"/>
      <c r="AL190"/>
      <c r="AM190"/>
      <c r="AN190"/>
      <c r="AO190"/>
      <c r="AP190"/>
      <c r="AQ190"/>
      <c r="AR190"/>
      <c r="AS190"/>
      <c r="AT190" s="4" t="str">
        <f t="shared" si="20"/>
        <v>日常费用办公费用</v>
      </c>
      <c r="AU190" s="4" t="str">
        <f t="shared" si="15"/>
        <v>审计部</v>
      </c>
      <c r="AV190" s="4" t="str">
        <f t="shared" si="16"/>
        <v>日常费用</v>
      </c>
      <c r="AW190" s="4" t="str">
        <f>IFERROR(VLOOKUP(AV190,[1]字段!A:B,2,0),"")</f>
        <v>日常费用</v>
      </c>
      <c r="AX190" s="30" t="str">
        <f>IF(AW190="人力费用",IF(E190="","",VLOOKUP(E190,[1]字段!D:E,2,0)),AW190)</f>
        <v>日常费用</v>
      </c>
      <c r="AY190" s="30" t="str">
        <f>IF(AT190="","",VLOOKUP(AT190,[1]字段!H:I,2,0))</f>
        <v>日常费用-其他</v>
      </c>
      <c r="AZ190" s="31">
        <f t="shared" si="17"/>
        <v>0</v>
      </c>
      <c r="BA190" s="31">
        <f t="shared" si="18"/>
        <v>0</v>
      </c>
      <c r="BB190" s="31">
        <f t="shared" si="19"/>
        <v>0</v>
      </c>
      <c r="BC190" s="31">
        <f t="shared" si="21"/>
        <v>0</v>
      </c>
    </row>
    <row r="191" spans="1:55" ht="28.5" customHeight="1">
      <c r="A191" s="32"/>
      <c r="B191" s="32"/>
      <c r="C191" s="32"/>
      <c r="D191" s="40"/>
      <c r="E191" s="39" t="s">
        <v>95</v>
      </c>
      <c r="F191" s="39" t="s">
        <v>96</v>
      </c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  <c r="AB191" s="29"/>
      <c r="AC191" s="29"/>
      <c r="AD191" s="29"/>
      <c r="AE191" s="29"/>
      <c r="AJ191"/>
      <c r="AK191"/>
      <c r="AL191"/>
      <c r="AM191"/>
      <c r="AN191"/>
      <c r="AO191"/>
      <c r="AP191"/>
      <c r="AQ191"/>
      <c r="AR191"/>
      <c r="AS191"/>
      <c r="AT191" s="4" t="str">
        <f t="shared" si="20"/>
        <v>日常费用业务招待费</v>
      </c>
      <c r="AU191" s="4" t="str">
        <f t="shared" si="15"/>
        <v>审计部</v>
      </c>
      <c r="AV191" s="4" t="str">
        <f t="shared" si="16"/>
        <v>日常费用</v>
      </c>
      <c r="AW191" s="4" t="str">
        <f>IFERROR(VLOOKUP(AV191,[1]字段!A:B,2,0),"")</f>
        <v>日常费用</v>
      </c>
      <c r="AX191" s="30" t="str">
        <f>IF(AW191="人力费用",IF(E191="","",VLOOKUP(E191,[1]字段!D:E,2,0)),AW191)</f>
        <v>日常费用</v>
      </c>
      <c r="AY191" s="30" t="str">
        <f>IF(AT191="","",VLOOKUP(AT191,[1]字段!H:I,2,0))</f>
        <v>日常费用-其他</v>
      </c>
      <c r="AZ191" s="31">
        <f t="shared" si="17"/>
        <v>0</v>
      </c>
      <c r="BA191" s="31">
        <f t="shared" si="18"/>
        <v>0</v>
      </c>
      <c r="BB191" s="31">
        <f t="shared" si="19"/>
        <v>0</v>
      </c>
      <c r="BC191" s="31">
        <f t="shared" si="21"/>
        <v>0</v>
      </c>
    </row>
    <row r="192" spans="1:55" ht="28.5" customHeight="1">
      <c r="A192" s="41"/>
      <c r="B192" s="41"/>
      <c r="C192" s="41"/>
      <c r="D192" s="42"/>
      <c r="E192" s="39" t="s">
        <v>139</v>
      </c>
      <c r="F192" s="39" t="s">
        <v>140</v>
      </c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  <c r="AB192" s="29"/>
      <c r="AC192" s="29"/>
      <c r="AD192" s="29"/>
      <c r="AE192" s="29"/>
      <c r="AJ192"/>
      <c r="AK192"/>
      <c r="AL192"/>
      <c r="AM192"/>
      <c r="AN192"/>
      <c r="AO192"/>
      <c r="AP192"/>
      <c r="AQ192"/>
      <c r="AR192"/>
      <c r="AS192"/>
      <c r="AT192" s="4" t="str">
        <f t="shared" si="20"/>
        <v>日常费用差旅费</v>
      </c>
      <c r="AU192" s="4" t="str">
        <f t="shared" si="15"/>
        <v>审计部</v>
      </c>
      <c r="AV192" s="4" t="str">
        <f t="shared" si="16"/>
        <v>日常费用</v>
      </c>
      <c r="AW192" s="4" t="str">
        <f>IFERROR(VLOOKUP(AV192,[1]字段!A:B,2,0),"")</f>
        <v>日常费用</v>
      </c>
      <c r="AX192" s="30" t="str">
        <f>IF(AW192="人力费用",IF(E192="","",VLOOKUP(E192,[1]字段!D:E,2,0)),AW192)</f>
        <v>日常费用</v>
      </c>
      <c r="AY192" s="30" t="str">
        <f>IF(AT192="","",VLOOKUP(AT192,[1]字段!H:I,2,0))</f>
        <v>日常费用-其他</v>
      </c>
      <c r="AZ192" s="31">
        <f t="shared" si="17"/>
        <v>0</v>
      </c>
      <c r="BA192" s="31">
        <f t="shared" si="18"/>
        <v>0</v>
      </c>
      <c r="BB192" s="31">
        <f t="shared" si="19"/>
        <v>0</v>
      </c>
      <c r="BC192" s="31">
        <f t="shared" si="21"/>
        <v>0</v>
      </c>
    </row>
    <row r="193" spans="1:55" ht="28.5" customHeight="1">
      <c r="A193" s="25"/>
      <c r="B193" s="26" t="s">
        <v>155</v>
      </c>
      <c r="C193" s="27"/>
      <c r="D193" s="27"/>
      <c r="E193" s="27"/>
      <c r="F193" s="28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  <c r="AA193" s="29"/>
      <c r="AB193" s="29"/>
      <c r="AC193" s="29"/>
      <c r="AD193" s="29"/>
      <c r="AE193" s="29"/>
      <c r="AJ193"/>
      <c r="AK193"/>
      <c r="AL193"/>
      <c r="AM193"/>
      <c r="AN193"/>
      <c r="AO193"/>
      <c r="AP193"/>
      <c r="AQ193"/>
      <c r="AR193"/>
      <c r="AS193"/>
      <c r="AT193" s="4" t="str">
        <f t="shared" si="20"/>
        <v/>
      </c>
      <c r="AU193" s="4" t="str">
        <f t="shared" si="15"/>
        <v>行长室</v>
      </c>
      <c r="AV193" s="4" t="str">
        <f t="shared" si="16"/>
        <v/>
      </c>
      <c r="AW193" s="4" t="str">
        <f>IFERROR(VLOOKUP(AV193,[1]字段!A:B,2,0),"")</f>
        <v/>
      </c>
      <c r="AX193" s="30" t="str">
        <f>IF(AW193="人力费用",IF(E193="","",VLOOKUP(E193,[1]字段!D:E,2,0)),AW193)</f>
        <v/>
      </c>
      <c r="AY193" s="30" t="str">
        <f>IF(AT193="","",VLOOKUP(AT193,[1]字段!H:I,2,0))</f>
        <v/>
      </c>
      <c r="AZ193" s="31">
        <f t="shared" si="17"/>
        <v>0</v>
      </c>
      <c r="BA193" s="31">
        <f t="shared" si="18"/>
        <v>0</v>
      </c>
      <c r="BB193" s="31">
        <f t="shared" si="19"/>
        <v>0</v>
      </c>
      <c r="BC193" s="31">
        <f t="shared" si="21"/>
        <v>0</v>
      </c>
    </row>
    <row r="194" spans="1:55" ht="28.5" customHeight="1">
      <c r="A194" s="32"/>
      <c r="B194" s="32"/>
      <c r="C194" s="33" t="s">
        <v>39</v>
      </c>
      <c r="D194" s="34" t="s">
        <v>40</v>
      </c>
      <c r="E194" s="35"/>
      <c r="F194" s="36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  <c r="AB194" s="29"/>
      <c r="AC194" s="29"/>
      <c r="AD194" s="29"/>
      <c r="AE194" s="29"/>
      <c r="AJ194"/>
      <c r="AK194"/>
      <c r="AL194"/>
      <c r="AM194"/>
      <c r="AN194"/>
      <c r="AO194"/>
      <c r="AP194"/>
      <c r="AQ194"/>
      <c r="AR194"/>
      <c r="AS194"/>
      <c r="AT194" s="4" t="str">
        <f t="shared" si="20"/>
        <v/>
      </c>
      <c r="AU194" s="4" t="str">
        <f t="shared" si="15"/>
        <v>行长室</v>
      </c>
      <c r="AV194" s="4" t="str">
        <f t="shared" si="16"/>
        <v>人力费用</v>
      </c>
      <c r="AW194" s="4" t="str">
        <f>IFERROR(VLOOKUP(AV194,[1]字段!A:B,2,0),"")</f>
        <v>人力费用</v>
      </c>
      <c r="AX194" s="30" t="str">
        <f>IF(AW194="人力费用",IF(E194="","",VLOOKUP(E194,[1]字段!D:E,2,0)),AW194)</f>
        <v/>
      </c>
      <c r="AY194" s="30" t="str">
        <f>IF(AT194="","",VLOOKUP(AT194,[1]字段!H:I,2,0))</f>
        <v/>
      </c>
      <c r="AZ194" s="31">
        <f t="shared" si="17"/>
        <v>0</v>
      </c>
      <c r="BA194" s="31">
        <f t="shared" si="18"/>
        <v>0</v>
      </c>
      <c r="BB194" s="31">
        <f t="shared" si="19"/>
        <v>0</v>
      </c>
      <c r="BC194" s="31">
        <f t="shared" si="21"/>
        <v>0</v>
      </c>
    </row>
    <row r="195" spans="1:55" ht="28.5" customHeight="1">
      <c r="A195" s="32"/>
      <c r="B195" s="32"/>
      <c r="C195" s="37"/>
      <c r="D195" s="38"/>
      <c r="E195" s="39" t="s">
        <v>41</v>
      </c>
      <c r="F195" s="39" t="s">
        <v>42</v>
      </c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  <c r="AB195" s="29"/>
      <c r="AC195" s="29"/>
      <c r="AD195" s="29"/>
      <c r="AE195" s="29"/>
      <c r="AJ195"/>
      <c r="AK195"/>
      <c r="AL195"/>
      <c r="AM195"/>
      <c r="AN195"/>
      <c r="AO195"/>
      <c r="AP195"/>
      <c r="AQ195"/>
      <c r="AR195"/>
      <c r="AS195"/>
      <c r="AT195" s="4" t="str">
        <f t="shared" si="20"/>
        <v>1.0倍人力基础工资</v>
      </c>
      <c r="AU195" s="4" t="str">
        <f t="shared" si="15"/>
        <v>行长室</v>
      </c>
      <c r="AV195" s="4" t="str">
        <f t="shared" si="16"/>
        <v>人力费用</v>
      </c>
      <c r="AW195" s="4" t="str">
        <f>IFERROR(VLOOKUP(AV195,[1]字段!A:B,2,0),"")</f>
        <v>人力费用</v>
      </c>
      <c r="AX195" s="30" t="str">
        <f>IF(AW195="人力费用",IF(E195="","",VLOOKUP(E195,[1]字段!D:E,2,0)),AW195)</f>
        <v>1.0倍人力</v>
      </c>
      <c r="AY195" s="30" t="str">
        <f>IF(AT195="","",VLOOKUP(AT195,[1]字段!H:I,2,0))</f>
        <v>1.0倍人力</v>
      </c>
      <c r="AZ195" s="31">
        <f t="shared" si="17"/>
        <v>0</v>
      </c>
      <c r="BA195" s="31">
        <f t="shared" si="18"/>
        <v>0</v>
      </c>
      <c r="BB195" s="31">
        <f t="shared" si="19"/>
        <v>0</v>
      </c>
      <c r="BC195" s="31">
        <f t="shared" si="21"/>
        <v>0</v>
      </c>
    </row>
    <row r="196" spans="1:55" ht="28.5" customHeight="1">
      <c r="A196" s="32"/>
      <c r="B196" s="32"/>
      <c r="C196" s="32"/>
      <c r="D196" s="40"/>
      <c r="E196" s="39">
        <v>5501010602</v>
      </c>
      <c r="F196" s="3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  <c r="AB196" s="29"/>
      <c r="AC196" s="29"/>
      <c r="AD196" s="29"/>
      <c r="AE196" s="29"/>
      <c r="AJ196"/>
      <c r="AK196"/>
      <c r="AL196"/>
      <c r="AM196"/>
      <c r="AN196"/>
      <c r="AO196"/>
      <c r="AP196"/>
      <c r="AQ196"/>
      <c r="AR196"/>
      <c r="AS196"/>
      <c r="AT196" s="4" t="str">
        <f t="shared" si="20"/>
        <v>利润分享</v>
      </c>
      <c r="AU196" s="4" t="str">
        <f t="shared" si="15"/>
        <v>行长室</v>
      </c>
      <c r="AV196" s="4" t="str">
        <f t="shared" si="16"/>
        <v>人力费用</v>
      </c>
      <c r="AW196" s="4" t="str">
        <f>IFERROR(VLOOKUP(AV196,[1]字段!A:B,2,0),"")</f>
        <v>人力费用</v>
      </c>
      <c r="AX196" s="30" t="str">
        <f>IF(AW196="人力费用",IF(E196="","",VLOOKUP(E196,[1]字段!D:E,2,0)),AW196)</f>
        <v>利润分享</v>
      </c>
      <c r="AY196" s="30" t="str">
        <f>IF(AT196="","",VLOOKUP(AT196,[1]字段!H:I,2,0))</f>
        <v>利润分享</v>
      </c>
      <c r="AZ196" s="31">
        <f t="shared" si="17"/>
        <v>0</v>
      </c>
      <c r="BA196" s="31">
        <f t="shared" si="18"/>
        <v>0</v>
      </c>
      <c r="BB196" s="31">
        <f t="shared" si="19"/>
        <v>0</v>
      </c>
      <c r="BC196" s="31">
        <f t="shared" si="21"/>
        <v>0</v>
      </c>
    </row>
    <row r="197" spans="1:55" ht="28.5" customHeight="1">
      <c r="A197" s="32"/>
      <c r="B197" s="32"/>
      <c r="C197" s="32"/>
      <c r="D197" s="40"/>
      <c r="E197" s="39">
        <v>5501010603</v>
      </c>
      <c r="F197" s="3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  <c r="AB197" s="29"/>
      <c r="AC197" s="29"/>
      <c r="AD197" s="29"/>
      <c r="AE197" s="29"/>
      <c r="AJ197"/>
      <c r="AK197"/>
      <c r="AL197"/>
      <c r="AM197"/>
      <c r="AN197"/>
      <c r="AO197"/>
      <c r="AP197"/>
      <c r="AQ197"/>
      <c r="AR197"/>
      <c r="AS197"/>
      <c r="AT197" s="4" t="str">
        <f t="shared" si="20"/>
        <v>留任奖励</v>
      </c>
      <c r="AU197" s="4" t="str">
        <f t="shared" ref="AU197:AU260" si="22">IF(B197="",AU196,B197)</f>
        <v>行长室</v>
      </c>
      <c r="AV197" s="4" t="str">
        <f t="shared" ref="AV197:AV260" si="23">IF(B197&lt;&gt;"","",IF(D197="",AV196,D197))</f>
        <v>人力费用</v>
      </c>
      <c r="AW197" s="4" t="str">
        <f>IFERROR(VLOOKUP(AV197,[1]字段!A:B,2,0),"")</f>
        <v>人力费用</v>
      </c>
      <c r="AX197" s="30" t="str">
        <f>IF(AW197="人力费用",IF(E197="","",VLOOKUP(E197,[1]字段!D:E,2,0)),AW197)</f>
        <v>留任奖励</v>
      </c>
      <c r="AY197" s="30" t="str">
        <f>IF(AT197="","",VLOOKUP(AT197,[1]字段!H:I,2,0))</f>
        <v>留任奖励</v>
      </c>
      <c r="AZ197" s="31">
        <f t="shared" ref="AZ197:AZ260" si="24">IF($E197="",0,SUMIF($G$1:$AB$1,AZ$4,$G197:$AB197))</f>
        <v>0</v>
      </c>
      <c r="BA197" s="31">
        <f t="shared" ref="BA197:BA260" si="25">IF($E197="",0,SUMIF($G$1:$AE$1,BA$4,$G197:$AE197))</f>
        <v>0</v>
      </c>
      <c r="BB197" s="31">
        <f t="shared" ref="BB197:BB260" si="26">AZ197+BA197</f>
        <v>0</v>
      </c>
      <c r="BC197" s="31">
        <f t="shared" si="21"/>
        <v>0</v>
      </c>
    </row>
    <row r="198" spans="1:55" ht="28.5" customHeight="1">
      <c r="A198" s="32"/>
      <c r="B198" s="32"/>
      <c r="C198" s="32"/>
      <c r="D198" s="40"/>
      <c r="E198" s="39">
        <v>5501010604</v>
      </c>
      <c r="F198" s="3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  <c r="AB198" s="29"/>
      <c r="AC198" s="29"/>
      <c r="AD198" s="29"/>
      <c r="AE198" s="29"/>
      <c r="AJ198"/>
      <c r="AK198"/>
      <c r="AL198"/>
      <c r="AM198"/>
      <c r="AN198"/>
      <c r="AO198"/>
      <c r="AP198"/>
      <c r="AQ198"/>
      <c r="AR198"/>
      <c r="AS198"/>
      <c r="AT198" s="4" t="str">
        <f t="shared" ref="AT198:AT261" si="27">AX198&amp;F198</f>
        <v>1.0倍人力</v>
      </c>
      <c r="AU198" s="4" t="str">
        <f t="shared" si="22"/>
        <v>行长室</v>
      </c>
      <c r="AV198" s="4" t="str">
        <f t="shared" si="23"/>
        <v>人力费用</v>
      </c>
      <c r="AW198" s="4" t="str">
        <f>IFERROR(VLOOKUP(AV198,[1]字段!A:B,2,0),"")</f>
        <v>人力费用</v>
      </c>
      <c r="AX198" s="30" t="str">
        <f>IF(AW198="人力费用",IF(E198="","",VLOOKUP(E198,[1]字段!D:E,2,0)),AW198)</f>
        <v>1.0倍人力</v>
      </c>
      <c r="AY198" s="30" t="str">
        <f>IF(AT198="","",VLOOKUP(AT198,[1]字段!H:I,2,0))</f>
        <v>1.0倍人力</v>
      </c>
      <c r="AZ198" s="31">
        <f t="shared" si="24"/>
        <v>0</v>
      </c>
      <c r="BA198" s="31">
        <f t="shared" si="25"/>
        <v>0</v>
      </c>
      <c r="BB198" s="31">
        <f t="shared" si="26"/>
        <v>0</v>
      </c>
      <c r="BC198" s="31">
        <f t="shared" ref="BC198:BC261" si="28">IF(E198="",0,SUM(G198:AE198)-AZ198-BA198)</f>
        <v>0</v>
      </c>
    </row>
    <row r="199" spans="1:55" ht="28.5" customHeight="1">
      <c r="A199" s="32"/>
      <c r="B199" s="32"/>
      <c r="C199" s="32"/>
      <c r="D199" s="40"/>
      <c r="E199" s="39" t="s">
        <v>43</v>
      </c>
      <c r="F199" s="39" t="s">
        <v>44</v>
      </c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  <c r="AB199" s="29"/>
      <c r="AC199" s="29"/>
      <c r="AD199" s="29"/>
      <c r="AE199" s="29"/>
      <c r="AJ199"/>
      <c r="AK199"/>
      <c r="AL199"/>
      <c r="AM199"/>
      <c r="AN199"/>
      <c r="AO199"/>
      <c r="AP199"/>
      <c r="AQ199"/>
      <c r="AR199"/>
      <c r="AS199"/>
      <c r="AT199" s="4" t="str">
        <f t="shared" si="27"/>
        <v>1.0倍人力团队建设费</v>
      </c>
      <c r="AU199" s="4" t="str">
        <f t="shared" si="22"/>
        <v>行长室</v>
      </c>
      <c r="AV199" s="4" t="str">
        <f t="shared" si="23"/>
        <v>人力费用</v>
      </c>
      <c r="AW199" s="4" t="str">
        <f>IFERROR(VLOOKUP(AV199,[1]字段!A:B,2,0),"")</f>
        <v>人力费用</v>
      </c>
      <c r="AX199" s="30" t="str">
        <f>IF(AW199="人力费用",IF(E199="","",VLOOKUP(E199,[1]字段!D:E,2,0)),AW199)</f>
        <v>1.0倍人力</v>
      </c>
      <c r="AY199" s="30" t="str">
        <f>IF(AT199="","",VLOOKUP(AT199,[1]字段!H:I,2,0))</f>
        <v>1.0倍人力</v>
      </c>
      <c r="AZ199" s="31">
        <f t="shared" si="24"/>
        <v>0</v>
      </c>
      <c r="BA199" s="31">
        <f t="shared" si="25"/>
        <v>0</v>
      </c>
      <c r="BB199" s="31">
        <f t="shared" si="26"/>
        <v>0</v>
      </c>
      <c r="BC199" s="31">
        <f t="shared" si="28"/>
        <v>0</v>
      </c>
    </row>
    <row r="200" spans="1:55" ht="28.5" customHeight="1">
      <c r="A200" s="32"/>
      <c r="B200" s="32"/>
      <c r="C200" s="32"/>
      <c r="D200" s="40"/>
      <c r="E200" s="39" t="s">
        <v>45</v>
      </c>
      <c r="F200" s="39" t="s">
        <v>46</v>
      </c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  <c r="AB200" s="29"/>
      <c r="AC200" s="29"/>
      <c r="AD200" s="29"/>
      <c r="AE200" s="29"/>
      <c r="AJ200"/>
      <c r="AK200"/>
      <c r="AL200"/>
      <c r="AM200"/>
      <c r="AN200"/>
      <c r="AO200"/>
      <c r="AP200"/>
      <c r="AQ200"/>
      <c r="AR200"/>
      <c r="AS200"/>
      <c r="AT200" s="4" t="str">
        <f t="shared" si="27"/>
        <v>1.0倍人力其他职工福利费</v>
      </c>
      <c r="AU200" s="4" t="str">
        <f t="shared" si="22"/>
        <v>行长室</v>
      </c>
      <c r="AV200" s="4" t="str">
        <f t="shared" si="23"/>
        <v>人力费用</v>
      </c>
      <c r="AW200" s="4" t="str">
        <f>IFERROR(VLOOKUP(AV200,[1]字段!A:B,2,0),"")</f>
        <v>人力费用</v>
      </c>
      <c r="AX200" s="30" t="str">
        <f>IF(AW200="人力费用",IF(E200="","",VLOOKUP(E200,[1]字段!D:E,2,0)),AW200)</f>
        <v>1.0倍人力</v>
      </c>
      <c r="AY200" s="30" t="str">
        <f>IF(AT200="","",VLOOKUP(AT200,[1]字段!H:I,2,0))</f>
        <v>1.0倍人力</v>
      </c>
      <c r="AZ200" s="31">
        <f t="shared" si="24"/>
        <v>0</v>
      </c>
      <c r="BA200" s="31">
        <f t="shared" si="25"/>
        <v>0</v>
      </c>
      <c r="BB200" s="31">
        <f t="shared" si="26"/>
        <v>0</v>
      </c>
      <c r="BC200" s="31">
        <f t="shared" si="28"/>
        <v>0</v>
      </c>
    </row>
    <row r="201" spans="1:55" ht="28.5" customHeight="1">
      <c r="A201" s="32"/>
      <c r="B201" s="32"/>
      <c r="C201" s="32"/>
      <c r="D201" s="40"/>
      <c r="E201" s="39" t="s">
        <v>47</v>
      </c>
      <c r="F201" s="39" t="s">
        <v>48</v>
      </c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  <c r="AB201" s="29"/>
      <c r="AC201" s="29"/>
      <c r="AD201" s="29"/>
      <c r="AE201" s="29"/>
      <c r="AJ201"/>
      <c r="AK201"/>
      <c r="AL201"/>
      <c r="AM201"/>
      <c r="AN201"/>
      <c r="AO201"/>
      <c r="AP201"/>
      <c r="AQ201"/>
      <c r="AR201"/>
      <c r="AS201"/>
      <c r="AT201" s="4" t="str">
        <f t="shared" si="27"/>
        <v>1.0倍人力工会经费</v>
      </c>
      <c r="AU201" s="4" t="str">
        <f t="shared" si="22"/>
        <v>行长室</v>
      </c>
      <c r="AV201" s="4" t="str">
        <f t="shared" si="23"/>
        <v>人力费用</v>
      </c>
      <c r="AW201" s="4" t="str">
        <f>IFERROR(VLOOKUP(AV201,[1]字段!A:B,2,0),"")</f>
        <v>人力费用</v>
      </c>
      <c r="AX201" s="30" t="str">
        <f>IF(AW201="人力费用",IF(E201="","",VLOOKUP(E201,[1]字段!D:E,2,0)),AW201)</f>
        <v>1.0倍人力</v>
      </c>
      <c r="AY201" s="30" t="str">
        <f>IF(AT201="","",VLOOKUP(AT201,[1]字段!H:I,2,0))</f>
        <v>1.0倍人力</v>
      </c>
      <c r="AZ201" s="31">
        <f t="shared" si="24"/>
        <v>0</v>
      </c>
      <c r="BA201" s="31">
        <f t="shared" si="25"/>
        <v>0</v>
      </c>
      <c r="BB201" s="31">
        <f t="shared" si="26"/>
        <v>0</v>
      </c>
      <c r="BC201" s="31">
        <f t="shared" si="28"/>
        <v>0</v>
      </c>
    </row>
    <row r="202" spans="1:55" ht="28.5" customHeight="1">
      <c r="A202" s="32"/>
      <c r="B202" s="32"/>
      <c r="C202" s="32"/>
      <c r="D202" s="40"/>
      <c r="E202" s="39" t="s">
        <v>98</v>
      </c>
      <c r="F202" s="39" t="s">
        <v>99</v>
      </c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  <c r="AB202" s="29"/>
      <c r="AC202" s="29"/>
      <c r="AD202" s="29"/>
      <c r="AE202" s="29"/>
      <c r="AJ202"/>
      <c r="AK202"/>
      <c r="AL202"/>
      <c r="AM202"/>
      <c r="AN202"/>
      <c r="AO202"/>
      <c r="AP202"/>
      <c r="AQ202"/>
      <c r="AR202"/>
      <c r="AS202"/>
      <c r="AT202" s="4" t="str">
        <f t="shared" si="27"/>
        <v>1.0倍人力职工教育经费</v>
      </c>
      <c r="AU202" s="4" t="str">
        <f t="shared" si="22"/>
        <v>行长室</v>
      </c>
      <c r="AV202" s="4" t="str">
        <f t="shared" si="23"/>
        <v>人力费用</v>
      </c>
      <c r="AW202" s="4" t="str">
        <f>IFERROR(VLOOKUP(AV202,[1]字段!A:B,2,0),"")</f>
        <v>人力费用</v>
      </c>
      <c r="AX202" s="30" t="str">
        <f>IF(AW202="人力费用",IF(E202="","",VLOOKUP(E202,[1]字段!D:E,2,0)),AW202)</f>
        <v>1.0倍人力</v>
      </c>
      <c r="AY202" s="30" t="str">
        <f>IF(AT202="","",VLOOKUP(AT202,[1]字段!H:I,2,0))</f>
        <v>1.0倍人力</v>
      </c>
      <c r="AZ202" s="31">
        <f t="shared" si="24"/>
        <v>0</v>
      </c>
      <c r="BA202" s="31">
        <f t="shared" si="25"/>
        <v>0</v>
      </c>
      <c r="BB202" s="31">
        <f t="shared" si="26"/>
        <v>0</v>
      </c>
      <c r="BC202" s="31">
        <f t="shared" si="28"/>
        <v>0</v>
      </c>
    </row>
    <row r="203" spans="1:55" ht="28.5" customHeight="1">
      <c r="A203" s="32"/>
      <c r="B203" s="32"/>
      <c r="C203" s="32"/>
      <c r="D203" s="40"/>
      <c r="E203" s="39" t="s">
        <v>49</v>
      </c>
      <c r="F203" s="39" t="s">
        <v>50</v>
      </c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  <c r="AA203" s="29"/>
      <c r="AB203" s="29"/>
      <c r="AC203" s="29"/>
      <c r="AD203" s="29"/>
      <c r="AE203" s="29"/>
      <c r="AJ203"/>
      <c r="AK203"/>
      <c r="AL203"/>
      <c r="AM203"/>
      <c r="AN203"/>
      <c r="AO203"/>
      <c r="AP203"/>
      <c r="AQ203"/>
      <c r="AR203"/>
      <c r="AS203"/>
      <c r="AT203" s="4" t="str">
        <f t="shared" si="27"/>
        <v>1.0倍人力基本养老保险</v>
      </c>
      <c r="AU203" s="4" t="str">
        <f t="shared" si="22"/>
        <v>行长室</v>
      </c>
      <c r="AV203" s="4" t="str">
        <f t="shared" si="23"/>
        <v>人力费用</v>
      </c>
      <c r="AW203" s="4" t="str">
        <f>IFERROR(VLOOKUP(AV203,[1]字段!A:B,2,0),"")</f>
        <v>人力费用</v>
      </c>
      <c r="AX203" s="30" t="str">
        <f>IF(AW203="人力费用",IF(E203="","",VLOOKUP(E203,[1]字段!D:E,2,0)),AW203)</f>
        <v>1.0倍人力</v>
      </c>
      <c r="AY203" s="30" t="str">
        <f>IF(AT203="","",VLOOKUP(AT203,[1]字段!H:I,2,0))</f>
        <v>1.0倍人力</v>
      </c>
      <c r="AZ203" s="31">
        <f t="shared" si="24"/>
        <v>0</v>
      </c>
      <c r="BA203" s="31">
        <f t="shared" si="25"/>
        <v>0</v>
      </c>
      <c r="BB203" s="31">
        <f t="shared" si="26"/>
        <v>0</v>
      </c>
      <c r="BC203" s="31">
        <f t="shared" si="28"/>
        <v>0</v>
      </c>
    </row>
    <row r="204" spans="1:55" ht="28.5" customHeight="1">
      <c r="A204" s="32"/>
      <c r="B204" s="32"/>
      <c r="C204" s="32"/>
      <c r="D204" s="40"/>
      <c r="E204" s="39" t="s">
        <v>51</v>
      </c>
      <c r="F204" s="39" t="s">
        <v>52</v>
      </c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  <c r="AA204" s="29"/>
      <c r="AB204" s="29"/>
      <c r="AC204" s="29"/>
      <c r="AD204" s="29"/>
      <c r="AE204" s="29"/>
      <c r="AJ204"/>
      <c r="AK204"/>
      <c r="AL204"/>
      <c r="AM204"/>
      <c r="AN204"/>
      <c r="AO204"/>
      <c r="AP204"/>
      <c r="AQ204"/>
      <c r="AR204"/>
      <c r="AS204"/>
      <c r="AT204" s="4" t="str">
        <f t="shared" si="27"/>
        <v>1.0倍人力基本医疗保险</v>
      </c>
      <c r="AU204" s="4" t="str">
        <f t="shared" si="22"/>
        <v>行长室</v>
      </c>
      <c r="AV204" s="4" t="str">
        <f t="shared" si="23"/>
        <v>人力费用</v>
      </c>
      <c r="AW204" s="4" t="str">
        <f>IFERROR(VLOOKUP(AV204,[1]字段!A:B,2,0),"")</f>
        <v>人力费用</v>
      </c>
      <c r="AX204" s="30" t="str">
        <f>IF(AW204="人力费用",IF(E204="","",VLOOKUP(E204,[1]字段!D:E,2,0)),AW204)</f>
        <v>1.0倍人力</v>
      </c>
      <c r="AY204" s="30" t="str">
        <f>IF(AT204="","",VLOOKUP(AT204,[1]字段!H:I,2,0))</f>
        <v>1.0倍人力</v>
      </c>
      <c r="AZ204" s="31">
        <f t="shared" si="24"/>
        <v>0</v>
      </c>
      <c r="BA204" s="31">
        <f t="shared" si="25"/>
        <v>0</v>
      </c>
      <c r="BB204" s="31">
        <f t="shared" si="26"/>
        <v>0</v>
      </c>
      <c r="BC204" s="31">
        <f t="shared" si="28"/>
        <v>0</v>
      </c>
    </row>
    <row r="205" spans="1:55" ht="28.5" customHeight="1">
      <c r="A205" s="32"/>
      <c r="B205" s="32"/>
      <c r="C205" s="32"/>
      <c r="D205" s="40"/>
      <c r="E205" s="39" t="s">
        <v>53</v>
      </c>
      <c r="F205" s="39" t="s">
        <v>54</v>
      </c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  <c r="AA205" s="29"/>
      <c r="AB205" s="29"/>
      <c r="AC205" s="29"/>
      <c r="AD205" s="29"/>
      <c r="AE205" s="29"/>
      <c r="AJ205"/>
      <c r="AK205"/>
      <c r="AL205"/>
      <c r="AM205"/>
      <c r="AN205"/>
      <c r="AO205"/>
      <c r="AP205"/>
      <c r="AQ205"/>
      <c r="AR205"/>
      <c r="AS205"/>
      <c r="AT205" s="4" t="str">
        <f t="shared" si="27"/>
        <v>1.0倍人力工伤保险</v>
      </c>
      <c r="AU205" s="4" t="str">
        <f t="shared" si="22"/>
        <v>行长室</v>
      </c>
      <c r="AV205" s="4" t="str">
        <f t="shared" si="23"/>
        <v>人力费用</v>
      </c>
      <c r="AW205" s="4" t="str">
        <f>IFERROR(VLOOKUP(AV205,[1]字段!A:B,2,0),"")</f>
        <v>人力费用</v>
      </c>
      <c r="AX205" s="30" t="str">
        <f>IF(AW205="人力费用",IF(E205="","",VLOOKUP(E205,[1]字段!D:E,2,0)),AW205)</f>
        <v>1.0倍人力</v>
      </c>
      <c r="AY205" s="30" t="str">
        <f>IF(AT205="","",VLOOKUP(AT205,[1]字段!H:I,2,0))</f>
        <v>1.0倍人力</v>
      </c>
      <c r="AZ205" s="31">
        <f t="shared" si="24"/>
        <v>0</v>
      </c>
      <c r="BA205" s="31">
        <f t="shared" si="25"/>
        <v>0</v>
      </c>
      <c r="BB205" s="31">
        <f t="shared" si="26"/>
        <v>0</v>
      </c>
      <c r="BC205" s="31">
        <f t="shared" si="28"/>
        <v>0</v>
      </c>
    </row>
    <row r="206" spans="1:55" ht="28.5" customHeight="1">
      <c r="A206" s="32"/>
      <c r="B206" s="32"/>
      <c r="C206" s="32"/>
      <c r="D206" s="40"/>
      <c r="E206" s="39" t="s">
        <v>55</v>
      </c>
      <c r="F206" s="39" t="s">
        <v>56</v>
      </c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  <c r="AB206" s="29"/>
      <c r="AC206" s="29"/>
      <c r="AD206" s="29"/>
      <c r="AE206" s="29"/>
      <c r="AJ206"/>
      <c r="AK206"/>
      <c r="AL206"/>
      <c r="AM206"/>
      <c r="AN206"/>
      <c r="AO206"/>
      <c r="AP206"/>
      <c r="AQ206"/>
      <c r="AR206"/>
      <c r="AS206"/>
      <c r="AT206" s="4" t="str">
        <f t="shared" si="27"/>
        <v>1.0倍人力生育保险</v>
      </c>
      <c r="AU206" s="4" t="str">
        <f t="shared" si="22"/>
        <v>行长室</v>
      </c>
      <c r="AV206" s="4" t="str">
        <f t="shared" si="23"/>
        <v>人力费用</v>
      </c>
      <c r="AW206" s="4" t="str">
        <f>IFERROR(VLOOKUP(AV206,[1]字段!A:B,2,0),"")</f>
        <v>人力费用</v>
      </c>
      <c r="AX206" s="30" t="str">
        <f>IF(AW206="人力费用",IF(E206="","",VLOOKUP(E206,[1]字段!D:E,2,0)),AW206)</f>
        <v>1.0倍人力</v>
      </c>
      <c r="AY206" s="30" t="str">
        <f>IF(AT206="","",VLOOKUP(AT206,[1]字段!H:I,2,0))</f>
        <v>1.0倍人力</v>
      </c>
      <c r="AZ206" s="31">
        <f t="shared" si="24"/>
        <v>0</v>
      </c>
      <c r="BA206" s="31">
        <f t="shared" si="25"/>
        <v>0</v>
      </c>
      <c r="BB206" s="31">
        <f t="shared" si="26"/>
        <v>0</v>
      </c>
      <c r="BC206" s="31">
        <f t="shared" si="28"/>
        <v>0</v>
      </c>
    </row>
    <row r="207" spans="1:55" ht="28.5" customHeight="1">
      <c r="A207" s="32"/>
      <c r="B207" s="32"/>
      <c r="C207" s="32"/>
      <c r="D207" s="40"/>
      <c r="E207" s="39" t="s">
        <v>57</v>
      </c>
      <c r="F207" s="39" t="s">
        <v>58</v>
      </c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  <c r="AA207" s="29"/>
      <c r="AB207" s="29"/>
      <c r="AC207" s="29"/>
      <c r="AD207" s="29"/>
      <c r="AE207" s="29"/>
      <c r="AJ207"/>
      <c r="AK207"/>
      <c r="AL207"/>
      <c r="AM207"/>
      <c r="AN207"/>
      <c r="AO207"/>
      <c r="AP207"/>
      <c r="AQ207"/>
      <c r="AR207"/>
      <c r="AS207"/>
      <c r="AT207" s="4" t="str">
        <f t="shared" si="27"/>
        <v>1.0倍人力失业保险</v>
      </c>
      <c r="AU207" s="4" t="str">
        <f t="shared" si="22"/>
        <v>行长室</v>
      </c>
      <c r="AV207" s="4" t="str">
        <f t="shared" si="23"/>
        <v>人力费用</v>
      </c>
      <c r="AW207" s="4" t="str">
        <f>IFERROR(VLOOKUP(AV207,[1]字段!A:B,2,0),"")</f>
        <v>人力费用</v>
      </c>
      <c r="AX207" s="30" t="str">
        <f>IF(AW207="人力费用",IF(E207="","",VLOOKUP(E207,[1]字段!D:E,2,0)),AW207)</f>
        <v>1.0倍人力</v>
      </c>
      <c r="AY207" s="30" t="str">
        <f>IF(AT207="","",VLOOKUP(AT207,[1]字段!H:I,2,0))</f>
        <v>1.0倍人力</v>
      </c>
      <c r="AZ207" s="31">
        <f t="shared" si="24"/>
        <v>0</v>
      </c>
      <c r="BA207" s="31">
        <f t="shared" si="25"/>
        <v>0</v>
      </c>
      <c r="BB207" s="31">
        <f t="shared" si="26"/>
        <v>0</v>
      </c>
      <c r="BC207" s="31">
        <f t="shared" si="28"/>
        <v>0</v>
      </c>
    </row>
    <row r="208" spans="1:55" ht="28.5" customHeight="1">
      <c r="A208" s="32"/>
      <c r="B208" s="32"/>
      <c r="C208" s="41"/>
      <c r="D208" s="42"/>
      <c r="E208" s="39" t="s">
        <v>59</v>
      </c>
      <c r="F208" s="39" t="s">
        <v>60</v>
      </c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  <c r="AA208" s="29"/>
      <c r="AB208" s="29"/>
      <c r="AC208" s="29"/>
      <c r="AD208" s="29"/>
      <c r="AE208" s="29"/>
      <c r="AJ208"/>
      <c r="AK208"/>
      <c r="AL208"/>
      <c r="AM208"/>
      <c r="AN208"/>
      <c r="AO208"/>
      <c r="AP208"/>
      <c r="AQ208"/>
      <c r="AR208"/>
      <c r="AS208"/>
      <c r="AT208" s="4" t="str">
        <f t="shared" si="27"/>
        <v>1.0倍人力住房公积金</v>
      </c>
      <c r="AU208" s="4" t="str">
        <f t="shared" si="22"/>
        <v>行长室</v>
      </c>
      <c r="AV208" s="4" t="str">
        <f t="shared" si="23"/>
        <v>人力费用</v>
      </c>
      <c r="AW208" s="4" t="str">
        <f>IFERROR(VLOOKUP(AV208,[1]字段!A:B,2,0),"")</f>
        <v>人力费用</v>
      </c>
      <c r="AX208" s="30" t="str">
        <f>IF(AW208="人力费用",IF(E208="","",VLOOKUP(E208,[1]字段!D:E,2,0)),AW208)</f>
        <v>1.0倍人力</v>
      </c>
      <c r="AY208" s="30" t="str">
        <f>IF(AT208="","",VLOOKUP(AT208,[1]字段!H:I,2,0))</f>
        <v>1.0倍人力</v>
      </c>
      <c r="AZ208" s="31">
        <f t="shared" si="24"/>
        <v>0</v>
      </c>
      <c r="BA208" s="31">
        <f t="shared" si="25"/>
        <v>0</v>
      </c>
      <c r="BB208" s="31">
        <f t="shared" si="26"/>
        <v>0</v>
      </c>
      <c r="BC208" s="31">
        <f t="shared" si="28"/>
        <v>0</v>
      </c>
    </row>
    <row r="209" spans="1:55" ht="28.5" customHeight="1">
      <c r="C209" s="33" t="s">
        <v>93</v>
      </c>
      <c r="D209" s="34" t="s">
        <v>94</v>
      </c>
      <c r="E209" s="35"/>
      <c r="F209" s="36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  <c r="AA209" s="29"/>
      <c r="AB209" s="29"/>
      <c r="AC209" s="29"/>
      <c r="AD209" s="29"/>
      <c r="AE209" s="29"/>
      <c r="AJ209"/>
      <c r="AK209"/>
      <c r="AL209"/>
      <c r="AM209"/>
      <c r="AN209"/>
      <c r="AO209"/>
      <c r="AP209"/>
      <c r="AQ209"/>
      <c r="AR209"/>
      <c r="AS209"/>
      <c r="AT209" s="4" t="str">
        <f t="shared" si="27"/>
        <v>日常费用</v>
      </c>
      <c r="AU209" s="4" t="str">
        <f t="shared" si="22"/>
        <v>行长室</v>
      </c>
      <c r="AV209" s="4" t="str">
        <f t="shared" si="23"/>
        <v>日常费用</v>
      </c>
      <c r="AW209" s="4" t="str">
        <f>IFERROR(VLOOKUP(AV209,[1]字段!A:B,2,0),"")</f>
        <v>日常费用</v>
      </c>
      <c r="AX209" s="30" t="str">
        <f>IF(AW209="人力费用",IF(E209="","",VLOOKUP(E209,[1]字段!D:E,2,0)),AW209)</f>
        <v>日常费用</v>
      </c>
      <c r="AY209" s="30">
        <f>IF(AT209="","",VLOOKUP(AT209,[1]字段!H:I,2,0))</f>
        <v>0</v>
      </c>
      <c r="AZ209" s="31">
        <f t="shared" si="24"/>
        <v>0</v>
      </c>
      <c r="BA209" s="31">
        <f t="shared" si="25"/>
        <v>0</v>
      </c>
      <c r="BB209" s="31">
        <f t="shared" si="26"/>
        <v>0</v>
      </c>
      <c r="BC209" s="31">
        <f t="shared" si="28"/>
        <v>0</v>
      </c>
    </row>
    <row r="210" spans="1:55" ht="28.5" customHeight="1">
      <c r="A210" s="32"/>
      <c r="B210" s="32"/>
      <c r="C210" s="37"/>
      <c r="D210" s="38"/>
      <c r="E210" s="39" t="s">
        <v>95</v>
      </c>
      <c r="F210" s="39" t="s">
        <v>96</v>
      </c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  <c r="AA210" s="29"/>
      <c r="AB210" s="29"/>
      <c r="AC210" s="29"/>
      <c r="AD210" s="29"/>
      <c r="AE210" s="29"/>
      <c r="AJ210"/>
      <c r="AK210"/>
      <c r="AL210"/>
      <c r="AM210"/>
      <c r="AN210"/>
      <c r="AO210"/>
      <c r="AP210"/>
      <c r="AQ210"/>
      <c r="AR210"/>
      <c r="AS210"/>
      <c r="AT210" s="4" t="str">
        <f t="shared" si="27"/>
        <v>日常费用业务招待费</v>
      </c>
      <c r="AU210" s="4" t="str">
        <f t="shared" si="22"/>
        <v>行长室</v>
      </c>
      <c r="AV210" s="4" t="str">
        <f t="shared" si="23"/>
        <v>日常费用</v>
      </c>
      <c r="AW210" s="4" t="str">
        <f>IFERROR(VLOOKUP(AV210,[1]字段!A:B,2,0),"")</f>
        <v>日常费用</v>
      </c>
      <c r="AX210" s="30" t="str">
        <f>IF(AW210="人力费用",IF(E210="","",VLOOKUP(E210,[1]字段!D:E,2,0)),AW210)</f>
        <v>日常费用</v>
      </c>
      <c r="AY210" s="30" t="str">
        <f>IF(AT210="","",VLOOKUP(AT210,[1]字段!H:I,2,0))</f>
        <v>日常费用-其他</v>
      </c>
      <c r="AZ210" s="31">
        <f t="shared" si="24"/>
        <v>0</v>
      </c>
      <c r="BA210" s="31">
        <f t="shared" si="25"/>
        <v>0</v>
      </c>
      <c r="BB210" s="31">
        <f t="shared" si="26"/>
        <v>0</v>
      </c>
      <c r="BC210" s="31">
        <f t="shared" si="28"/>
        <v>0</v>
      </c>
    </row>
    <row r="211" spans="1:55" ht="28.5" customHeight="1">
      <c r="A211" s="41"/>
      <c r="B211" s="41"/>
      <c r="C211" s="41"/>
      <c r="D211" s="42"/>
      <c r="E211" s="39" t="s">
        <v>139</v>
      </c>
      <c r="F211" s="39" t="s">
        <v>140</v>
      </c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  <c r="AA211" s="29"/>
      <c r="AB211" s="29"/>
      <c r="AC211" s="29"/>
      <c r="AD211" s="29"/>
      <c r="AE211" s="29"/>
      <c r="AJ211"/>
      <c r="AK211"/>
      <c r="AL211"/>
      <c r="AM211"/>
      <c r="AN211"/>
      <c r="AO211"/>
      <c r="AP211"/>
      <c r="AQ211"/>
      <c r="AR211"/>
      <c r="AS211"/>
      <c r="AT211" s="4" t="str">
        <f t="shared" si="27"/>
        <v>日常费用差旅费</v>
      </c>
      <c r="AU211" s="4" t="str">
        <f t="shared" si="22"/>
        <v>行长室</v>
      </c>
      <c r="AV211" s="4" t="str">
        <f t="shared" si="23"/>
        <v>日常费用</v>
      </c>
      <c r="AW211" s="4" t="str">
        <f>IFERROR(VLOOKUP(AV211,[1]字段!A:B,2,0),"")</f>
        <v>日常费用</v>
      </c>
      <c r="AX211" s="30" t="str">
        <f>IF(AW211="人力费用",IF(E211="","",VLOOKUP(E211,[1]字段!D:E,2,0)),AW211)</f>
        <v>日常费用</v>
      </c>
      <c r="AY211" s="30" t="str">
        <f>IF(AT211="","",VLOOKUP(AT211,[1]字段!H:I,2,0))</f>
        <v>日常费用-其他</v>
      </c>
      <c r="AZ211" s="31">
        <f t="shared" si="24"/>
        <v>0</v>
      </c>
      <c r="BA211" s="31">
        <f t="shared" si="25"/>
        <v>0</v>
      </c>
      <c r="BB211" s="31">
        <f t="shared" si="26"/>
        <v>0</v>
      </c>
      <c r="BC211" s="31">
        <f t="shared" si="28"/>
        <v>0</v>
      </c>
    </row>
    <row r="212" spans="1:55" ht="28.5" customHeight="1">
      <c r="A212" s="25"/>
      <c r="B212" s="26" t="s">
        <v>156</v>
      </c>
      <c r="C212" s="27"/>
      <c r="D212" s="27"/>
      <c r="E212" s="27"/>
      <c r="F212" s="28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  <c r="AA212" s="29"/>
      <c r="AB212" s="29"/>
      <c r="AC212" s="29"/>
      <c r="AD212" s="29"/>
      <c r="AE212" s="29"/>
      <c r="AJ212"/>
      <c r="AK212"/>
      <c r="AL212"/>
      <c r="AM212"/>
      <c r="AN212"/>
      <c r="AO212"/>
      <c r="AP212"/>
      <c r="AQ212"/>
      <c r="AR212"/>
      <c r="AS212"/>
      <c r="AT212" s="4" t="str">
        <f t="shared" si="27"/>
        <v/>
      </c>
      <c r="AU212" s="4" t="str">
        <f t="shared" si="22"/>
        <v>财务会计部</v>
      </c>
      <c r="AV212" s="4" t="str">
        <f t="shared" si="23"/>
        <v/>
      </c>
      <c r="AW212" s="4" t="str">
        <f>IFERROR(VLOOKUP(AV212,[1]字段!A:B,2,0),"")</f>
        <v/>
      </c>
      <c r="AX212" s="30" t="str">
        <f>IF(AW212="人力费用",IF(E212="","",VLOOKUP(E212,[1]字段!D:E,2,0)),AW212)</f>
        <v/>
      </c>
      <c r="AY212" s="30" t="str">
        <f>IF(AT212="","",VLOOKUP(AT212,[1]字段!H:I,2,0))</f>
        <v/>
      </c>
      <c r="AZ212" s="31">
        <f t="shared" si="24"/>
        <v>0</v>
      </c>
      <c r="BA212" s="31">
        <f t="shared" si="25"/>
        <v>0</v>
      </c>
      <c r="BB212" s="31">
        <f t="shared" si="26"/>
        <v>0</v>
      </c>
      <c r="BC212" s="31">
        <f t="shared" si="28"/>
        <v>0</v>
      </c>
    </row>
    <row r="213" spans="1:55" ht="28.5" customHeight="1">
      <c r="A213" s="32"/>
      <c r="B213" s="32"/>
      <c r="C213" s="33" t="s">
        <v>39</v>
      </c>
      <c r="D213" s="34" t="s">
        <v>40</v>
      </c>
      <c r="E213" s="35"/>
      <c r="F213" s="36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  <c r="AA213" s="29"/>
      <c r="AB213" s="29"/>
      <c r="AC213" s="29"/>
      <c r="AD213" s="29"/>
      <c r="AE213" s="29"/>
      <c r="AJ213"/>
      <c r="AK213"/>
      <c r="AL213"/>
      <c r="AM213"/>
      <c r="AN213"/>
      <c r="AO213"/>
      <c r="AP213"/>
      <c r="AQ213"/>
      <c r="AR213"/>
      <c r="AS213"/>
      <c r="AT213" s="4" t="str">
        <f t="shared" si="27"/>
        <v/>
      </c>
      <c r="AU213" s="4" t="str">
        <f t="shared" si="22"/>
        <v>财务会计部</v>
      </c>
      <c r="AV213" s="4" t="str">
        <f t="shared" si="23"/>
        <v>人力费用</v>
      </c>
      <c r="AW213" s="4" t="str">
        <f>IFERROR(VLOOKUP(AV213,[1]字段!A:B,2,0),"")</f>
        <v>人力费用</v>
      </c>
      <c r="AX213" s="30" t="str">
        <f>IF(AW213="人力费用",IF(E213="","",VLOOKUP(E213,[1]字段!D:E,2,0)),AW213)</f>
        <v/>
      </c>
      <c r="AY213" s="30" t="str">
        <f>IF(AT213="","",VLOOKUP(AT213,[1]字段!H:I,2,0))</f>
        <v/>
      </c>
      <c r="AZ213" s="31">
        <f t="shared" si="24"/>
        <v>0</v>
      </c>
      <c r="BA213" s="31">
        <f t="shared" si="25"/>
        <v>0</v>
      </c>
      <c r="BB213" s="31">
        <f t="shared" si="26"/>
        <v>0</v>
      </c>
      <c r="BC213" s="31">
        <f t="shared" si="28"/>
        <v>0</v>
      </c>
    </row>
    <row r="214" spans="1:55" ht="28.5" customHeight="1">
      <c r="A214" s="32"/>
      <c r="B214" s="32"/>
      <c r="C214" s="37"/>
      <c r="D214" s="38"/>
      <c r="E214" s="39" t="s">
        <v>41</v>
      </c>
      <c r="F214" s="39" t="s">
        <v>42</v>
      </c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  <c r="AA214" s="29"/>
      <c r="AB214" s="29"/>
      <c r="AC214" s="29"/>
      <c r="AD214" s="29"/>
      <c r="AE214" s="29"/>
      <c r="AJ214"/>
      <c r="AK214"/>
      <c r="AL214"/>
      <c r="AM214"/>
      <c r="AN214"/>
      <c r="AO214"/>
      <c r="AP214"/>
      <c r="AQ214"/>
      <c r="AR214"/>
      <c r="AS214"/>
      <c r="AT214" s="4" t="str">
        <f t="shared" si="27"/>
        <v>1.0倍人力基础工资</v>
      </c>
      <c r="AU214" s="4" t="str">
        <f t="shared" si="22"/>
        <v>财务会计部</v>
      </c>
      <c r="AV214" s="4" t="str">
        <f t="shared" si="23"/>
        <v>人力费用</v>
      </c>
      <c r="AW214" s="4" t="str">
        <f>IFERROR(VLOOKUP(AV214,[1]字段!A:B,2,0),"")</f>
        <v>人力费用</v>
      </c>
      <c r="AX214" s="30" t="str">
        <f>IF(AW214="人力费用",IF(E214="","",VLOOKUP(E214,[1]字段!D:E,2,0)),AW214)</f>
        <v>1.0倍人力</v>
      </c>
      <c r="AY214" s="30" t="str">
        <f>IF(AT214="","",VLOOKUP(AT214,[1]字段!H:I,2,0))</f>
        <v>1.0倍人力</v>
      </c>
      <c r="AZ214" s="31">
        <f t="shared" si="24"/>
        <v>0</v>
      </c>
      <c r="BA214" s="31">
        <f t="shared" si="25"/>
        <v>0</v>
      </c>
      <c r="BB214" s="31">
        <f t="shared" si="26"/>
        <v>0</v>
      </c>
      <c r="BC214" s="31">
        <f t="shared" si="28"/>
        <v>0</v>
      </c>
    </row>
    <row r="215" spans="1:55" ht="28.5" customHeight="1">
      <c r="A215" s="32"/>
      <c r="B215" s="32"/>
      <c r="C215" s="32"/>
      <c r="D215" s="40"/>
      <c r="E215" s="39">
        <v>5501010602</v>
      </c>
      <c r="F215" s="3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  <c r="AA215" s="29"/>
      <c r="AB215" s="29"/>
      <c r="AC215" s="29"/>
      <c r="AD215" s="29"/>
      <c r="AE215" s="29"/>
      <c r="AJ215"/>
      <c r="AK215"/>
      <c r="AL215"/>
      <c r="AM215"/>
      <c r="AN215"/>
      <c r="AO215"/>
      <c r="AP215"/>
      <c r="AQ215"/>
      <c r="AR215"/>
      <c r="AS215"/>
      <c r="AT215" s="4" t="str">
        <f t="shared" si="27"/>
        <v>利润分享</v>
      </c>
      <c r="AU215" s="4" t="str">
        <f t="shared" si="22"/>
        <v>财务会计部</v>
      </c>
      <c r="AV215" s="4" t="str">
        <f t="shared" si="23"/>
        <v>人力费用</v>
      </c>
      <c r="AW215" s="4" t="str">
        <f>IFERROR(VLOOKUP(AV215,[1]字段!A:B,2,0),"")</f>
        <v>人力费用</v>
      </c>
      <c r="AX215" s="30" t="str">
        <f>IF(AW215="人力费用",IF(E215="","",VLOOKUP(E215,[1]字段!D:E,2,0)),AW215)</f>
        <v>利润分享</v>
      </c>
      <c r="AY215" s="30" t="str">
        <f>IF(AT215="","",VLOOKUP(AT215,[1]字段!H:I,2,0))</f>
        <v>利润分享</v>
      </c>
      <c r="AZ215" s="31">
        <f t="shared" si="24"/>
        <v>0</v>
      </c>
      <c r="BA215" s="31">
        <f t="shared" si="25"/>
        <v>0</v>
      </c>
      <c r="BB215" s="31">
        <f t="shared" si="26"/>
        <v>0</v>
      </c>
      <c r="BC215" s="31">
        <f t="shared" si="28"/>
        <v>0</v>
      </c>
    </row>
    <row r="216" spans="1:55" ht="28.5" customHeight="1">
      <c r="A216" s="32"/>
      <c r="B216" s="32"/>
      <c r="C216" s="32"/>
      <c r="D216" s="40"/>
      <c r="E216" s="39">
        <v>5501010603</v>
      </c>
      <c r="F216" s="3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  <c r="AA216" s="29"/>
      <c r="AB216" s="29"/>
      <c r="AC216" s="29"/>
      <c r="AD216" s="29"/>
      <c r="AE216" s="29"/>
      <c r="AJ216"/>
      <c r="AK216"/>
      <c r="AL216"/>
      <c r="AM216"/>
      <c r="AN216"/>
      <c r="AO216"/>
      <c r="AP216"/>
      <c r="AQ216"/>
      <c r="AR216"/>
      <c r="AS216"/>
      <c r="AT216" s="4" t="str">
        <f t="shared" si="27"/>
        <v>留任奖励</v>
      </c>
      <c r="AU216" s="4" t="str">
        <f t="shared" si="22"/>
        <v>财务会计部</v>
      </c>
      <c r="AV216" s="4" t="str">
        <f t="shared" si="23"/>
        <v>人力费用</v>
      </c>
      <c r="AW216" s="4" t="str">
        <f>IFERROR(VLOOKUP(AV216,[1]字段!A:B,2,0),"")</f>
        <v>人力费用</v>
      </c>
      <c r="AX216" s="30" t="str">
        <f>IF(AW216="人力费用",IF(E216="","",VLOOKUP(E216,[1]字段!D:E,2,0)),AW216)</f>
        <v>留任奖励</v>
      </c>
      <c r="AY216" s="30" t="str">
        <f>IF(AT216="","",VLOOKUP(AT216,[1]字段!H:I,2,0))</f>
        <v>留任奖励</v>
      </c>
      <c r="AZ216" s="31">
        <f t="shared" si="24"/>
        <v>0</v>
      </c>
      <c r="BA216" s="31">
        <f t="shared" si="25"/>
        <v>0</v>
      </c>
      <c r="BB216" s="31">
        <f t="shared" si="26"/>
        <v>0</v>
      </c>
      <c r="BC216" s="31">
        <f t="shared" si="28"/>
        <v>0</v>
      </c>
    </row>
    <row r="217" spans="1:55" ht="28.5" customHeight="1">
      <c r="A217" s="32"/>
      <c r="B217" s="32"/>
      <c r="C217" s="32"/>
      <c r="D217" s="40"/>
      <c r="E217" s="39">
        <v>5501010604</v>
      </c>
      <c r="F217" s="3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  <c r="AA217" s="29"/>
      <c r="AB217" s="29"/>
      <c r="AC217" s="29"/>
      <c r="AD217" s="29"/>
      <c r="AE217" s="29"/>
      <c r="AJ217"/>
      <c r="AK217"/>
      <c r="AL217"/>
      <c r="AM217"/>
      <c r="AN217"/>
      <c r="AO217"/>
      <c r="AP217"/>
      <c r="AQ217"/>
      <c r="AR217"/>
      <c r="AS217"/>
      <c r="AT217" s="4" t="str">
        <f t="shared" si="27"/>
        <v>1.0倍人力</v>
      </c>
      <c r="AU217" s="4" t="str">
        <f t="shared" si="22"/>
        <v>财务会计部</v>
      </c>
      <c r="AV217" s="4" t="str">
        <f t="shared" si="23"/>
        <v>人力费用</v>
      </c>
      <c r="AW217" s="4" t="str">
        <f>IFERROR(VLOOKUP(AV217,[1]字段!A:B,2,0),"")</f>
        <v>人力费用</v>
      </c>
      <c r="AX217" s="30" t="str">
        <f>IF(AW217="人力费用",IF(E217="","",VLOOKUP(E217,[1]字段!D:E,2,0)),AW217)</f>
        <v>1.0倍人力</v>
      </c>
      <c r="AY217" s="30" t="str">
        <f>IF(AT217="","",VLOOKUP(AT217,[1]字段!H:I,2,0))</f>
        <v>1.0倍人力</v>
      </c>
      <c r="AZ217" s="31">
        <f t="shared" si="24"/>
        <v>0</v>
      </c>
      <c r="BA217" s="31">
        <f t="shared" si="25"/>
        <v>0</v>
      </c>
      <c r="BB217" s="31">
        <f t="shared" si="26"/>
        <v>0</v>
      </c>
      <c r="BC217" s="31">
        <f t="shared" si="28"/>
        <v>0</v>
      </c>
    </row>
    <row r="218" spans="1:55" ht="28.5" customHeight="1">
      <c r="A218" s="32"/>
      <c r="B218" s="32"/>
      <c r="C218" s="32"/>
      <c r="D218" s="40"/>
      <c r="E218" s="39" t="s">
        <v>43</v>
      </c>
      <c r="F218" s="39" t="s">
        <v>44</v>
      </c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  <c r="AA218" s="29"/>
      <c r="AB218" s="29"/>
      <c r="AC218" s="29"/>
      <c r="AD218" s="29"/>
      <c r="AE218" s="29"/>
      <c r="AJ218"/>
      <c r="AK218"/>
      <c r="AL218"/>
      <c r="AM218"/>
      <c r="AN218"/>
      <c r="AO218"/>
      <c r="AP218"/>
      <c r="AQ218"/>
      <c r="AR218"/>
      <c r="AS218"/>
      <c r="AT218" s="4" t="str">
        <f t="shared" si="27"/>
        <v>1.0倍人力团队建设费</v>
      </c>
      <c r="AU218" s="4" t="str">
        <f t="shared" si="22"/>
        <v>财务会计部</v>
      </c>
      <c r="AV218" s="4" t="str">
        <f t="shared" si="23"/>
        <v>人力费用</v>
      </c>
      <c r="AW218" s="4" t="str">
        <f>IFERROR(VLOOKUP(AV218,[1]字段!A:B,2,0),"")</f>
        <v>人力费用</v>
      </c>
      <c r="AX218" s="30" t="str">
        <f>IF(AW218="人力费用",IF(E218="","",VLOOKUP(E218,[1]字段!D:E,2,0)),AW218)</f>
        <v>1.0倍人力</v>
      </c>
      <c r="AY218" s="30" t="str">
        <f>IF(AT218="","",VLOOKUP(AT218,[1]字段!H:I,2,0))</f>
        <v>1.0倍人力</v>
      </c>
      <c r="AZ218" s="31">
        <f t="shared" si="24"/>
        <v>0</v>
      </c>
      <c r="BA218" s="31">
        <f t="shared" si="25"/>
        <v>0</v>
      </c>
      <c r="BB218" s="31">
        <f t="shared" si="26"/>
        <v>0</v>
      </c>
      <c r="BC218" s="31">
        <f t="shared" si="28"/>
        <v>0</v>
      </c>
    </row>
    <row r="219" spans="1:55" ht="28.5" customHeight="1">
      <c r="A219" s="32"/>
      <c r="B219" s="32"/>
      <c r="C219" s="32"/>
      <c r="D219" s="40"/>
      <c r="E219" s="39" t="s">
        <v>45</v>
      </c>
      <c r="F219" s="39" t="s">
        <v>46</v>
      </c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  <c r="AA219" s="29"/>
      <c r="AB219" s="29"/>
      <c r="AC219" s="29"/>
      <c r="AD219" s="29"/>
      <c r="AE219" s="29"/>
      <c r="AJ219"/>
      <c r="AK219"/>
      <c r="AL219"/>
      <c r="AM219"/>
      <c r="AN219"/>
      <c r="AO219"/>
      <c r="AP219"/>
      <c r="AQ219"/>
      <c r="AR219"/>
      <c r="AS219"/>
      <c r="AT219" s="4" t="str">
        <f t="shared" si="27"/>
        <v>1.0倍人力其他职工福利费</v>
      </c>
      <c r="AU219" s="4" t="str">
        <f t="shared" si="22"/>
        <v>财务会计部</v>
      </c>
      <c r="AV219" s="4" t="str">
        <f t="shared" si="23"/>
        <v>人力费用</v>
      </c>
      <c r="AW219" s="4" t="str">
        <f>IFERROR(VLOOKUP(AV219,[1]字段!A:B,2,0),"")</f>
        <v>人力费用</v>
      </c>
      <c r="AX219" s="30" t="str">
        <f>IF(AW219="人力费用",IF(E219="","",VLOOKUP(E219,[1]字段!D:E,2,0)),AW219)</f>
        <v>1.0倍人力</v>
      </c>
      <c r="AY219" s="30" t="str">
        <f>IF(AT219="","",VLOOKUP(AT219,[1]字段!H:I,2,0))</f>
        <v>1.0倍人力</v>
      </c>
      <c r="AZ219" s="31">
        <f t="shared" si="24"/>
        <v>0</v>
      </c>
      <c r="BA219" s="31">
        <f t="shared" si="25"/>
        <v>0</v>
      </c>
      <c r="BB219" s="31">
        <f t="shared" si="26"/>
        <v>0</v>
      </c>
      <c r="BC219" s="31">
        <f t="shared" si="28"/>
        <v>0</v>
      </c>
    </row>
    <row r="220" spans="1:55" ht="28.5" customHeight="1">
      <c r="A220" s="32"/>
      <c r="B220" s="32"/>
      <c r="C220" s="32"/>
      <c r="D220" s="40"/>
      <c r="E220" s="39" t="s">
        <v>47</v>
      </c>
      <c r="F220" s="39" t="s">
        <v>48</v>
      </c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  <c r="AA220" s="29"/>
      <c r="AB220" s="29"/>
      <c r="AC220" s="29"/>
      <c r="AD220" s="29"/>
      <c r="AE220" s="29"/>
      <c r="AJ220"/>
      <c r="AK220"/>
      <c r="AL220"/>
      <c r="AM220"/>
      <c r="AN220"/>
      <c r="AO220"/>
      <c r="AP220"/>
      <c r="AQ220"/>
      <c r="AR220"/>
      <c r="AS220"/>
      <c r="AT220" s="4" t="str">
        <f t="shared" si="27"/>
        <v>1.0倍人力工会经费</v>
      </c>
      <c r="AU220" s="4" t="str">
        <f t="shared" si="22"/>
        <v>财务会计部</v>
      </c>
      <c r="AV220" s="4" t="str">
        <f t="shared" si="23"/>
        <v>人力费用</v>
      </c>
      <c r="AW220" s="4" t="str">
        <f>IFERROR(VLOOKUP(AV220,[1]字段!A:B,2,0),"")</f>
        <v>人力费用</v>
      </c>
      <c r="AX220" s="30" t="str">
        <f>IF(AW220="人力费用",IF(E220="","",VLOOKUP(E220,[1]字段!D:E,2,0)),AW220)</f>
        <v>1.0倍人力</v>
      </c>
      <c r="AY220" s="30" t="str">
        <f>IF(AT220="","",VLOOKUP(AT220,[1]字段!H:I,2,0))</f>
        <v>1.0倍人力</v>
      </c>
      <c r="AZ220" s="31">
        <f t="shared" si="24"/>
        <v>0</v>
      </c>
      <c r="BA220" s="31">
        <f t="shared" si="25"/>
        <v>0</v>
      </c>
      <c r="BB220" s="31">
        <f t="shared" si="26"/>
        <v>0</v>
      </c>
      <c r="BC220" s="31">
        <f t="shared" si="28"/>
        <v>0</v>
      </c>
    </row>
    <row r="221" spans="1:55" ht="28.5" customHeight="1">
      <c r="A221" s="32"/>
      <c r="B221" s="32"/>
      <c r="C221" s="32"/>
      <c r="D221" s="40"/>
      <c r="E221" s="39" t="s">
        <v>49</v>
      </c>
      <c r="F221" s="39" t="s">
        <v>50</v>
      </c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  <c r="AA221" s="29"/>
      <c r="AB221" s="29"/>
      <c r="AC221" s="29"/>
      <c r="AD221" s="29"/>
      <c r="AE221" s="29"/>
      <c r="AJ221"/>
      <c r="AK221"/>
      <c r="AL221"/>
      <c r="AM221"/>
      <c r="AN221"/>
      <c r="AO221"/>
      <c r="AP221"/>
      <c r="AQ221"/>
      <c r="AR221"/>
      <c r="AS221"/>
      <c r="AT221" s="4" t="str">
        <f t="shared" si="27"/>
        <v>1.0倍人力基本养老保险</v>
      </c>
      <c r="AU221" s="4" t="str">
        <f t="shared" si="22"/>
        <v>财务会计部</v>
      </c>
      <c r="AV221" s="4" t="str">
        <f t="shared" si="23"/>
        <v>人力费用</v>
      </c>
      <c r="AW221" s="4" t="str">
        <f>IFERROR(VLOOKUP(AV221,[1]字段!A:B,2,0),"")</f>
        <v>人力费用</v>
      </c>
      <c r="AX221" s="30" t="str">
        <f>IF(AW221="人力费用",IF(E221="","",VLOOKUP(E221,[1]字段!D:E,2,0)),AW221)</f>
        <v>1.0倍人力</v>
      </c>
      <c r="AY221" s="30" t="str">
        <f>IF(AT221="","",VLOOKUP(AT221,[1]字段!H:I,2,0))</f>
        <v>1.0倍人力</v>
      </c>
      <c r="AZ221" s="31">
        <f t="shared" si="24"/>
        <v>0</v>
      </c>
      <c r="BA221" s="31">
        <f t="shared" si="25"/>
        <v>0</v>
      </c>
      <c r="BB221" s="31">
        <f t="shared" si="26"/>
        <v>0</v>
      </c>
      <c r="BC221" s="31">
        <f t="shared" si="28"/>
        <v>0</v>
      </c>
    </row>
    <row r="222" spans="1:55" ht="28.5" customHeight="1">
      <c r="A222" s="32"/>
      <c r="B222" s="32"/>
      <c r="C222" s="32"/>
      <c r="D222" s="40"/>
      <c r="E222" s="39" t="s">
        <v>51</v>
      </c>
      <c r="F222" s="39" t="s">
        <v>52</v>
      </c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  <c r="AA222" s="29"/>
      <c r="AB222" s="29"/>
      <c r="AC222" s="29"/>
      <c r="AD222" s="29"/>
      <c r="AE222" s="29"/>
      <c r="AJ222"/>
      <c r="AK222"/>
      <c r="AL222"/>
      <c r="AM222"/>
      <c r="AN222"/>
      <c r="AO222"/>
      <c r="AP222"/>
      <c r="AQ222"/>
      <c r="AR222"/>
      <c r="AS222"/>
      <c r="AT222" s="4" t="str">
        <f t="shared" si="27"/>
        <v>1.0倍人力基本医疗保险</v>
      </c>
      <c r="AU222" s="4" t="str">
        <f t="shared" si="22"/>
        <v>财务会计部</v>
      </c>
      <c r="AV222" s="4" t="str">
        <f t="shared" si="23"/>
        <v>人力费用</v>
      </c>
      <c r="AW222" s="4" t="str">
        <f>IFERROR(VLOOKUP(AV222,[1]字段!A:B,2,0),"")</f>
        <v>人力费用</v>
      </c>
      <c r="AX222" s="30" t="str">
        <f>IF(AW222="人力费用",IF(E222="","",VLOOKUP(E222,[1]字段!D:E,2,0)),AW222)</f>
        <v>1.0倍人力</v>
      </c>
      <c r="AY222" s="30" t="str">
        <f>IF(AT222="","",VLOOKUP(AT222,[1]字段!H:I,2,0))</f>
        <v>1.0倍人力</v>
      </c>
      <c r="AZ222" s="31">
        <f t="shared" si="24"/>
        <v>0</v>
      </c>
      <c r="BA222" s="31">
        <f t="shared" si="25"/>
        <v>0</v>
      </c>
      <c r="BB222" s="31">
        <f t="shared" si="26"/>
        <v>0</v>
      </c>
      <c r="BC222" s="31">
        <f t="shared" si="28"/>
        <v>0</v>
      </c>
    </row>
    <row r="223" spans="1:55" ht="28.5" customHeight="1">
      <c r="A223" s="32"/>
      <c r="B223" s="32"/>
      <c r="C223" s="32"/>
      <c r="D223" s="40"/>
      <c r="E223" s="39" t="s">
        <v>53</v>
      </c>
      <c r="F223" s="39" t="s">
        <v>54</v>
      </c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  <c r="AA223" s="29"/>
      <c r="AB223" s="29"/>
      <c r="AC223" s="29"/>
      <c r="AD223" s="29"/>
      <c r="AE223" s="29"/>
      <c r="AJ223"/>
      <c r="AK223"/>
      <c r="AL223"/>
      <c r="AM223"/>
      <c r="AN223"/>
      <c r="AO223"/>
      <c r="AP223"/>
      <c r="AQ223"/>
      <c r="AR223"/>
      <c r="AS223"/>
      <c r="AT223" s="4" t="str">
        <f t="shared" si="27"/>
        <v>1.0倍人力工伤保险</v>
      </c>
      <c r="AU223" s="4" t="str">
        <f t="shared" si="22"/>
        <v>财务会计部</v>
      </c>
      <c r="AV223" s="4" t="str">
        <f t="shared" si="23"/>
        <v>人力费用</v>
      </c>
      <c r="AW223" s="4" t="str">
        <f>IFERROR(VLOOKUP(AV223,[1]字段!A:B,2,0),"")</f>
        <v>人力费用</v>
      </c>
      <c r="AX223" s="30" t="str">
        <f>IF(AW223="人力费用",IF(E223="","",VLOOKUP(E223,[1]字段!D:E,2,0)),AW223)</f>
        <v>1.0倍人力</v>
      </c>
      <c r="AY223" s="30" t="str">
        <f>IF(AT223="","",VLOOKUP(AT223,[1]字段!H:I,2,0))</f>
        <v>1.0倍人力</v>
      </c>
      <c r="AZ223" s="31">
        <f t="shared" si="24"/>
        <v>0</v>
      </c>
      <c r="BA223" s="31">
        <f t="shared" si="25"/>
        <v>0</v>
      </c>
      <c r="BB223" s="31">
        <f t="shared" si="26"/>
        <v>0</v>
      </c>
      <c r="BC223" s="31">
        <f t="shared" si="28"/>
        <v>0</v>
      </c>
    </row>
    <row r="224" spans="1:55" ht="28.5" customHeight="1">
      <c r="A224" s="32"/>
      <c r="B224" s="32"/>
      <c r="C224" s="32"/>
      <c r="D224" s="40"/>
      <c r="E224" s="39" t="s">
        <v>55</v>
      </c>
      <c r="F224" s="39" t="s">
        <v>56</v>
      </c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  <c r="AA224" s="29"/>
      <c r="AB224" s="29"/>
      <c r="AC224" s="29"/>
      <c r="AD224" s="29"/>
      <c r="AE224" s="29"/>
      <c r="AJ224"/>
      <c r="AK224"/>
      <c r="AL224"/>
      <c r="AM224"/>
      <c r="AN224"/>
      <c r="AO224"/>
      <c r="AP224"/>
      <c r="AQ224"/>
      <c r="AR224"/>
      <c r="AS224"/>
      <c r="AT224" s="4" t="str">
        <f t="shared" si="27"/>
        <v>1.0倍人力生育保险</v>
      </c>
      <c r="AU224" s="4" t="str">
        <f t="shared" si="22"/>
        <v>财务会计部</v>
      </c>
      <c r="AV224" s="4" t="str">
        <f t="shared" si="23"/>
        <v>人力费用</v>
      </c>
      <c r="AW224" s="4" t="str">
        <f>IFERROR(VLOOKUP(AV224,[1]字段!A:B,2,0),"")</f>
        <v>人力费用</v>
      </c>
      <c r="AX224" s="30" t="str">
        <f>IF(AW224="人力费用",IF(E224="","",VLOOKUP(E224,[1]字段!D:E,2,0)),AW224)</f>
        <v>1.0倍人力</v>
      </c>
      <c r="AY224" s="30" t="str">
        <f>IF(AT224="","",VLOOKUP(AT224,[1]字段!H:I,2,0))</f>
        <v>1.0倍人力</v>
      </c>
      <c r="AZ224" s="31">
        <f t="shared" si="24"/>
        <v>0</v>
      </c>
      <c r="BA224" s="31">
        <f t="shared" si="25"/>
        <v>0</v>
      </c>
      <c r="BB224" s="31">
        <f t="shared" si="26"/>
        <v>0</v>
      </c>
      <c r="BC224" s="31">
        <f t="shared" si="28"/>
        <v>0</v>
      </c>
    </row>
    <row r="225" spans="1:55" ht="28.5" customHeight="1">
      <c r="A225" s="32"/>
      <c r="B225" s="32"/>
      <c r="C225" s="32"/>
      <c r="D225" s="40"/>
      <c r="E225" s="39" t="s">
        <v>57</v>
      </c>
      <c r="F225" s="39" t="s">
        <v>58</v>
      </c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  <c r="AA225" s="29"/>
      <c r="AB225" s="29"/>
      <c r="AC225" s="29"/>
      <c r="AD225" s="29"/>
      <c r="AE225" s="29"/>
      <c r="AJ225"/>
      <c r="AK225"/>
      <c r="AL225"/>
      <c r="AM225"/>
      <c r="AN225"/>
      <c r="AO225"/>
      <c r="AP225"/>
      <c r="AQ225"/>
      <c r="AR225"/>
      <c r="AS225"/>
      <c r="AT225" s="4" t="str">
        <f t="shared" si="27"/>
        <v>1.0倍人力失业保险</v>
      </c>
      <c r="AU225" s="4" t="str">
        <f t="shared" si="22"/>
        <v>财务会计部</v>
      </c>
      <c r="AV225" s="4" t="str">
        <f t="shared" si="23"/>
        <v>人力费用</v>
      </c>
      <c r="AW225" s="4" t="str">
        <f>IFERROR(VLOOKUP(AV225,[1]字段!A:B,2,0),"")</f>
        <v>人力费用</v>
      </c>
      <c r="AX225" s="30" t="str">
        <f>IF(AW225="人力费用",IF(E225="","",VLOOKUP(E225,[1]字段!D:E,2,0)),AW225)</f>
        <v>1.0倍人力</v>
      </c>
      <c r="AY225" s="30" t="str">
        <f>IF(AT225="","",VLOOKUP(AT225,[1]字段!H:I,2,0))</f>
        <v>1.0倍人力</v>
      </c>
      <c r="AZ225" s="31">
        <f t="shared" si="24"/>
        <v>0</v>
      </c>
      <c r="BA225" s="31">
        <f t="shared" si="25"/>
        <v>0</v>
      </c>
      <c r="BB225" s="31">
        <f t="shared" si="26"/>
        <v>0</v>
      </c>
      <c r="BC225" s="31">
        <f t="shared" si="28"/>
        <v>0</v>
      </c>
    </row>
    <row r="226" spans="1:55" ht="28.5" customHeight="1">
      <c r="A226" s="32"/>
      <c r="B226" s="32"/>
      <c r="C226" s="41"/>
      <c r="D226" s="42"/>
      <c r="E226" s="39" t="s">
        <v>59</v>
      </c>
      <c r="F226" s="39" t="s">
        <v>60</v>
      </c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  <c r="AA226" s="29"/>
      <c r="AB226" s="29"/>
      <c r="AC226" s="29"/>
      <c r="AD226" s="29"/>
      <c r="AE226" s="29"/>
      <c r="AJ226"/>
      <c r="AK226"/>
      <c r="AL226"/>
      <c r="AM226"/>
      <c r="AN226"/>
      <c r="AO226"/>
      <c r="AP226"/>
      <c r="AQ226"/>
      <c r="AR226"/>
      <c r="AS226"/>
      <c r="AT226" s="4" t="str">
        <f t="shared" si="27"/>
        <v>1.0倍人力住房公积金</v>
      </c>
      <c r="AU226" s="4" t="str">
        <f t="shared" si="22"/>
        <v>财务会计部</v>
      </c>
      <c r="AV226" s="4" t="str">
        <f t="shared" si="23"/>
        <v>人力费用</v>
      </c>
      <c r="AW226" s="4" t="str">
        <f>IFERROR(VLOOKUP(AV226,[1]字段!A:B,2,0),"")</f>
        <v>人力费用</v>
      </c>
      <c r="AX226" s="30" t="str">
        <f>IF(AW226="人力费用",IF(E226="","",VLOOKUP(E226,[1]字段!D:E,2,0)),AW226)</f>
        <v>1.0倍人力</v>
      </c>
      <c r="AY226" s="30" t="str">
        <f>IF(AT226="","",VLOOKUP(AT226,[1]字段!H:I,2,0))</f>
        <v>1.0倍人力</v>
      </c>
      <c r="AZ226" s="31">
        <f t="shared" si="24"/>
        <v>0</v>
      </c>
      <c r="BA226" s="31">
        <f t="shared" si="25"/>
        <v>0</v>
      </c>
      <c r="BB226" s="31">
        <f t="shared" si="26"/>
        <v>0</v>
      </c>
      <c r="BC226" s="31">
        <f t="shared" si="28"/>
        <v>0</v>
      </c>
    </row>
    <row r="227" spans="1:55" ht="28.5" customHeight="1">
      <c r="C227" s="33" t="s">
        <v>61</v>
      </c>
      <c r="D227" s="34" t="s">
        <v>62</v>
      </c>
      <c r="E227" s="35"/>
      <c r="F227" s="36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  <c r="AB227" s="29"/>
      <c r="AC227" s="29"/>
      <c r="AD227" s="29"/>
      <c r="AE227" s="29"/>
      <c r="AJ227"/>
      <c r="AK227"/>
      <c r="AL227"/>
      <c r="AM227"/>
      <c r="AN227"/>
      <c r="AO227"/>
      <c r="AP227"/>
      <c r="AQ227"/>
      <c r="AR227"/>
      <c r="AS227"/>
      <c r="AT227" s="4" t="str">
        <f t="shared" si="27"/>
        <v>运营费用</v>
      </c>
      <c r="AU227" s="4" t="str">
        <f t="shared" si="22"/>
        <v>财务会计部</v>
      </c>
      <c r="AV227" s="4" t="str">
        <f t="shared" si="23"/>
        <v>IT运营费用</v>
      </c>
      <c r="AW227" s="4" t="str">
        <f>IFERROR(VLOOKUP(AV227,[1]字段!A:B,2,0),"")</f>
        <v>运营费用</v>
      </c>
      <c r="AX227" s="30" t="str">
        <f>IF(AW227="人力费用",IF(E227="","",VLOOKUP(E227,[1]字段!D:E,2,0)),AW227)</f>
        <v>运营费用</v>
      </c>
      <c r="AY227" s="30">
        <f>IF(AT227="","",VLOOKUP(AT227,[1]字段!H:I,2,0))</f>
        <v>0</v>
      </c>
      <c r="AZ227" s="31">
        <f t="shared" si="24"/>
        <v>0</v>
      </c>
      <c r="BA227" s="31">
        <f t="shared" si="25"/>
        <v>0</v>
      </c>
      <c r="BB227" s="31">
        <f t="shared" si="26"/>
        <v>0</v>
      </c>
      <c r="BC227" s="31">
        <f t="shared" si="28"/>
        <v>0</v>
      </c>
    </row>
    <row r="228" spans="1:55" ht="28.5" customHeight="1">
      <c r="A228" s="32"/>
      <c r="B228" s="32"/>
      <c r="C228" s="43"/>
      <c r="D228" s="43"/>
      <c r="E228" s="39" t="s">
        <v>63</v>
      </c>
      <c r="F228" s="39" t="s">
        <v>64</v>
      </c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  <c r="AA228" s="29"/>
      <c r="AB228" s="29"/>
      <c r="AC228" s="29"/>
      <c r="AD228" s="29"/>
      <c r="AE228" s="29"/>
      <c r="AJ228"/>
      <c r="AK228"/>
      <c r="AL228"/>
      <c r="AM228"/>
      <c r="AN228"/>
      <c r="AO228"/>
      <c r="AP228"/>
      <c r="AQ228"/>
      <c r="AR228"/>
      <c r="AS228"/>
      <c r="AT228" s="4" t="str">
        <f t="shared" si="27"/>
        <v>运营费用信息资料费</v>
      </c>
      <c r="AU228" s="4" t="str">
        <f t="shared" si="22"/>
        <v>财务会计部</v>
      </c>
      <c r="AV228" s="4" t="str">
        <f t="shared" si="23"/>
        <v>IT运营费用</v>
      </c>
      <c r="AW228" s="4" t="str">
        <f>IFERROR(VLOOKUP(AV228,[1]字段!A:B,2,0),"")</f>
        <v>运营费用</v>
      </c>
      <c r="AX228" s="30" t="str">
        <f>IF(AW228="人力费用",IF(E228="","",VLOOKUP(E228,[1]字段!D:E,2,0)),AW228)</f>
        <v>运营费用</v>
      </c>
      <c r="AY228" s="30" t="str">
        <f>IF(AT228="","",VLOOKUP(AT228,[1]字段!H:I,2,0))</f>
        <v>运营费用-运营其他</v>
      </c>
      <c r="AZ228" s="31">
        <f t="shared" si="24"/>
        <v>0</v>
      </c>
      <c r="BA228" s="31">
        <f t="shared" si="25"/>
        <v>0</v>
      </c>
      <c r="BB228" s="31">
        <f t="shared" si="26"/>
        <v>0</v>
      </c>
      <c r="BC228" s="31">
        <f t="shared" si="28"/>
        <v>0</v>
      </c>
    </row>
    <row r="229" spans="1:55" ht="28.5" customHeight="1">
      <c r="C229" s="33" t="s">
        <v>65</v>
      </c>
      <c r="D229" s="34" t="s">
        <v>66</v>
      </c>
      <c r="E229" s="35"/>
      <c r="F229" s="36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  <c r="AA229" s="29"/>
      <c r="AB229" s="29"/>
      <c r="AC229" s="29"/>
      <c r="AD229" s="29"/>
      <c r="AE229" s="29"/>
      <c r="AJ229"/>
      <c r="AK229"/>
      <c r="AL229"/>
      <c r="AM229"/>
      <c r="AN229"/>
      <c r="AO229"/>
      <c r="AP229"/>
      <c r="AQ229"/>
      <c r="AR229"/>
      <c r="AS229"/>
      <c r="AT229" s="4" t="str">
        <f t="shared" si="27"/>
        <v>IT费用</v>
      </c>
      <c r="AU229" s="4" t="str">
        <f t="shared" si="22"/>
        <v>财务会计部</v>
      </c>
      <c r="AV229" s="4" t="str">
        <f t="shared" si="23"/>
        <v>IT科技费用</v>
      </c>
      <c r="AW229" s="4" t="str">
        <f>IFERROR(VLOOKUP(AV229,[1]字段!A:B,2,0),"")</f>
        <v>IT费用</v>
      </c>
      <c r="AX229" s="30" t="str">
        <f>IF(AW229="人力费用",IF(E229="","",VLOOKUP(E229,[1]字段!D:E,2,0)),AW229)</f>
        <v>IT费用</v>
      </c>
      <c r="AY229" s="30">
        <f>IF(AT229="","",VLOOKUP(AT229,[1]字段!H:I,2,0))</f>
        <v>0</v>
      </c>
      <c r="AZ229" s="31">
        <f t="shared" si="24"/>
        <v>0</v>
      </c>
      <c r="BA229" s="31">
        <f t="shared" si="25"/>
        <v>0</v>
      </c>
      <c r="BB229" s="31">
        <f t="shared" si="26"/>
        <v>0</v>
      </c>
      <c r="BC229" s="31">
        <f t="shared" si="28"/>
        <v>0</v>
      </c>
    </row>
    <row r="230" spans="1:55" ht="28.5" customHeight="1">
      <c r="A230" s="32"/>
      <c r="B230" s="32"/>
      <c r="C230" s="37"/>
      <c r="D230" s="38"/>
      <c r="E230" s="39" t="s">
        <v>67</v>
      </c>
      <c r="F230" s="39" t="s">
        <v>68</v>
      </c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  <c r="AA230" s="29"/>
      <c r="AB230" s="29"/>
      <c r="AC230" s="29"/>
      <c r="AD230" s="29"/>
      <c r="AE230" s="29"/>
      <c r="AJ230"/>
      <c r="AK230"/>
      <c r="AL230"/>
      <c r="AM230"/>
      <c r="AN230"/>
      <c r="AO230"/>
      <c r="AP230"/>
      <c r="AQ230"/>
      <c r="AR230"/>
      <c r="AS230"/>
      <c r="AT230" s="4" t="str">
        <f t="shared" si="27"/>
        <v>IT费用一般运营设备折旧费</v>
      </c>
      <c r="AU230" s="4" t="str">
        <f t="shared" si="22"/>
        <v>财务会计部</v>
      </c>
      <c r="AV230" s="4" t="str">
        <f t="shared" si="23"/>
        <v>IT科技费用</v>
      </c>
      <c r="AW230" s="4" t="str">
        <f>IFERROR(VLOOKUP(AV230,[1]字段!A:B,2,0),"")</f>
        <v>IT费用</v>
      </c>
      <c r="AX230" s="30" t="str">
        <f>IF(AW230="人力费用",IF(E230="","",VLOOKUP(E230,[1]字段!D:E,2,0)),AW230)</f>
        <v>IT费用</v>
      </c>
      <c r="AY230" s="30" t="str">
        <f>IF(AT230="","",VLOOKUP(AT230,[1]字段!H:I,2,0))</f>
        <v>IT费用</v>
      </c>
      <c r="AZ230" s="31">
        <f t="shared" si="24"/>
        <v>0</v>
      </c>
      <c r="BA230" s="31">
        <f t="shared" si="25"/>
        <v>0</v>
      </c>
      <c r="BB230" s="31">
        <f t="shared" si="26"/>
        <v>0</v>
      </c>
      <c r="BC230" s="31">
        <f t="shared" si="28"/>
        <v>0</v>
      </c>
    </row>
    <row r="231" spans="1:55" ht="28.5" customHeight="1">
      <c r="A231" s="32"/>
      <c r="B231" s="32"/>
      <c r="C231" s="32"/>
      <c r="D231" s="40"/>
      <c r="E231" s="39" t="s">
        <v>69</v>
      </c>
      <c r="F231" s="39" t="s">
        <v>70</v>
      </c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  <c r="AA231" s="29"/>
      <c r="AB231" s="29"/>
      <c r="AC231" s="29"/>
      <c r="AD231" s="29"/>
      <c r="AE231" s="29"/>
      <c r="AJ231"/>
      <c r="AK231"/>
      <c r="AL231"/>
      <c r="AM231"/>
      <c r="AN231"/>
      <c r="AO231"/>
      <c r="AP231"/>
      <c r="AQ231"/>
      <c r="AR231"/>
      <c r="AS231"/>
      <c r="AT231" s="4" t="str">
        <f t="shared" si="27"/>
        <v>IT费用移动终端折旧费</v>
      </c>
      <c r="AU231" s="4" t="str">
        <f t="shared" si="22"/>
        <v>财务会计部</v>
      </c>
      <c r="AV231" s="4" t="str">
        <f t="shared" si="23"/>
        <v>IT科技费用</v>
      </c>
      <c r="AW231" s="4" t="str">
        <f>IFERROR(VLOOKUP(AV231,[1]字段!A:B,2,0),"")</f>
        <v>IT费用</v>
      </c>
      <c r="AX231" s="30" t="str">
        <f>IF(AW231="人力费用",IF(E231="","",VLOOKUP(E231,[1]字段!D:E,2,0)),AW231)</f>
        <v>IT费用</v>
      </c>
      <c r="AY231" s="30" t="str">
        <f>IF(AT231="","",VLOOKUP(AT231,[1]字段!H:I,2,0))</f>
        <v>IT费用</v>
      </c>
      <c r="AZ231" s="31">
        <f t="shared" si="24"/>
        <v>0</v>
      </c>
      <c r="BA231" s="31">
        <f t="shared" si="25"/>
        <v>0</v>
      </c>
      <c r="BB231" s="31">
        <f t="shared" si="26"/>
        <v>0</v>
      </c>
      <c r="BC231" s="31">
        <f t="shared" si="28"/>
        <v>0</v>
      </c>
    </row>
    <row r="232" spans="1:55" ht="28.5" customHeight="1">
      <c r="A232" s="32"/>
      <c r="B232" s="32"/>
      <c r="C232" s="32"/>
      <c r="D232" s="40"/>
      <c r="E232" s="39" t="s">
        <v>71</v>
      </c>
      <c r="F232" s="39" t="s">
        <v>72</v>
      </c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  <c r="AA232" s="29"/>
      <c r="AB232" s="29"/>
      <c r="AC232" s="29"/>
      <c r="AD232" s="29"/>
      <c r="AE232" s="29"/>
      <c r="AJ232"/>
      <c r="AK232"/>
      <c r="AL232"/>
      <c r="AM232"/>
      <c r="AN232"/>
      <c r="AO232"/>
      <c r="AP232"/>
      <c r="AQ232"/>
      <c r="AR232"/>
      <c r="AS232"/>
      <c r="AT232" s="4" t="str">
        <f t="shared" si="27"/>
        <v>IT费用办公IT设备折旧费</v>
      </c>
      <c r="AU232" s="4" t="str">
        <f t="shared" si="22"/>
        <v>财务会计部</v>
      </c>
      <c r="AV232" s="4" t="str">
        <f t="shared" si="23"/>
        <v>IT科技费用</v>
      </c>
      <c r="AW232" s="4" t="str">
        <f>IFERROR(VLOOKUP(AV232,[1]字段!A:B,2,0),"")</f>
        <v>IT费用</v>
      </c>
      <c r="AX232" s="30" t="str">
        <f>IF(AW232="人力费用",IF(E232="","",VLOOKUP(E232,[1]字段!D:E,2,0)),AW232)</f>
        <v>IT费用</v>
      </c>
      <c r="AY232" s="30" t="str">
        <f>IF(AT232="","",VLOOKUP(AT232,[1]字段!H:I,2,0))</f>
        <v>IT费用</v>
      </c>
      <c r="AZ232" s="31">
        <f t="shared" si="24"/>
        <v>0</v>
      </c>
      <c r="BA232" s="31">
        <f t="shared" si="25"/>
        <v>0</v>
      </c>
      <c r="BB232" s="31">
        <f t="shared" si="26"/>
        <v>0</v>
      </c>
      <c r="BC232" s="31">
        <f t="shared" si="28"/>
        <v>0</v>
      </c>
    </row>
    <row r="233" spans="1:55" ht="28.5" customHeight="1">
      <c r="A233" s="32"/>
      <c r="B233" s="32"/>
      <c r="C233" s="32"/>
      <c r="D233" s="40"/>
      <c r="E233" s="39" t="s">
        <v>73</v>
      </c>
      <c r="F233" s="39" t="s">
        <v>74</v>
      </c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  <c r="AA233" s="29"/>
      <c r="AB233" s="29"/>
      <c r="AC233" s="29"/>
      <c r="AD233" s="29"/>
      <c r="AE233" s="29"/>
      <c r="AJ233"/>
      <c r="AK233"/>
      <c r="AL233"/>
      <c r="AM233"/>
      <c r="AN233"/>
      <c r="AO233"/>
      <c r="AP233"/>
      <c r="AQ233"/>
      <c r="AR233"/>
      <c r="AS233"/>
      <c r="AT233" s="4" t="str">
        <f t="shared" si="27"/>
        <v>IT费用计算机软件摊销</v>
      </c>
      <c r="AU233" s="4" t="str">
        <f t="shared" si="22"/>
        <v>财务会计部</v>
      </c>
      <c r="AV233" s="4" t="str">
        <f t="shared" si="23"/>
        <v>IT科技费用</v>
      </c>
      <c r="AW233" s="4" t="str">
        <f>IFERROR(VLOOKUP(AV233,[1]字段!A:B,2,0),"")</f>
        <v>IT费用</v>
      </c>
      <c r="AX233" s="30" t="str">
        <f>IF(AW233="人力费用",IF(E233="","",VLOOKUP(E233,[1]字段!D:E,2,0)),AW233)</f>
        <v>IT费用</v>
      </c>
      <c r="AY233" s="30" t="str">
        <f>IF(AT233="","",VLOOKUP(AT233,[1]字段!H:I,2,0))</f>
        <v>IT费用</v>
      </c>
      <c r="AZ233" s="31">
        <f t="shared" si="24"/>
        <v>0</v>
      </c>
      <c r="BA233" s="31">
        <f t="shared" si="25"/>
        <v>0</v>
      </c>
      <c r="BB233" s="31">
        <f t="shared" si="26"/>
        <v>0</v>
      </c>
      <c r="BC233" s="31">
        <f t="shared" si="28"/>
        <v>0</v>
      </c>
    </row>
    <row r="234" spans="1:55" ht="28.5" customHeight="1">
      <c r="A234" s="32"/>
      <c r="B234" s="32"/>
      <c r="C234" s="32"/>
      <c r="D234" s="40"/>
      <c r="E234" s="39" t="s">
        <v>75</v>
      </c>
      <c r="F234" s="39" t="s">
        <v>76</v>
      </c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  <c r="AA234" s="29"/>
      <c r="AB234" s="29"/>
      <c r="AC234" s="29"/>
      <c r="AD234" s="29"/>
      <c r="AE234" s="29"/>
      <c r="AJ234"/>
      <c r="AK234"/>
      <c r="AL234"/>
      <c r="AM234"/>
      <c r="AN234"/>
      <c r="AO234"/>
      <c r="AP234"/>
      <c r="AQ234"/>
      <c r="AR234"/>
      <c r="AS234"/>
      <c r="AT234" s="4" t="str">
        <f t="shared" si="27"/>
        <v>IT费用数据资源摊销</v>
      </c>
      <c r="AU234" s="4" t="str">
        <f t="shared" si="22"/>
        <v>财务会计部</v>
      </c>
      <c r="AV234" s="4" t="str">
        <f t="shared" si="23"/>
        <v>IT科技费用</v>
      </c>
      <c r="AW234" s="4" t="str">
        <f>IFERROR(VLOOKUP(AV234,[1]字段!A:B,2,0),"")</f>
        <v>IT费用</v>
      </c>
      <c r="AX234" s="30" t="str">
        <f>IF(AW234="人力费用",IF(E234="","",VLOOKUP(E234,[1]字段!D:E,2,0)),AW234)</f>
        <v>IT费用</v>
      </c>
      <c r="AY234" s="30" t="str">
        <f>IF(AT234="","",VLOOKUP(AT234,[1]字段!H:I,2,0))</f>
        <v>IT费用</v>
      </c>
      <c r="AZ234" s="31">
        <f t="shared" si="24"/>
        <v>0</v>
      </c>
      <c r="BA234" s="31">
        <f t="shared" si="25"/>
        <v>0</v>
      </c>
      <c r="BB234" s="31">
        <f t="shared" si="26"/>
        <v>0</v>
      </c>
      <c r="BC234" s="31">
        <f t="shared" si="28"/>
        <v>0</v>
      </c>
    </row>
    <row r="235" spans="1:55" ht="28.5" customHeight="1">
      <c r="A235" s="32"/>
      <c r="B235" s="32"/>
      <c r="C235" s="32"/>
      <c r="D235" s="40"/>
      <c r="E235" s="39" t="s">
        <v>77</v>
      </c>
      <c r="F235" s="39" t="s">
        <v>78</v>
      </c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  <c r="AA235" s="29"/>
      <c r="AB235" s="29"/>
      <c r="AC235" s="29"/>
      <c r="AD235" s="29"/>
      <c r="AE235" s="29"/>
      <c r="AJ235"/>
      <c r="AK235"/>
      <c r="AL235"/>
      <c r="AM235"/>
      <c r="AN235"/>
      <c r="AO235"/>
      <c r="AP235"/>
      <c r="AQ235"/>
      <c r="AR235"/>
      <c r="AS235"/>
      <c r="AT235" s="4" t="str">
        <f t="shared" si="27"/>
        <v>IT费用咨询费</v>
      </c>
      <c r="AU235" s="4" t="str">
        <f t="shared" si="22"/>
        <v>财务会计部</v>
      </c>
      <c r="AV235" s="4" t="str">
        <f t="shared" si="23"/>
        <v>IT科技费用</v>
      </c>
      <c r="AW235" s="4" t="str">
        <f>IFERROR(VLOOKUP(AV235,[1]字段!A:B,2,0),"")</f>
        <v>IT费用</v>
      </c>
      <c r="AX235" s="30" t="str">
        <f>IF(AW235="人力费用",IF(E235="","",VLOOKUP(E235,[1]字段!D:E,2,0)),AW235)</f>
        <v>IT费用</v>
      </c>
      <c r="AY235" s="30" t="str">
        <f>IF(AT235="","",VLOOKUP(AT235,[1]字段!H:I,2,0))</f>
        <v>IT费用</v>
      </c>
      <c r="AZ235" s="31">
        <f t="shared" si="24"/>
        <v>0</v>
      </c>
      <c r="BA235" s="31">
        <f t="shared" si="25"/>
        <v>0</v>
      </c>
      <c r="BB235" s="31">
        <f t="shared" si="26"/>
        <v>0</v>
      </c>
      <c r="BC235" s="31">
        <f t="shared" si="28"/>
        <v>0</v>
      </c>
    </row>
    <row r="236" spans="1:55" ht="28.5" customHeight="1">
      <c r="A236" s="32"/>
      <c r="B236" s="32"/>
      <c r="C236" s="32"/>
      <c r="D236" s="40"/>
      <c r="E236" s="39" t="s">
        <v>79</v>
      </c>
      <c r="F236" s="39" t="s">
        <v>80</v>
      </c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  <c r="AA236" s="29"/>
      <c r="AB236" s="29"/>
      <c r="AC236" s="29"/>
      <c r="AD236" s="29"/>
      <c r="AE236" s="29"/>
      <c r="AJ236"/>
      <c r="AK236"/>
      <c r="AL236"/>
      <c r="AM236"/>
      <c r="AN236"/>
      <c r="AO236"/>
      <c r="AP236"/>
      <c r="AQ236"/>
      <c r="AR236"/>
      <c r="AS236"/>
      <c r="AT236" s="4" t="str">
        <f t="shared" si="27"/>
        <v>IT费用网络通讯费 </v>
      </c>
      <c r="AU236" s="4" t="str">
        <f t="shared" si="22"/>
        <v>财务会计部</v>
      </c>
      <c r="AV236" s="4" t="str">
        <f t="shared" si="23"/>
        <v>IT科技费用</v>
      </c>
      <c r="AW236" s="4" t="str">
        <f>IFERROR(VLOOKUP(AV236,[1]字段!A:B,2,0),"")</f>
        <v>IT费用</v>
      </c>
      <c r="AX236" s="30" t="str">
        <f>IF(AW236="人力费用",IF(E236="","",VLOOKUP(E236,[1]字段!D:E,2,0)),AW236)</f>
        <v>IT费用</v>
      </c>
      <c r="AY236" s="30" t="str">
        <f>IF(AT236="","",VLOOKUP(AT236,[1]字段!H:I,2,0))</f>
        <v>IT费用</v>
      </c>
      <c r="AZ236" s="31">
        <f t="shared" si="24"/>
        <v>0</v>
      </c>
      <c r="BA236" s="31">
        <f t="shared" si="25"/>
        <v>0</v>
      </c>
      <c r="BB236" s="31">
        <f t="shared" si="26"/>
        <v>0</v>
      </c>
      <c r="BC236" s="31">
        <f t="shared" si="28"/>
        <v>0</v>
      </c>
    </row>
    <row r="237" spans="1:55" ht="28.5" customHeight="1">
      <c r="A237" s="32"/>
      <c r="B237" s="32"/>
      <c r="C237" s="32"/>
      <c r="D237" s="40"/>
      <c r="E237" s="39" t="s">
        <v>81</v>
      </c>
      <c r="F237" s="39" t="s">
        <v>82</v>
      </c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  <c r="AA237" s="29"/>
      <c r="AB237" s="29"/>
      <c r="AC237" s="29"/>
      <c r="AD237" s="29"/>
      <c r="AE237" s="29"/>
      <c r="AJ237"/>
      <c r="AK237"/>
      <c r="AL237"/>
      <c r="AM237"/>
      <c r="AN237"/>
      <c r="AO237"/>
      <c r="AP237"/>
      <c r="AQ237"/>
      <c r="AR237"/>
      <c r="AS237"/>
      <c r="AT237" s="4" t="str">
        <f t="shared" si="27"/>
        <v>IT费用电子设备运转费 </v>
      </c>
      <c r="AU237" s="4" t="str">
        <f t="shared" si="22"/>
        <v>财务会计部</v>
      </c>
      <c r="AV237" s="4" t="str">
        <f t="shared" si="23"/>
        <v>IT科技费用</v>
      </c>
      <c r="AW237" s="4" t="str">
        <f>IFERROR(VLOOKUP(AV237,[1]字段!A:B,2,0),"")</f>
        <v>IT费用</v>
      </c>
      <c r="AX237" s="30" t="str">
        <f>IF(AW237="人力费用",IF(E237="","",VLOOKUP(E237,[1]字段!D:E,2,0)),AW237)</f>
        <v>IT费用</v>
      </c>
      <c r="AY237" s="30" t="str">
        <f>IF(AT237="","",VLOOKUP(AT237,[1]字段!H:I,2,0))</f>
        <v>IT费用</v>
      </c>
      <c r="AZ237" s="31">
        <f t="shared" si="24"/>
        <v>0</v>
      </c>
      <c r="BA237" s="31">
        <f t="shared" si="25"/>
        <v>0</v>
      </c>
      <c r="BB237" s="31">
        <f t="shared" si="26"/>
        <v>0</v>
      </c>
      <c r="BC237" s="31">
        <f t="shared" si="28"/>
        <v>0</v>
      </c>
    </row>
    <row r="238" spans="1:55" ht="28.5" customHeight="1">
      <c r="A238" s="32"/>
      <c r="B238" s="32"/>
      <c r="C238" s="41"/>
      <c r="D238" s="42"/>
      <c r="E238" s="39" t="s">
        <v>83</v>
      </c>
      <c r="F238" s="39" t="s">
        <v>84</v>
      </c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  <c r="AA238" s="29"/>
      <c r="AB238" s="29"/>
      <c r="AC238" s="29"/>
      <c r="AD238" s="29"/>
      <c r="AE238" s="29"/>
      <c r="AJ238"/>
      <c r="AK238"/>
      <c r="AL238"/>
      <c r="AM238"/>
      <c r="AN238"/>
      <c r="AO238"/>
      <c r="AP238"/>
      <c r="AQ238"/>
      <c r="AR238"/>
      <c r="AS238"/>
      <c r="AT238" s="4" t="str">
        <f t="shared" si="27"/>
        <v>IT费用其他外包服务费</v>
      </c>
      <c r="AU238" s="4" t="str">
        <f t="shared" si="22"/>
        <v>财务会计部</v>
      </c>
      <c r="AV238" s="4" t="str">
        <f t="shared" si="23"/>
        <v>IT科技费用</v>
      </c>
      <c r="AW238" s="4" t="str">
        <f>IFERROR(VLOOKUP(AV238,[1]字段!A:B,2,0),"")</f>
        <v>IT费用</v>
      </c>
      <c r="AX238" s="30" t="str">
        <f>IF(AW238="人力费用",IF(E238="","",VLOOKUP(E238,[1]字段!D:E,2,0)),AW238)</f>
        <v>IT费用</v>
      </c>
      <c r="AY238" s="30" t="str">
        <f>IF(AT238="","",VLOOKUP(AT238,[1]字段!H:I,2,0))</f>
        <v>IT费用</v>
      </c>
      <c r="AZ238" s="31">
        <f t="shared" si="24"/>
        <v>0</v>
      </c>
      <c r="BA238" s="31">
        <f t="shared" si="25"/>
        <v>0</v>
      </c>
      <c r="BB238" s="31">
        <f t="shared" si="26"/>
        <v>0</v>
      </c>
      <c r="BC238" s="31">
        <f t="shared" si="28"/>
        <v>0</v>
      </c>
    </row>
    <row r="239" spans="1:55" ht="28.5" customHeight="1">
      <c r="C239" s="33" t="s">
        <v>85</v>
      </c>
      <c r="D239" s="34" t="s">
        <v>86</v>
      </c>
      <c r="E239" s="35"/>
      <c r="F239" s="36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  <c r="AA239" s="29"/>
      <c r="AB239" s="29"/>
      <c r="AC239" s="29"/>
      <c r="AD239" s="29"/>
      <c r="AE239" s="29"/>
      <c r="AJ239"/>
      <c r="AK239"/>
      <c r="AL239"/>
      <c r="AM239"/>
      <c r="AN239"/>
      <c r="AO239"/>
      <c r="AP239"/>
      <c r="AQ239"/>
      <c r="AR239"/>
      <c r="AS239"/>
      <c r="AT239" s="4" t="str">
        <f t="shared" si="27"/>
        <v>日常费用</v>
      </c>
      <c r="AU239" s="4" t="str">
        <f t="shared" si="22"/>
        <v>财务会计部</v>
      </c>
      <c r="AV239" s="4" t="str">
        <f t="shared" si="23"/>
        <v>IT日常费用</v>
      </c>
      <c r="AW239" s="4" t="str">
        <f>IFERROR(VLOOKUP(AV239,[1]字段!A:B,2,0),"")</f>
        <v>日常费用</v>
      </c>
      <c r="AX239" s="30" t="str">
        <f>IF(AW239="人力费用",IF(E239="","",VLOOKUP(E239,[1]字段!D:E,2,0)),AW239)</f>
        <v>日常费用</v>
      </c>
      <c r="AY239" s="30">
        <f>IF(AT239="","",VLOOKUP(AT239,[1]字段!H:I,2,0))</f>
        <v>0</v>
      </c>
      <c r="AZ239" s="31">
        <f t="shared" si="24"/>
        <v>0</v>
      </c>
      <c r="BA239" s="31">
        <f t="shared" si="25"/>
        <v>0</v>
      </c>
      <c r="BB239" s="31">
        <f t="shared" si="26"/>
        <v>0</v>
      </c>
      <c r="BC239" s="31">
        <f t="shared" si="28"/>
        <v>0</v>
      </c>
    </row>
    <row r="240" spans="1:55" ht="28.5" customHeight="1">
      <c r="A240" s="32"/>
      <c r="B240" s="32"/>
      <c r="C240" s="37"/>
      <c r="D240" s="38"/>
      <c r="E240" s="39" t="s">
        <v>87</v>
      </c>
      <c r="F240" s="39" t="s">
        <v>88</v>
      </c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  <c r="AA240" s="29"/>
      <c r="AB240" s="29"/>
      <c r="AC240" s="29"/>
      <c r="AD240" s="29"/>
      <c r="AE240" s="29"/>
      <c r="AJ240"/>
      <c r="AK240"/>
      <c r="AL240"/>
      <c r="AM240"/>
      <c r="AN240"/>
      <c r="AO240"/>
      <c r="AP240"/>
      <c r="AQ240"/>
      <c r="AR240"/>
      <c r="AS240"/>
      <c r="AT240" s="4" t="str">
        <f t="shared" si="27"/>
        <v>日常费用办公OA设备折旧费</v>
      </c>
      <c r="AU240" s="4" t="str">
        <f t="shared" si="22"/>
        <v>财务会计部</v>
      </c>
      <c r="AV240" s="4" t="str">
        <f t="shared" si="23"/>
        <v>IT日常费用</v>
      </c>
      <c r="AW240" s="4" t="str">
        <f>IFERROR(VLOOKUP(AV240,[1]字段!A:B,2,0),"")</f>
        <v>日常费用</v>
      </c>
      <c r="AX240" s="30" t="str">
        <f>IF(AW240="人力费用",IF(E240="","",VLOOKUP(E240,[1]字段!D:E,2,0)),AW240)</f>
        <v>日常费用</v>
      </c>
      <c r="AY240" s="30" t="str">
        <f>IF(AT240="","",VLOOKUP(AT240,[1]字段!H:I,2,0))</f>
        <v>日常费用-其他</v>
      </c>
      <c r="AZ240" s="31">
        <f t="shared" si="24"/>
        <v>0</v>
      </c>
      <c r="BA240" s="31">
        <f t="shared" si="25"/>
        <v>0</v>
      </c>
      <c r="BB240" s="31">
        <f t="shared" si="26"/>
        <v>0</v>
      </c>
      <c r="BC240" s="31">
        <f t="shared" si="28"/>
        <v>0</v>
      </c>
    </row>
    <row r="241" spans="1:55" ht="28.5" customHeight="1">
      <c r="A241" s="32"/>
      <c r="B241" s="32"/>
      <c r="C241" s="41"/>
      <c r="D241" s="42"/>
      <c r="E241" s="39" t="s">
        <v>89</v>
      </c>
      <c r="F241" s="39" t="s">
        <v>90</v>
      </c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  <c r="AA241" s="29"/>
      <c r="AB241" s="29"/>
      <c r="AC241" s="29"/>
      <c r="AD241" s="29"/>
      <c r="AE241" s="29"/>
      <c r="AJ241"/>
      <c r="AK241"/>
      <c r="AL241"/>
      <c r="AM241"/>
      <c r="AN241"/>
      <c r="AO241"/>
      <c r="AP241"/>
      <c r="AQ241"/>
      <c r="AR241"/>
      <c r="AS241"/>
      <c r="AT241" s="4" t="str">
        <f t="shared" si="27"/>
        <v>日常费用办公家具折旧费</v>
      </c>
      <c r="AU241" s="4" t="str">
        <f t="shared" si="22"/>
        <v>财务会计部</v>
      </c>
      <c r="AV241" s="4" t="str">
        <f t="shared" si="23"/>
        <v>IT日常费用</v>
      </c>
      <c r="AW241" s="4" t="str">
        <f>IFERROR(VLOOKUP(AV241,[1]字段!A:B,2,0),"")</f>
        <v>日常费用</v>
      </c>
      <c r="AX241" s="30" t="str">
        <f>IF(AW241="人力费用",IF(E241="","",VLOOKUP(E241,[1]字段!D:E,2,0)),AW241)</f>
        <v>日常费用</v>
      </c>
      <c r="AY241" s="30" t="str">
        <f>IF(AT241="","",VLOOKUP(AT241,[1]字段!H:I,2,0))</f>
        <v>日常费用-其他</v>
      </c>
      <c r="AZ241" s="31">
        <f t="shared" si="24"/>
        <v>0</v>
      </c>
      <c r="BA241" s="31">
        <f t="shared" si="25"/>
        <v>0</v>
      </c>
      <c r="BB241" s="31">
        <f t="shared" si="26"/>
        <v>0</v>
      </c>
      <c r="BC241" s="31">
        <f t="shared" si="28"/>
        <v>0</v>
      </c>
    </row>
    <row r="242" spans="1:55" ht="28.5" customHeight="1">
      <c r="C242" s="33" t="s">
        <v>93</v>
      </c>
      <c r="D242" s="34" t="s">
        <v>94</v>
      </c>
      <c r="E242" s="35"/>
      <c r="F242" s="36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  <c r="AA242" s="29"/>
      <c r="AB242" s="29"/>
      <c r="AC242" s="29"/>
      <c r="AD242" s="29"/>
      <c r="AE242" s="29"/>
      <c r="AJ242"/>
      <c r="AK242"/>
      <c r="AL242"/>
      <c r="AM242"/>
      <c r="AN242"/>
      <c r="AO242"/>
      <c r="AP242"/>
      <c r="AQ242"/>
      <c r="AR242"/>
      <c r="AS242"/>
      <c r="AT242" s="4" t="str">
        <f t="shared" si="27"/>
        <v>日常费用</v>
      </c>
      <c r="AU242" s="4" t="str">
        <f t="shared" si="22"/>
        <v>财务会计部</v>
      </c>
      <c r="AV242" s="4" t="str">
        <f t="shared" si="23"/>
        <v>日常费用</v>
      </c>
      <c r="AW242" s="4" t="str">
        <f>IFERROR(VLOOKUP(AV242,[1]字段!A:B,2,0),"")</f>
        <v>日常费用</v>
      </c>
      <c r="AX242" s="30" t="str">
        <f>IF(AW242="人力费用",IF(E242="","",VLOOKUP(E242,[1]字段!D:E,2,0)),AW242)</f>
        <v>日常费用</v>
      </c>
      <c r="AY242" s="30">
        <f>IF(AT242="","",VLOOKUP(AT242,[1]字段!H:I,2,0))</f>
        <v>0</v>
      </c>
      <c r="AZ242" s="31">
        <f t="shared" si="24"/>
        <v>0</v>
      </c>
      <c r="BA242" s="31">
        <f t="shared" si="25"/>
        <v>0</v>
      </c>
      <c r="BB242" s="31">
        <f t="shared" si="26"/>
        <v>0</v>
      </c>
      <c r="BC242" s="31">
        <f t="shared" si="28"/>
        <v>0</v>
      </c>
    </row>
    <row r="243" spans="1:55" ht="28.5" customHeight="1">
      <c r="A243" s="32"/>
      <c r="B243" s="32"/>
      <c r="C243" s="37"/>
      <c r="D243" s="38"/>
      <c r="E243" s="39" t="s">
        <v>87</v>
      </c>
      <c r="F243" s="39" t="s">
        <v>88</v>
      </c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  <c r="AA243" s="29"/>
      <c r="AB243" s="29"/>
      <c r="AC243" s="29"/>
      <c r="AD243" s="29"/>
      <c r="AE243" s="29"/>
      <c r="AJ243"/>
      <c r="AK243"/>
      <c r="AL243"/>
      <c r="AM243"/>
      <c r="AN243"/>
      <c r="AO243"/>
      <c r="AP243"/>
      <c r="AQ243"/>
      <c r="AR243"/>
      <c r="AS243"/>
      <c r="AT243" s="4" t="str">
        <f t="shared" si="27"/>
        <v>日常费用办公OA设备折旧费</v>
      </c>
      <c r="AU243" s="4" t="str">
        <f t="shared" si="22"/>
        <v>财务会计部</v>
      </c>
      <c r="AV243" s="4" t="str">
        <f t="shared" si="23"/>
        <v>日常费用</v>
      </c>
      <c r="AW243" s="4" t="str">
        <f>IFERROR(VLOOKUP(AV243,[1]字段!A:B,2,0),"")</f>
        <v>日常费用</v>
      </c>
      <c r="AX243" s="30" t="str">
        <f>IF(AW243="人力费用",IF(E243="","",VLOOKUP(E243,[1]字段!D:E,2,0)),AW243)</f>
        <v>日常费用</v>
      </c>
      <c r="AY243" s="30" t="str">
        <f>IF(AT243="","",VLOOKUP(AT243,[1]字段!H:I,2,0))</f>
        <v>日常费用-其他</v>
      </c>
      <c r="AZ243" s="31">
        <f t="shared" si="24"/>
        <v>0</v>
      </c>
      <c r="BA243" s="31">
        <f t="shared" si="25"/>
        <v>0</v>
      </c>
      <c r="BB243" s="31">
        <f t="shared" si="26"/>
        <v>0</v>
      </c>
      <c r="BC243" s="31">
        <f t="shared" si="28"/>
        <v>0</v>
      </c>
    </row>
    <row r="244" spans="1:55" ht="28.5" customHeight="1">
      <c r="A244" s="32"/>
      <c r="B244" s="32"/>
      <c r="C244" s="32"/>
      <c r="D244" s="40"/>
      <c r="E244" s="39" t="s">
        <v>157</v>
      </c>
      <c r="F244" s="39" t="s">
        <v>158</v>
      </c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  <c r="AA244" s="29"/>
      <c r="AB244" s="29"/>
      <c r="AC244" s="29"/>
      <c r="AD244" s="29"/>
      <c r="AE244" s="29"/>
      <c r="AJ244"/>
      <c r="AK244"/>
      <c r="AL244"/>
      <c r="AM244"/>
      <c r="AN244"/>
      <c r="AO244"/>
      <c r="AP244"/>
      <c r="AQ244"/>
      <c r="AR244"/>
      <c r="AS244"/>
      <c r="AT244" s="4" t="str">
        <f t="shared" si="27"/>
        <v>日常费用监管费</v>
      </c>
      <c r="AU244" s="4" t="str">
        <f t="shared" si="22"/>
        <v>财务会计部</v>
      </c>
      <c r="AV244" s="4" t="str">
        <f t="shared" si="23"/>
        <v>日常费用</v>
      </c>
      <c r="AW244" s="4" t="str">
        <f>IFERROR(VLOOKUP(AV244,[1]字段!A:B,2,0),"")</f>
        <v>日常费用</v>
      </c>
      <c r="AX244" s="30" t="str">
        <f>IF(AW244="人力费用",IF(E244="","",VLOOKUP(E244,[1]字段!D:E,2,0)),AW244)</f>
        <v>日常费用</v>
      </c>
      <c r="AY244" s="30" t="str">
        <f>IF(AT244="","",VLOOKUP(AT244,[1]字段!H:I,2,0))</f>
        <v>日常费用-其他</v>
      </c>
      <c r="AZ244" s="31">
        <f t="shared" si="24"/>
        <v>0</v>
      </c>
      <c r="BA244" s="31">
        <f t="shared" si="25"/>
        <v>0</v>
      </c>
      <c r="BB244" s="31">
        <f t="shared" si="26"/>
        <v>0</v>
      </c>
      <c r="BC244" s="31">
        <f t="shared" si="28"/>
        <v>0</v>
      </c>
    </row>
    <row r="245" spans="1:55" ht="28.5" customHeight="1">
      <c r="A245" s="32"/>
      <c r="B245" s="32"/>
      <c r="C245" s="32"/>
      <c r="D245" s="40"/>
      <c r="E245" s="39" t="s">
        <v>77</v>
      </c>
      <c r="F245" s="39" t="s">
        <v>78</v>
      </c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  <c r="AA245" s="29"/>
      <c r="AB245" s="29"/>
      <c r="AC245" s="29"/>
      <c r="AD245" s="29"/>
      <c r="AE245" s="29"/>
      <c r="AJ245"/>
      <c r="AK245"/>
      <c r="AL245"/>
      <c r="AM245"/>
      <c r="AN245"/>
      <c r="AO245"/>
      <c r="AP245"/>
      <c r="AQ245"/>
      <c r="AR245"/>
      <c r="AS245"/>
      <c r="AT245" s="4" t="str">
        <f t="shared" si="27"/>
        <v>日常费用咨询费</v>
      </c>
      <c r="AU245" s="4" t="str">
        <f t="shared" si="22"/>
        <v>财务会计部</v>
      </c>
      <c r="AV245" s="4" t="str">
        <f t="shared" si="23"/>
        <v>日常费用</v>
      </c>
      <c r="AW245" s="4" t="str">
        <f>IFERROR(VLOOKUP(AV245,[1]字段!A:B,2,0),"")</f>
        <v>日常费用</v>
      </c>
      <c r="AX245" s="30" t="str">
        <f>IF(AW245="人力费用",IF(E245="","",VLOOKUP(E245,[1]字段!D:E,2,0)),AW245)</f>
        <v>日常费用</v>
      </c>
      <c r="AY245" s="30" t="str">
        <f>IF(AT245="","",VLOOKUP(AT245,[1]字段!H:I,2,0))</f>
        <v>日常费用-咨询费</v>
      </c>
      <c r="AZ245" s="31">
        <f t="shared" si="24"/>
        <v>0</v>
      </c>
      <c r="BA245" s="31">
        <f t="shared" si="25"/>
        <v>0</v>
      </c>
      <c r="BB245" s="31">
        <f t="shared" si="26"/>
        <v>0</v>
      </c>
      <c r="BC245" s="31">
        <f t="shared" si="28"/>
        <v>0</v>
      </c>
    </row>
    <row r="246" spans="1:55" ht="28.5" customHeight="1">
      <c r="A246" s="32"/>
      <c r="B246" s="32"/>
      <c r="C246" s="32"/>
      <c r="D246" s="40"/>
      <c r="E246" s="39" t="s">
        <v>159</v>
      </c>
      <c r="F246" s="39" t="s">
        <v>160</v>
      </c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  <c r="AA246" s="29"/>
      <c r="AB246" s="29"/>
      <c r="AC246" s="29"/>
      <c r="AD246" s="29"/>
      <c r="AE246" s="29"/>
      <c r="AJ246"/>
      <c r="AK246"/>
      <c r="AL246"/>
      <c r="AM246"/>
      <c r="AN246"/>
      <c r="AO246"/>
      <c r="AP246"/>
      <c r="AQ246"/>
      <c r="AR246"/>
      <c r="AS246"/>
      <c r="AT246" s="4" t="str">
        <f t="shared" si="27"/>
        <v>日常费用审计费</v>
      </c>
      <c r="AU246" s="4" t="str">
        <f t="shared" si="22"/>
        <v>财务会计部</v>
      </c>
      <c r="AV246" s="4" t="str">
        <f t="shared" si="23"/>
        <v>日常费用</v>
      </c>
      <c r="AW246" s="4" t="str">
        <f>IFERROR(VLOOKUP(AV246,[1]字段!A:B,2,0),"")</f>
        <v>日常费用</v>
      </c>
      <c r="AX246" s="30" t="str">
        <f>IF(AW246="人力费用",IF(E246="","",VLOOKUP(E246,[1]字段!D:E,2,0)),AW246)</f>
        <v>日常费用</v>
      </c>
      <c r="AY246" s="30" t="str">
        <f>IF(AT246="","",VLOOKUP(AT246,[1]字段!H:I,2,0))</f>
        <v>日常费用-其他</v>
      </c>
      <c r="AZ246" s="31">
        <f t="shared" si="24"/>
        <v>0</v>
      </c>
      <c r="BA246" s="31">
        <f t="shared" si="25"/>
        <v>0</v>
      </c>
      <c r="BB246" s="31">
        <f t="shared" si="26"/>
        <v>0</v>
      </c>
      <c r="BC246" s="31">
        <f t="shared" si="28"/>
        <v>0</v>
      </c>
    </row>
    <row r="247" spans="1:55" ht="28.5" customHeight="1">
      <c r="A247" s="32"/>
      <c r="B247" s="32"/>
      <c r="C247" s="32"/>
      <c r="D247" s="40"/>
      <c r="E247" s="39" t="s">
        <v>83</v>
      </c>
      <c r="F247" s="39" t="s">
        <v>84</v>
      </c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  <c r="AA247" s="29"/>
      <c r="AB247" s="29"/>
      <c r="AC247" s="29"/>
      <c r="AD247" s="29"/>
      <c r="AE247" s="29"/>
      <c r="AJ247"/>
      <c r="AK247"/>
      <c r="AL247"/>
      <c r="AM247"/>
      <c r="AN247"/>
      <c r="AO247"/>
      <c r="AP247"/>
      <c r="AQ247"/>
      <c r="AR247"/>
      <c r="AS247"/>
      <c r="AT247" s="4" t="str">
        <f t="shared" si="27"/>
        <v>日常费用其他外包服务费</v>
      </c>
      <c r="AU247" s="4" t="str">
        <f t="shared" si="22"/>
        <v>财务会计部</v>
      </c>
      <c r="AV247" s="4" t="str">
        <f t="shared" si="23"/>
        <v>日常费用</v>
      </c>
      <c r="AW247" s="4" t="str">
        <f>IFERROR(VLOOKUP(AV247,[1]字段!A:B,2,0),"")</f>
        <v>日常费用</v>
      </c>
      <c r="AX247" s="30" t="str">
        <f>IF(AW247="人力费用",IF(E247="","",VLOOKUP(E247,[1]字段!D:E,2,0)),AW247)</f>
        <v>日常费用</v>
      </c>
      <c r="AY247" s="30" t="str">
        <f>IF(AT247="","",VLOOKUP(AT247,[1]字段!H:I,2,0))</f>
        <v>日常费用-外包服务费</v>
      </c>
      <c r="AZ247" s="31">
        <f t="shared" si="24"/>
        <v>0</v>
      </c>
      <c r="BA247" s="31">
        <f t="shared" si="25"/>
        <v>0</v>
      </c>
      <c r="BB247" s="31">
        <f t="shared" si="26"/>
        <v>0</v>
      </c>
      <c r="BC247" s="31">
        <f t="shared" si="28"/>
        <v>0</v>
      </c>
    </row>
    <row r="248" spans="1:55" ht="28.5" customHeight="1">
      <c r="A248" s="41"/>
      <c r="B248" s="41"/>
      <c r="C248" s="41"/>
      <c r="D248" s="42"/>
      <c r="E248" s="39" t="s">
        <v>139</v>
      </c>
      <c r="F248" s="39" t="s">
        <v>140</v>
      </c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  <c r="AA248" s="29"/>
      <c r="AB248" s="29"/>
      <c r="AC248" s="29"/>
      <c r="AD248" s="29"/>
      <c r="AE248" s="29"/>
      <c r="AJ248"/>
      <c r="AK248"/>
      <c r="AL248"/>
      <c r="AM248"/>
      <c r="AN248"/>
      <c r="AO248"/>
      <c r="AP248"/>
      <c r="AQ248"/>
      <c r="AR248"/>
      <c r="AS248"/>
      <c r="AT248" s="4" t="str">
        <f t="shared" si="27"/>
        <v>日常费用差旅费</v>
      </c>
      <c r="AU248" s="4" t="str">
        <f t="shared" si="22"/>
        <v>财务会计部</v>
      </c>
      <c r="AV248" s="4" t="str">
        <f t="shared" si="23"/>
        <v>日常费用</v>
      </c>
      <c r="AW248" s="4" t="str">
        <f>IFERROR(VLOOKUP(AV248,[1]字段!A:B,2,0),"")</f>
        <v>日常费用</v>
      </c>
      <c r="AX248" s="30" t="str">
        <f>IF(AW248="人力费用",IF(E248="","",VLOOKUP(E248,[1]字段!D:E,2,0)),AW248)</f>
        <v>日常费用</v>
      </c>
      <c r="AY248" s="30" t="str">
        <f>IF(AT248="","",VLOOKUP(AT248,[1]字段!H:I,2,0))</f>
        <v>日常费用-其他</v>
      </c>
      <c r="AZ248" s="31">
        <f t="shared" si="24"/>
        <v>0</v>
      </c>
      <c r="BA248" s="31">
        <f t="shared" si="25"/>
        <v>0</v>
      </c>
      <c r="BB248" s="31">
        <f t="shared" si="26"/>
        <v>0</v>
      </c>
      <c r="BC248" s="31">
        <f t="shared" si="28"/>
        <v>0</v>
      </c>
    </row>
    <row r="249" spans="1:55" ht="28.5" customHeight="1">
      <c r="A249" s="25"/>
      <c r="B249" s="26" t="s">
        <v>161</v>
      </c>
      <c r="C249" s="27"/>
      <c r="D249" s="27"/>
      <c r="E249" s="27"/>
      <c r="F249" s="28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  <c r="AA249" s="29"/>
      <c r="AB249" s="29"/>
      <c r="AC249" s="29"/>
      <c r="AD249" s="29"/>
      <c r="AE249" s="29"/>
      <c r="AJ249"/>
      <c r="AK249"/>
      <c r="AL249"/>
      <c r="AM249"/>
      <c r="AN249"/>
      <c r="AO249"/>
      <c r="AP249"/>
      <c r="AQ249"/>
      <c r="AR249"/>
      <c r="AS249"/>
      <c r="AT249" s="4" t="str">
        <f t="shared" si="27"/>
        <v/>
      </c>
      <c r="AU249" s="4" t="str">
        <f t="shared" si="22"/>
        <v>资产负债管理及企划部</v>
      </c>
      <c r="AV249" s="4" t="str">
        <f t="shared" si="23"/>
        <v/>
      </c>
      <c r="AW249" s="4" t="str">
        <f>IFERROR(VLOOKUP(AV249,[1]字段!A:B,2,0),"")</f>
        <v/>
      </c>
      <c r="AX249" s="30" t="str">
        <f>IF(AW249="人力费用",IF(E249="","",VLOOKUP(E249,[1]字段!D:E,2,0)),AW249)</f>
        <v/>
      </c>
      <c r="AY249" s="30" t="str">
        <f>IF(AT249="","",VLOOKUP(AT249,[1]字段!H:I,2,0))</f>
        <v/>
      </c>
      <c r="AZ249" s="31">
        <f t="shared" si="24"/>
        <v>0</v>
      </c>
      <c r="BA249" s="31">
        <f t="shared" si="25"/>
        <v>0</v>
      </c>
      <c r="BB249" s="31">
        <f t="shared" si="26"/>
        <v>0</v>
      </c>
      <c r="BC249" s="31">
        <f t="shared" si="28"/>
        <v>0</v>
      </c>
    </row>
    <row r="250" spans="1:55" ht="28.5" customHeight="1">
      <c r="A250" s="32"/>
      <c r="B250" s="32"/>
      <c r="C250" s="33" t="s">
        <v>39</v>
      </c>
      <c r="D250" s="34" t="s">
        <v>40</v>
      </c>
      <c r="E250" s="35"/>
      <c r="F250" s="36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  <c r="AA250" s="29"/>
      <c r="AB250" s="29"/>
      <c r="AC250" s="29"/>
      <c r="AD250" s="29"/>
      <c r="AE250" s="29"/>
      <c r="AJ250"/>
      <c r="AK250"/>
      <c r="AL250"/>
      <c r="AM250"/>
      <c r="AN250"/>
      <c r="AO250"/>
      <c r="AP250"/>
      <c r="AQ250"/>
      <c r="AR250"/>
      <c r="AS250"/>
      <c r="AT250" s="4" t="str">
        <f t="shared" si="27"/>
        <v/>
      </c>
      <c r="AU250" s="4" t="str">
        <f t="shared" si="22"/>
        <v>资产负债管理及企划部</v>
      </c>
      <c r="AV250" s="4" t="str">
        <f t="shared" si="23"/>
        <v>人力费用</v>
      </c>
      <c r="AW250" s="4" t="str">
        <f>IFERROR(VLOOKUP(AV250,[1]字段!A:B,2,0),"")</f>
        <v>人力费用</v>
      </c>
      <c r="AX250" s="30" t="str">
        <f>IF(AW250="人力费用",IF(E250="","",VLOOKUP(E250,[1]字段!D:E,2,0)),AW250)</f>
        <v/>
      </c>
      <c r="AY250" s="30" t="str">
        <f>IF(AT250="","",VLOOKUP(AT250,[1]字段!H:I,2,0))</f>
        <v/>
      </c>
      <c r="AZ250" s="31">
        <f t="shared" si="24"/>
        <v>0</v>
      </c>
      <c r="BA250" s="31">
        <f t="shared" si="25"/>
        <v>0</v>
      </c>
      <c r="BB250" s="31">
        <f t="shared" si="26"/>
        <v>0</v>
      </c>
      <c r="BC250" s="31">
        <f t="shared" si="28"/>
        <v>0</v>
      </c>
    </row>
    <row r="251" spans="1:55" ht="28.5" customHeight="1">
      <c r="A251" s="32"/>
      <c r="B251" s="32"/>
      <c r="C251" s="37"/>
      <c r="D251" s="38"/>
      <c r="E251" s="39" t="s">
        <v>41</v>
      </c>
      <c r="F251" s="39" t="s">
        <v>42</v>
      </c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  <c r="AA251" s="29"/>
      <c r="AB251" s="29"/>
      <c r="AC251" s="29"/>
      <c r="AD251" s="29"/>
      <c r="AE251" s="29"/>
      <c r="AJ251"/>
      <c r="AK251"/>
      <c r="AL251"/>
      <c r="AM251"/>
      <c r="AN251"/>
      <c r="AO251"/>
      <c r="AP251"/>
      <c r="AQ251"/>
      <c r="AR251"/>
      <c r="AS251"/>
      <c r="AT251" s="4" t="str">
        <f t="shared" si="27"/>
        <v>1.0倍人力基础工资</v>
      </c>
      <c r="AU251" s="4" t="str">
        <f t="shared" si="22"/>
        <v>资产负债管理及企划部</v>
      </c>
      <c r="AV251" s="4" t="str">
        <f t="shared" si="23"/>
        <v>人力费用</v>
      </c>
      <c r="AW251" s="4" t="str">
        <f>IFERROR(VLOOKUP(AV251,[1]字段!A:B,2,0),"")</f>
        <v>人力费用</v>
      </c>
      <c r="AX251" s="30" t="str">
        <f>IF(AW251="人力费用",IF(E251="","",VLOOKUP(E251,[1]字段!D:E,2,0)),AW251)</f>
        <v>1.0倍人力</v>
      </c>
      <c r="AY251" s="30" t="str">
        <f>IF(AT251="","",VLOOKUP(AT251,[1]字段!H:I,2,0))</f>
        <v>1.0倍人力</v>
      </c>
      <c r="AZ251" s="31">
        <f t="shared" si="24"/>
        <v>0</v>
      </c>
      <c r="BA251" s="31">
        <f t="shared" si="25"/>
        <v>0</v>
      </c>
      <c r="BB251" s="31">
        <f t="shared" si="26"/>
        <v>0</v>
      </c>
      <c r="BC251" s="31">
        <f t="shared" si="28"/>
        <v>0</v>
      </c>
    </row>
    <row r="252" spans="1:55" ht="28.5" customHeight="1">
      <c r="A252" s="32"/>
      <c r="B252" s="32"/>
      <c r="C252" s="32"/>
      <c r="D252" s="40"/>
      <c r="E252" s="39">
        <v>5501010602</v>
      </c>
      <c r="F252" s="3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  <c r="AA252" s="29"/>
      <c r="AB252" s="29"/>
      <c r="AC252" s="29"/>
      <c r="AD252" s="29"/>
      <c r="AE252" s="29"/>
      <c r="AJ252"/>
      <c r="AK252"/>
      <c r="AL252"/>
      <c r="AM252"/>
      <c r="AN252"/>
      <c r="AO252"/>
      <c r="AP252"/>
      <c r="AQ252"/>
      <c r="AR252"/>
      <c r="AS252"/>
      <c r="AT252" s="4" t="str">
        <f t="shared" si="27"/>
        <v>利润分享</v>
      </c>
      <c r="AU252" s="4" t="str">
        <f t="shared" si="22"/>
        <v>资产负债管理及企划部</v>
      </c>
      <c r="AV252" s="4" t="str">
        <f t="shared" si="23"/>
        <v>人力费用</v>
      </c>
      <c r="AW252" s="4" t="str">
        <f>IFERROR(VLOOKUP(AV252,[1]字段!A:B,2,0),"")</f>
        <v>人力费用</v>
      </c>
      <c r="AX252" s="30" t="str">
        <f>IF(AW252="人力费用",IF(E252="","",VLOOKUP(E252,[1]字段!D:E,2,0)),AW252)</f>
        <v>利润分享</v>
      </c>
      <c r="AY252" s="30" t="str">
        <f>IF(AT252="","",VLOOKUP(AT252,[1]字段!H:I,2,0))</f>
        <v>利润分享</v>
      </c>
      <c r="AZ252" s="31">
        <f t="shared" si="24"/>
        <v>0</v>
      </c>
      <c r="BA252" s="31">
        <f t="shared" si="25"/>
        <v>0</v>
      </c>
      <c r="BB252" s="31">
        <f t="shared" si="26"/>
        <v>0</v>
      </c>
      <c r="BC252" s="31">
        <f t="shared" si="28"/>
        <v>0</v>
      </c>
    </row>
    <row r="253" spans="1:55" ht="28.5" customHeight="1">
      <c r="A253" s="32"/>
      <c r="B253" s="32"/>
      <c r="C253" s="32"/>
      <c r="D253" s="40"/>
      <c r="E253" s="39">
        <v>5501010603</v>
      </c>
      <c r="F253" s="3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  <c r="AA253" s="29"/>
      <c r="AB253" s="29"/>
      <c r="AC253" s="29"/>
      <c r="AD253" s="29"/>
      <c r="AE253" s="29"/>
      <c r="AJ253"/>
      <c r="AK253"/>
      <c r="AL253"/>
      <c r="AM253"/>
      <c r="AN253"/>
      <c r="AO253"/>
      <c r="AP253"/>
      <c r="AQ253"/>
      <c r="AR253"/>
      <c r="AS253"/>
      <c r="AT253" s="4" t="str">
        <f t="shared" si="27"/>
        <v>留任奖励</v>
      </c>
      <c r="AU253" s="4" t="str">
        <f t="shared" si="22"/>
        <v>资产负债管理及企划部</v>
      </c>
      <c r="AV253" s="4" t="str">
        <f t="shared" si="23"/>
        <v>人力费用</v>
      </c>
      <c r="AW253" s="4" t="str">
        <f>IFERROR(VLOOKUP(AV253,[1]字段!A:B,2,0),"")</f>
        <v>人力费用</v>
      </c>
      <c r="AX253" s="30" t="str">
        <f>IF(AW253="人力费用",IF(E253="","",VLOOKUP(E253,[1]字段!D:E,2,0)),AW253)</f>
        <v>留任奖励</v>
      </c>
      <c r="AY253" s="30" t="str">
        <f>IF(AT253="","",VLOOKUP(AT253,[1]字段!H:I,2,0))</f>
        <v>留任奖励</v>
      </c>
      <c r="AZ253" s="31">
        <f t="shared" si="24"/>
        <v>0</v>
      </c>
      <c r="BA253" s="31">
        <f t="shared" si="25"/>
        <v>0</v>
      </c>
      <c r="BB253" s="31">
        <f t="shared" si="26"/>
        <v>0</v>
      </c>
      <c r="BC253" s="31">
        <f t="shared" si="28"/>
        <v>0</v>
      </c>
    </row>
    <row r="254" spans="1:55" ht="28.5" customHeight="1">
      <c r="A254" s="32"/>
      <c r="B254" s="32"/>
      <c r="C254" s="32"/>
      <c r="D254" s="40"/>
      <c r="E254" s="39">
        <v>5501010604</v>
      </c>
      <c r="F254" s="3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  <c r="AA254" s="29"/>
      <c r="AB254" s="29"/>
      <c r="AC254" s="29"/>
      <c r="AD254" s="29"/>
      <c r="AE254" s="29"/>
      <c r="AJ254"/>
      <c r="AK254"/>
      <c r="AL254"/>
      <c r="AM254"/>
      <c r="AN254"/>
      <c r="AO254"/>
      <c r="AP254"/>
      <c r="AQ254"/>
      <c r="AR254"/>
      <c r="AS254"/>
      <c r="AT254" s="4" t="str">
        <f t="shared" si="27"/>
        <v>1.0倍人力</v>
      </c>
      <c r="AU254" s="4" t="str">
        <f t="shared" si="22"/>
        <v>资产负债管理及企划部</v>
      </c>
      <c r="AV254" s="4" t="str">
        <f t="shared" si="23"/>
        <v>人力费用</v>
      </c>
      <c r="AW254" s="4" t="str">
        <f>IFERROR(VLOOKUP(AV254,[1]字段!A:B,2,0),"")</f>
        <v>人力费用</v>
      </c>
      <c r="AX254" s="30" t="str">
        <f>IF(AW254="人力费用",IF(E254="","",VLOOKUP(E254,[1]字段!D:E,2,0)),AW254)</f>
        <v>1.0倍人力</v>
      </c>
      <c r="AY254" s="30" t="str">
        <f>IF(AT254="","",VLOOKUP(AT254,[1]字段!H:I,2,0))</f>
        <v>1.0倍人力</v>
      </c>
      <c r="AZ254" s="31">
        <f t="shared" si="24"/>
        <v>0</v>
      </c>
      <c r="BA254" s="31">
        <f t="shared" si="25"/>
        <v>0</v>
      </c>
      <c r="BB254" s="31">
        <f t="shared" si="26"/>
        <v>0</v>
      </c>
      <c r="BC254" s="31">
        <f t="shared" si="28"/>
        <v>0</v>
      </c>
    </row>
    <row r="255" spans="1:55" ht="28.5" customHeight="1">
      <c r="A255" s="32"/>
      <c r="B255" s="32"/>
      <c r="C255" s="32"/>
      <c r="D255" s="40"/>
      <c r="E255" s="39" t="s">
        <v>43</v>
      </c>
      <c r="F255" s="39" t="s">
        <v>44</v>
      </c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  <c r="AA255" s="29"/>
      <c r="AB255" s="29"/>
      <c r="AC255" s="29"/>
      <c r="AD255" s="29"/>
      <c r="AE255" s="29"/>
      <c r="AJ255"/>
      <c r="AK255"/>
      <c r="AL255"/>
      <c r="AM255"/>
      <c r="AN255"/>
      <c r="AO255"/>
      <c r="AP255"/>
      <c r="AQ255"/>
      <c r="AR255"/>
      <c r="AS255"/>
      <c r="AT255" s="4" t="str">
        <f t="shared" si="27"/>
        <v>1.0倍人力团队建设费</v>
      </c>
      <c r="AU255" s="4" t="str">
        <f t="shared" si="22"/>
        <v>资产负债管理及企划部</v>
      </c>
      <c r="AV255" s="4" t="str">
        <f t="shared" si="23"/>
        <v>人力费用</v>
      </c>
      <c r="AW255" s="4" t="str">
        <f>IFERROR(VLOOKUP(AV255,[1]字段!A:B,2,0),"")</f>
        <v>人力费用</v>
      </c>
      <c r="AX255" s="30" t="str">
        <f>IF(AW255="人力费用",IF(E255="","",VLOOKUP(E255,[1]字段!D:E,2,0)),AW255)</f>
        <v>1.0倍人力</v>
      </c>
      <c r="AY255" s="30" t="str">
        <f>IF(AT255="","",VLOOKUP(AT255,[1]字段!H:I,2,0))</f>
        <v>1.0倍人力</v>
      </c>
      <c r="AZ255" s="31">
        <f t="shared" si="24"/>
        <v>0</v>
      </c>
      <c r="BA255" s="31">
        <f t="shared" si="25"/>
        <v>0</v>
      </c>
      <c r="BB255" s="31">
        <f t="shared" si="26"/>
        <v>0</v>
      </c>
      <c r="BC255" s="31">
        <f t="shared" si="28"/>
        <v>0</v>
      </c>
    </row>
    <row r="256" spans="1:55" ht="28.5" customHeight="1">
      <c r="A256" s="32"/>
      <c r="B256" s="32"/>
      <c r="C256" s="32"/>
      <c r="D256" s="40"/>
      <c r="E256" s="39" t="s">
        <v>45</v>
      </c>
      <c r="F256" s="39" t="s">
        <v>46</v>
      </c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  <c r="AA256" s="29"/>
      <c r="AB256" s="29"/>
      <c r="AC256" s="29"/>
      <c r="AD256" s="29"/>
      <c r="AE256" s="29"/>
      <c r="AJ256"/>
      <c r="AK256"/>
      <c r="AL256"/>
      <c r="AM256"/>
      <c r="AN256"/>
      <c r="AO256"/>
      <c r="AP256"/>
      <c r="AQ256"/>
      <c r="AR256"/>
      <c r="AS256"/>
      <c r="AT256" s="4" t="str">
        <f t="shared" si="27"/>
        <v>1.0倍人力其他职工福利费</v>
      </c>
      <c r="AU256" s="4" t="str">
        <f t="shared" si="22"/>
        <v>资产负债管理及企划部</v>
      </c>
      <c r="AV256" s="4" t="str">
        <f t="shared" si="23"/>
        <v>人力费用</v>
      </c>
      <c r="AW256" s="4" t="str">
        <f>IFERROR(VLOOKUP(AV256,[1]字段!A:B,2,0),"")</f>
        <v>人力费用</v>
      </c>
      <c r="AX256" s="30" t="str">
        <f>IF(AW256="人力费用",IF(E256="","",VLOOKUP(E256,[1]字段!D:E,2,0)),AW256)</f>
        <v>1.0倍人力</v>
      </c>
      <c r="AY256" s="30" t="str">
        <f>IF(AT256="","",VLOOKUP(AT256,[1]字段!H:I,2,0))</f>
        <v>1.0倍人力</v>
      </c>
      <c r="AZ256" s="31">
        <f t="shared" si="24"/>
        <v>0</v>
      </c>
      <c r="BA256" s="31">
        <f t="shared" si="25"/>
        <v>0</v>
      </c>
      <c r="BB256" s="31">
        <f t="shared" si="26"/>
        <v>0</v>
      </c>
      <c r="BC256" s="31">
        <f t="shared" si="28"/>
        <v>0</v>
      </c>
    </row>
    <row r="257" spans="1:55" ht="28.5" customHeight="1">
      <c r="A257" s="32"/>
      <c r="B257" s="32"/>
      <c r="C257" s="32"/>
      <c r="D257" s="40"/>
      <c r="E257" s="39" t="s">
        <v>47</v>
      </c>
      <c r="F257" s="39" t="s">
        <v>48</v>
      </c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  <c r="AA257" s="29"/>
      <c r="AB257" s="29"/>
      <c r="AC257" s="29"/>
      <c r="AD257" s="29"/>
      <c r="AE257" s="29"/>
      <c r="AJ257"/>
      <c r="AK257"/>
      <c r="AL257"/>
      <c r="AM257"/>
      <c r="AN257"/>
      <c r="AO257"/>
      <c r="AP257"/>
      <c r="AQ257"/>
      <c r="AR257"/>
      <c r="AS257"/>
      <c r="AT257" s="4" t="str">
        <f t="shared" si="27"/>
        <v>1.0倍人力工会经费</v>
      </c>
      <c r="AU257" s="4" t="str">
        <f t="shared" si="22"/>
        <v>资产负债管理及企划部</v>
      </c>
      <c r="AV257" s="4" t="str">
        <f t="shared" si="23"/>
        <v>人力费用</v>
      </c>
      <c r="AW257" s="4" t="str">
        <f>IFERROR(VLOOKUP(AV257,[1]字段!A:B,2,0),"")</f>
        <v>人力费用</v>
      </c>
      <c r="AX257" s="30" t="str">
        <f>IF(AW257="人力费用",IF(E257="","",VLOOKUP(E257,[1]字段!D:E,2,0)),AW257)</f>
        <v>1.0倍人力</v>
      </c>
      <c r="AY257" s="30" t="str">
        <f>IF(AT257="","",VLOOKUP(AT257,[1]字段!H:I,2,0))</f>
        <v>1.0倍人力</v>
      </c>
      <c r="AZ257" s="31">
        <f t="shared" si="24"/>
        <v>0</v>
      </c>
      <c r="BA257" s="31">
        <f t="shared" si="25"/>
        <v>0</v>
      </c>
      <c r="BB257" s="31">
        <f t="shared" si="26"/>
        <v>0</v>
      </c>
      <c r="BC257" s="31">
        <f t="shared" si="28"/>
        <v>0</v>
      </c>
    </row>
    <row r="258" spans="1:55" ht="28.5" customHeight="1">
      <c r="A258" s="32"/>
      <c r="B258" s="32"/>
      <c r="C258" s="32"/>
      <c r="D258" s="40"/>
      <c r="E258" s="39" t="s">
        <v>49</v>
      </c>
      <c r="F258" s="39" t="s">
        <v>50</v>
      </c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  <c r="AA258" s="29"/>
      <c r="AB258" s="29"/>
      <c r="AC258" s="29"/>
      <c r="AD258" s="29"/>
      <c r="AE258" s="29"/>
      <c r="AJ258"/>
      <c r="AK258"/>
      <c r="AL258"/>
      <c r="AM258"/>
      <c r="AN258"/>
      <c r="AO258"/>
      <c r="AP258"/>
      <c r="AQ258"/>
      <c r="AR258"/>
      <c r="AS258"/>
      <c r="AT258" s="4" t="str">
        <f t="shared" si="27"/>
        <v>1.0倍人力基本养老保险</v>
      </c>
      <c r="AU258" s="4" t="str">
        <f t="shared" si="22"/>
        <v>资产负债管理及企划部</v>
      </c>
      <c r="AV258" s="4" t="str">
        <f t="shared" si="23"/>
        <v>人力费用</v>
      </c>
      <c r="AW258" s="4" t="str">
        <f>IFERROR(VLOOKUP(AV258,[1]字段!A:B,2,0),"")</f>
        <v>人力费用</v>
      </c>
      <c r="AX258" s="30" t="str">
        <f>IF(AW258="人力费用",IF(E258="","",VLOOKUP(E258,[1]字段!D:E,2,0)),AW258)</f>
        <v>1.0倍人力</v>
      </c>
      <c r="AY258" s="30" t="str">
        <f>IF(AT258="","",VLOOKUP(AT258,[1]字段!H:I,2,0))</f>
        <v>1.0倍人力</v>
      </c>
      <c r="AZ258" s="31">
        <f t="shared" si="24"/>
        <v>0</v>
      </c>
      <c r="BA258" s="31">
        <f t="shared" si="25"/>
        <v>0</v>
      </c>
      <c r="BB258" s="31">
        <f t="shared" si="26"/>
        <v>0</v>
      </c>
      <c r="BC258" s="31">
        <f t="shared" si="28"/>
        <v>0</v>
      </c>
    </row>
    <row r="259" spans="1:55" ht="28.5" customHeight="1">
      <c r="A259" s="32"/>
      <c r="B259" s="32"/>
      <c r="C259" s="32"/>
      <c r="D259" s="40"/>
      <c r="E259" s="39" t="s">
        <v>51</v>
      </c>
      <c r="F259" s="39" t="s">
        <v>52</v>
      </c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  <c r="AA259" s="29"/>
      <c r="AB259" s="29"/>
      <c r="AC259" s="29"/>
      <c r="AD259" s="29"/>
      <c r="AE259" s="29"/>
      <c r="AJ259"/>
      <c r="AK259"/>
      <c r="AL259"/>
      <c r="AM259"/>
      <c r="AN259"/>
      <c r="AO259"/>
      <c r="AP259"/>
      <c r="AQ259"/>
      <c r="AR259"/>
      <c r="AS259"/>
      <c r="AT259" s="4" t="str">
        <f t="shared" si="27"/>
        <v>1.0倍人力基本医疗保险</v>
      </c>
      <c r="AU259" s="4" t="str">
        <f t="shared" si="22"/>
        <v>资产负债管理及企划部</v>
      </c>
      <c r="AV259" s="4" t="str">
        <f t="shared" si="23"/>
        <v>人力费用</v>
      </c>
      <c r="AW259" s="4" t="str">
        <f>IFERROR(VLOOKUP(AV259,[1]字段!A:B,2,0),"")</f>
        <v>人力费用</v>
      </c>
      <c r="AX259" s="30" t="str">
        <f>IF(AW259="人力费用",IF(E259="","",VLOOKUP(E259,[1]字段!D:E,2,0)),AW259)</f>
        <v>1.0倍人力</v>
      </c>
      <c r="AY259" s="30" t="str">
        <f>IF(AT259="","",VLOOKUP(AT259,[1]字段!H:I,2,0))</f>
        <v>1.0倍人力</v>
      </c>
      <c r="AZ259" s="31">
        <f t="shared" si="24"/>
        <v>0</v>
      </c>
      <c r="BA259" s="31">
        <f t="shared" si="25"/>
        <v>0</v>
      </c>
      <c r="BB259" s="31">
        <f t="shared" si="26"/>
        <v>0</v>
      </c>
      <c r="BC259" s="31">
        <f t="shared" si="28"/>
        <v>0</v>
      </c>
    </row>
    <row r="260" spans="1:55" ht="28.5" customHeight="1">
      <c r="A260" s="32"/>
      <c r="B260" s="32"/>
      <c r="C260" s="32"/>
      <c r="D260" s="40"/>
      <c r="E260" s="39" t="s">
        <v>53</v>
      </c>
      <c r="F260" s="39" t="s">
        <v>54</v>
      </c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  <c r="AA260" s="29"/>
      <c r="AB260" s="29"/>
      <c r="AC260" s="29"/>
      <c r="AD260" s="29"/>
      <c r="AE260" s="29"/>
      <c r="AJ260"/>
      <c r="AK260"/>
      <c r="AL260"/>
      <c r="AM260"/>
      <c r="AN260"/>
      <c r="AO260"/>
      <c r="AP260"/>
      <c r="AQ260"/>
      <c r="AR260"/>
      <c r="AS260"/>
      <c r="AT260" s="4" t="str">
        <f t="shared" si="27"/>
        <v>1.0倍人力工伤保险</v>
      </c>
      <c r="AU260" s="4" t="str">
        <f t="shared" si="22"/>
        <v>资产负债管理及企划部</v>
      </c>
      <c r="AV260" s="4" t="str">
        <f t="shared" si="23"/>
        <v>人力费用</v>
      </c>
      <c r="AW260" s="4" t="str">
        <f>IFERROR(VLOOKUP(AV260,[1]字段!A:B,2,0),"")</f>
        <v>人力费用</v>
      </c>
      <c r="AX260" s="30" t="str">
        <f>IF(AW260="人力费用",IF(E260="","",VLOOKUP(E260,[1]字段!D:E,2,0)),AW260)</f>
        <v>1.0倍人力</v>
      </c>
      <c r="AY260" s="30" t="str">
        <f>IF(AT260="","",VLOOKUP(AT260,[1]字段!H:I,2,0))</f>
        <v>1.0倍人力</v>
      </c>
      <c r="AZ260" s="31">
        <f t="shared" si="24"/>
        <v>0</v>
      </c>
      <c r="BA260" s="31">
        <f t="shared" si="25"/>
        <v>0</v>
      </c>
      <c r="BB260" s="31">
        <f t="shared" si="26"/>
        <v>0</v>
      </c>
      <c r="BC260" s="31">
        <f t="shared" si="28"/>
        <v>0</v>
      </c>
    </row>
    <row r="261" spans="1:55" ht="28.5" customHeight="1">
      <c r="A261" s="32"/>
      <c r="B261" s="32"/>
      <c r="C261" s="32"/>
      <c r="D261" s="40"/>
      <c r="E261" s="39" t="s">
        <v>55</v>
      </c>
      <c r="F261" s="39" t="s">
        <v>56</v>
      </c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  <c r="AA261" s="29"/>
      <c r="AB261" s="29"/>
      <c r="AC261" s="29"/>
      <c r="AD261" s="29"/>
      <c r="AE261" s="29"/>
      <c r="AJ261"/>
      <c r="AK261"/>
      <c r="AL261"/>
      <c r="AM261"/>
      <c r="AN261"/>
      <c r="AO261"/>
      <c r="AP261"/>
      <c r="AQ261"/>
      <c r="AR261"/>
      <c r="AS261"/>
      <c r="AT261" s="4" t="str">
        <f t="shared" si="27"/>
        <v>1.0倍人力生育保险</v>
      </c>
      <c r="AU261" s="4" t="str">
        <f t="shared" ref="AU261:AU324" si="29">IF(B261="",AU260,B261)</f>
        <v>资产负债管理及企划部</v>
      </c>
      <c r="AV261" s="4" t="str">
        <f t="shared" ref="AV261:AV324" si="30">IF(B261&lt;&gt;"","",IF(D261="",AV260,D261))</f>
        <v>人力费用</v>
      </c>
      <c r="AW261" s="4" t="str">
        <f>IFERROR(VLOOKUP(AV261,[1]字段!A:B,2,0),"")</f>
        <v>人力费用</v>
      </c>
      <c r="AX261" s="30" t="str">
        <f>IF(AW261="人力费用",IF(E261="","",VLOOKUP(E261,[1]字段!D:E,2,0)),AW261)</f>
        <v>1.0倍人力</v>
      </c>
      <c r="AY261" s="30" t="str">
        <f>IF(AT261="","",VLOOKUP(AT261,[1]字段!H:I,2,0))</f>
        <v>1.0倍人力</v>
      </c>
      <c r="AZ261" s="31">
        <f t="shared" ref="AZ261:AZ324" si="31">IF($E261="",0,SUMIF($G$1:$AB$1,AZ$4,$G261:$AB261))</f>
        <v>0</v>
      </c>
      <c r="BA261" s="31">
        <f t="shared" ref="BA261:BA324" si="32">IF($E261="",0,SUMIF($G$1:$AE$1,BA$4,$G261:$AE261))</f>
        <v>0</v>
      </c>
      <c r="BB261" s="31">
        <f t="shared" ref="BB261:BB324" si="33">AZ261+BA261</f>
        <v>0</v>
      </c>
      <c r="BC261" s="31">
        <f t="shared" si="28"/>
        <v>0</v>
      </c>
    </row>
    <row r="262" spans="1:55" ht="28.5" customHeight="1">
      <c r="A262" s="32"/>
      <c r="B262" s="32"/>
      <c r="C262" s="32"/>
      <c r="D262" s="40"/>
      <c r="E262" s="39" t="s">
        <v>57</v>
      </c>
      <c r="F262" s="39" t="s">
        <v>58</v>
      </c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  <c r="AA262" s="29"/>
      <c r="AB262" s="29"/>
      <c r="AC262" s="29"/>
      <c r="AD262" s="29"/>
      <c r="AE262" s="29"/>
      <c r="AJ262"/>
      <c r="AK262"/>
      <c r="AL262"/>
      <c r="AM262"/>
      <c r="AN262"/>
      <c r="AO262"/>
      <c r="AP262"/>
      <c r="AQ262"/>
      <c r="AR262"/>
      <c r="AS262"/>
      <c r="AT262" s="4" t="str">
        <f t="shared" ref="AT262:AT325" si="34">AX262&amp;F262</f>
        <v>1.0倍人力失业保险</v>
      </c>
      <c r="AU262" s="4" t="str">
        <f t="shared" si="29"/>
        <v>资产负债管理及企划部</v>
      </c>
      <c r="AV262" s="4" t="str">
        <f t="shared" si="30"/>
        <v>人力费用</v>
      </c>
      <c r="AW262" s="4" t="str">
        <f>IFERROR(VLOOKUP(AV262,[1]字段!A:B,2,0),"")</f>
        <v>人力费用</v>
      </c>
      <c r="AX262" s="30" t="str">
        <f>IF(AW262="人力费用",IF(E262="","",VLOOKUP(E262,[1]字段!D:E,2,0)),AW262)</f>
        <v>1.0倍人力</v>
      </c>
      <c r="AY262" s="30" t="str">
        <f>IF(AT262="","",VLOOKUP(AT262,[1]字段!H:I,2,0))</f>
        <v>1.0倍人力</v>
      </c>
      <c r="AZ262" s="31">
        <f t="shared" si="31"/>
        <v>0</v>
      </c>
      <c r="BA262" s="31">
        <f t="shared" si="32"/>
        <v>0</v>
      </c>
      <c r="BB262" s="31">
        <f t="shared" si="33"/>
        <v>0</v>
      </c>
      <c r="BC262" s="31">
        <f t="shared" ref="BC262:BC325" si="35">IF(E262="",0,SUM(G262:AE262)-AZ262-BA262)</f>
        <v>0</v>
      </c>
    </row>
    <row r="263" spans="1:55" ht="28.5" customHeight="1">
      <c r="A263" s="32"/>
      <c r="B263" s="32"/>
      <c r="C263" s="41"/>
      <c r="D263" s="42"/>
      <c r="E263" s="39" t="s">
        <v>59</v>
      </c>
      <c r="F263" s="39" t="s">
        <v>60</v>
      </c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  <c r="AA263" s="29"/>
      <c r="AB263" s="29"/>
      <c r="AC263" s="29"/>
      <c r="AD263" s="29"/>
      <c r="AE263" s="29"/>
      <c r="AJ263"/>
      <c r="AK263"/>
      <c r="AL263"/>
      <c r="AM263"/>
      <c r="AN263"/>
      <c r="AO263"/>
      <c r="AP263"/>
      <c r="AQ263"/>
      <c r="AR263"/>
      <c r="AS263"/>
      <c r="AT263" s="4" t="str">
        <f t="shared" si="34"/>
        <v>1.0倍人力住房公积金</v>
      </c>
      <c r="AU263" s="4" t="str">
        <f t="shared" si="29"/>
        <v>资产负债管理及企划部</v>
      </c>
      <c r="AV263" s="4" t="str">
        <f t="shared" si="30"/>
        <v>人力费用</v>
      </c>
      <c r="AW263" s="4" t="str">
        <f>IFERROR(VLOOKUP(AV263,[1]字段!A:B,2,0),"")</f>
        <v>人力费用</v>
      </c>
      <c r="AX263" s="30" t="str">
        <f>IF(AW263="人力费用",IF(E263="","",VLOOKUP(E263,[1]字段!D:E,2,0)),AW263)</f>
        <v>1.0倍人力</v>
      </c>
      <c r="AY263" s="30" t="str">
        <f>IF(AT263="","",VLOOKUP(AT263,[1]字段!H:I,2,0))</f>
        <v>1.0倍人力</v>
      </c>
      <c r="AZ263" s="31">
        <f t="shared" si="31"/>
        <v>0</v>
      </c>
      <c r="BA263" s="31">
        <f t="shared" si="32"/>
        <v>0</v>
      </c>
      <c r="BB263" s="31">
        <f t="shared" si="33"/>
        <v>0</v>
      </c>
      <c r="BC263" s="31">
        <f t="shared" si="35"/>
        <v>0</v>
      </c>
    </row>
    <row r="264" spans="1:55" ht="28.5" customHeight="1">
      <c r="C264" s="33" t="s">
        <v>162</v>
      </c>
      <c r="D264" s="34" t="s">
        <v>163</v>
      </c>
      <c r="E264" s="35"/>
      <c r="F264" s="36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  <c r="AA264" s="29"/>
      <c r="AB264" s="29"/>
      <c r="AC264" s="29"/>
      <c r="AD264" s="29"/>
      <c r="AE264" s="29"/>
      <c r="AJ264"/>
      <c r="AK264"/>
      <c r="AL264"/>
      <c r="AM264"/>
      <c r="AN264"/>
      <c r="AO264"/>
      <c r="AP264"/>
      <c r="AQ264"/>
      <c r="AR264"/>
      <c r="AS264"/>
      <c r="AT264" s="4" t="str">
        <f t="shared" si="34"/>
        <v>运营费用</v>
      </c>
      <c r="AU264" s="4" t="str">
        <f t="shared" si="29"/>
        <v>资产负债管理及企划部</v>
      </c>
      <c r="AV264" s="4" t="str">
        <f t="shared" si="30"/>
        <v>运营费用</v>
      </c>
      <c r="AW264" s="4" t="str">
        <f>IFERROR(VLOOKUP(AV264,[1]字段!A:B,2,0),"")</f>
        <v>运营费用</v>
      </c>
      <c r="AX264" s="30" t="str">
        <f>IF(AW264="人力费用",IF(E264="","",VLOOKUP(E264,[1]字段!D:E,2,0)),AW264)</f>
        <v>运营费用</v>
      </c>
      <c r="AY264" s="30">
        <f>IF(AT264="","",VLOOKUP(AT264,[1]字段!H:I,2,0))</f>
        <v>0</v>
      </c>
      <c r="AZ264" s="31">
        <f t="shared" si="31"/>
        <v>0</v>
      </c>
      <c r="BA264" s="31">
        <f t="shared" si="32"/>
        <v>0</v>
      </c>
      <c r="BB264" s="31">
        <f t="shared" si="33"/>
        <v>0</v>
      </c>
      <c r="BC264" s="31">
        <f t="shared" si="35"/>
        <v>0</v>
      </c>
    </row>
    <row r="265" spans="1:55" ht="28.5" customHeight="1">
      <c r="A265" s="32"/>
      <c r="B265" s="32"/>
      <c r="C265" s="43"/>
      <c r="D265" s="43"/>
      <c r="E265" s="39" t="s">
        <v>164</v>
      </c>
      <c r="F265" s="39" t="s">
        <v>165</v>
      </c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  <c r="AA265" s="29"/>
      <c r="AB265" s="29"/>
      <c r="AC265" s="29"/>
      <c r="AD265" s="29"/>
      <c r="AE265" s="29"/>
      <c r="AJ265"/>
      <c r="AK265"/>
      <c r="AL265"/>
      <c r="AM265"/>
      <c r="AN265"/>
      <c r="AO265"/>
      <c r="AP265"/>
      <c r="AQ265"/>
      <c r="AR265"/>
      <c r="AS265"/>
      <c r="AT265" s="4" t="str">
        <f t="shared" si="34"/>
        <v>运营费用存款保险费</v>
      </c>
      <c r="AU265" s="4" t="str">
        <f t="shared" si="29"/>
        <v>资产负债管理及企划部</v>
      </c>
      <c r="AV265" s="4" t="str">
        <f t="shared" si="30"/>
        <v>运营费用</v>
      </c>
      <c r="AW265" s="4" t="str">
        <f>IFERROR(VLOOKUP(AV265,[1]字段!A:B,2,0),"")</f>
        <v>运营费用</v>
      </c>
      <c r="AX265" s="30" t="str">
        <f>IF(AW265="人力费用",IF(E265="","",VLOOKUP(E265,[1]字段!D:E,2,0)),AW265)</f>
        <v>运营费用</v>
      </c>
      <c r="AY265" s="30" t="str">
        <f>IF(AT265="","",VLOOKUP(AT265,[1]字段!H:I,2,0))</f>
        <v>运营费用-存款保险费</v>
      </c>
      <c r="AZ265" s="31">
        <f t="shared" si="31"/>
        <v>0</v>
      </c>
      <c r="BA265" s="31">
        <f t="shared" si="32"/>
        <v>0</v>
      </c>
      <c r="BB265" s="31">
        <f t="shared" si="33"/>
        <v>0</v>
      </c>
      <c r="BC265" s="31">
        <f t="shared" si="35"/>
        <v>0</v>
      </c>
    </row>
    <row r="266" spans="1:55" ht="28.5" customHeight="1">
      <c r="C266" s="33" t="s">
        <v>61</v>
      </c>
      <c r="D266" s="34" t="s">
        <v>62</v>
      </c>
      <c r="E266" s="35"/>
      <c r="F266" s="36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  <c r="AA266" s="29"/>
      <c r="AB266" s="29"/>
      <c r="AC266" s="29"/>
      <c r="AD266" s="29"/>
      <c r="AE266" s="29"/>
      <c r="AJ266"/>
      <c r="AK266"/>
      <c r="AL266"/>
      <c r="AM266"/>
      <c r="AN266"/>
      <c r="AO266"/>
      <c r="AP266"/>
      <c r="AQ266"/>
      <c r="AR266"/>
      <c r="AS266"/>
      <c r="AT266" s="4" t="str">
        <f t="shared" si="34"/>
        <v>运营费用</v>
      </c>
      <c r="AU266" s="4" t="str">
        <f t="shared" si="29"/>
        <v>资产负债管理及企划部</v>
      </c>
      <c r="AV266" s="4" t="str">
        <f t="shared" si="30"/>
        <v>IT运营费用</v>
      </c>
      <c r="AW266" s="4" t="str">
        <f>IFERROR(VLOOKUP(AV266,[1]字段!A:B,2,0),"")</f>
        <v>运营费用</v>
      </c>
      <c r="AX266" s="30" t="str">
        <f>IF(AW266="人力费用",IF(E266="","",VLOOKUP(E266,[1]字段!D:E,2,0)),AW266)</f>
        <v>运营费用</v>
      </c>
      <c r="AY266" s="30">
        <f>IF(AT266="","",VLOOKUP(AT266,[1]字段!H:I,2,0))</f>
        <v>0</v>
      </c>
      <c r="AZ266" s="31">
        <f t="shared" si="31"/>
        <v>0</v>
      </c>
      <c r="BA266" s="31">
        <f t="shared" si="32"/>
        <v>0</v>
      </c>
      <c r="BB266" s="31">
        <f t="shared" si="33"/>
        <v>0</v>
      </c>
      <c r="BC266" s="31">
        <f t="shared" si="35"/>
        <v>0</v>
      </c>
    </row>
    <row r="267" spans="1:55" ht="28.5" customHeight="1">
      <c r="A267" s="32"/>
      <c r="B267" s="32"/>
      <c r="C267" s="43"/>
      <c r="D267" s="43"/>
      <c r="E267" s="39" t="s">
        <v>63</v>
      </c>
      <c r="F267" s="39" t="s">
        <v>64</v>
      </c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  <c r="AA267" s="29"/>
      <c r="AB267" s="29"/>
      <c r="AC267" s="29"/>
      <c r="AD267" s="29"/>
      <c r="AE267" s="29"/>
      <c r="AJ267"/>
      <c r="AK267"/>
      <c r="AL267"/>
      <c r="AM267"/>
      <c r="AN267"/>
      <c r="AO267"/>
      <c r="AP267"/>
      <c r="AQ267"/>
      <c r="AR267"/>
      <c r="AS267"/>
      <c r="AT267" s="4" t="str">
        <f t="shared" si="34"/>
        <v>运营费用信息资料费</v>
      </c>
      <c r="AU267" s="4" t="str">
        <f t="shared" si="29"/>
        <v>资产负债管理及企划部</v>
      </c>
      <c r="AV267" s="4" t="str">
        <f t="shared" si="30"/>
        <v>IT运营费用</v>
      </c>
      <c r="AW267" s="4" t="str">
        <f>IFERROR(VLOOKUP(AV267,[1]字段!A:B,2,0),"")</f>
        <v>运营费用</v>
      </c>
      <c r="AX267" s="30" t="str">
        <f>IF(AW267="人力费用",IF(E267="","",VLOOKUP(E267,[1]字段!D:E,2,0)),AW267)</f>
        <v>运营费用</v>
      </c>
      <c r="AY267" s="30" t="str">
        <f>IF(AT267="","",VLOOKUP(AT267,[1]字段!H:I,2,0))</f>
        <v>运营费用-运营其他</v>
      </c>
      <c r="AZ267" s="31">
        <f t="shared" si="31"/>
        <v>0</v>
      </c>
      <c r="BA267" s="31">
        <f t="shared" si="32"/>
        <v>0</v>
      </c>
      <c r="BB267" s="31">
        <f t="shared" si="33"/>
        <v>0</v>
      </c>
      <c r="BC267" s="31">
        <f t="shared" si="35"/>
        <v>0</v>
      </c>
    </row>
    <row r="268" spans="1:55" ht="28.5" customHeight="1">
      <c r="C268" s="33" t="s">
        <v>65</v>
      </c>
      <c r="D268" s="34" t="s">
        <v>66</v>
      </c>
      <c r="E268" s="35"/>
      <c r="F268" s="36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  <c r="AA268" s="29"/>
      <c r="AB268" s="29"/>
      <c r="AC268" s="29"/>
      <c r="AD268" s="29"/>
      <c r="AE268" s="29"/>
      <c r="AJ268"/>
      <c r="AK268"/>
      <c r="AL268"/>
      <c r="AM268"/>
      <c r="AN268"/>
      <c r="AO268"/>
      <c r="AP268"/>
      <c r="AQ268"/>
      <c r="AR268"/>
      <c r="AS268"/>
      <c r="AT268" s="4" t="str">
        <f t="shared" si="34"/>
        <v>IT费用</v>
      </c>
      <c r="AU268" s="4" t="str">
        <f t="shared" si="29"/>
        <v>资产负债管理及企划部</v>
      </c>
      <c r="AV268" s="4" t="str">
        <f t="shared" si="30"/>
        <v>IT科技费用</v>
      </c>
      <c r="AW268" s="4" t="str">
        <f>IFERROR(VLOOKUP(AV268,[1]字段!A:B,2,0),"")</f>
        <v>IT费用</v>
      </c>
      <c r="AX268" s="30" t="str">
        <f>IF(AW268="人力费用",IF(E268="","",VLOOKUP(E268,[1]字段!D:E,2,0)),AW268)</f>
        <v>IT费用</v>
      </c>
      <c r="AY268" s="30">
        <f>IF(AT268="","",VLOOKUP(AT268,[1]字段!H:I,2,0))</f>
        <v>0</v>
      </c>
      <c r="AZ268" s="31">
        <f t="shared" si="31"/>
        <v>0</v>
      </c>
      <c r="BA268" s="31">
        <f t="shared" si="32"/>
        <v>0</v>
      </c>
      <c r="BB268" s="31">
        <f t="shared" si="33"/>
        <v>0</v>
      </c>
      <c r="BC268" s="31">
        <f t="shared" si="35"/>
        <v>0</v>
      </c>
    </row>
    <row r="269" spans="1:55" ht="28.5" customHeight="1">
      <c r="A269" s="32"/>
      <c r="B269" s="32"/>
      <c r="C269" s="37"/>
      <c r="D269" s="38"/>
      <c r="E269" s="39" t="s">
        <v>67</v>
      </c>
      <c r="F269" s="39" t="s">
        <v>68</v>
      </c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  <c r="AA269" s="29"/>
      <c r="AB269" s="29"/>
      <c r="AC269" s="29"/>
      <c r="AD269" s="29"/>
      <c r="AE269" s="29"/>
      <c r="AJ269"/>
      <c r="AK269"/>
      <c r="AL269"/>
      <c r="AM269"/>
      <c r="AN269"/>
      <c r="AO269"/>
      <c r="AP269"/>
      <c r="AQ269"/>
      <c r="AR269"/>
      <c r="AS269"/>
      <c r="AT269" s="4" t="str">
        <f t="shared" si="34"/>
        <v>IT费用一般运营设备折旧费</v>
      </c>
      <c r="AU269" s="4" t="str">
        <f t="shared" si="29"/>
        <v>资产负债管理及企划部</v>
      </c>
      <c r="AV269" s="4" t="str">
        <f t="shared" si="30"/>
        <v>IT科技费用</v>
      </c>
      <c r="AW269" s="4" t="str">
        <f>IFERROR(VLOOKUP(AV269,[1]字段!A:B,2,0),"")</f>
        <v>IT费用</v>
      </c>
      <c r="AX269" s="30" t="str">
        <f>IF(AW269="人力费用",IF(E269="","",VLOOKUP(E269,[1]字段!D:E,2,0)),AW269)</f>
        <v>IT费用</v>
      </c>
      <c r="AY269" s="30" t="str">
        <f>IF(AT269="","",VLOOKUP(AT269,[1]字段!H:I,2,0))</f>
        <v>IT费用</v>
      </c>
      <c r="AZ269" s="31">
        <f t="shared" si="31"/>
        <v>0</v>
      </c>
      <c r="BA269" s="31">
        <f t="shared" si="32"/>
        <v>0</v>
      </c>
      <c r="BB269" s="31">
        <f t="shared" si="33"/>
        <v>0</v>
      </c>
      <c r="BC269" s="31">
        <f t="shared" si="35"/>
        <v>0</v>
      </c>
    </row>
    <row r="270" spans="1:55" ht="28.5" customHeight="1">
      <c r="A270" s="32"/>
      <c r="B270" s="32"/>
      <c r="C270" s="32"/>
      <c r="D270" s="40"/>
      <c r="E270" s="39" t="s">
        <v>69</v>
      </c>
      <c r="F270" s="39" t="s">
        <v>70</v>
      </c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  <c r="AA270" s="29"/>
      <c r="AB270" s="29"/>
      <c r="AC270" s="29"/>
      <c r="AD270" s="29"/>
      <c r="AE270" s="29"/>
      <c r="AJ270"/>
      <c r="AK270"/>
      <c r="AL270"/>
      <c r="AM270"/>
      <c r="AN270"/>
      <c r="AO270"/>
      <c r="AP270"/>
      <c r="AQ270"/>
      <c r="AR270"/>
      <c r="AS270"/>
      <c r="AT270" s="4" t="str">
        <f t="shared" si="34"/>
        <v>IT费用移动终端折旧费</v>
      </c>
      <c r="AU270" s="4" t="str">
        <f t="shared" si="29"/>
        <v>资产负债管理及企划部</v>
      </c>
      <c r="AV270" s="4" t="str">
        <f t="shared" si="30"/>
        <v>IT科技费用</v>
      </c>
      <c r="AW270" s="4" t="str">
        <f>IFERROR(VLOOKUP(AV270,[1]字段!A:B,2,0),"")</f>
        <v>IT费用</v>
      </c>
      <c r="AX270" s="30" t="str">
        <f>IF(AW270="人力费用",IF(E270="","",VLOOKUP(E270,[1]字段!D:E,2,0)),AW270)</f>
        <v>IT费用</v>
      </c>
      <c r="AY270" s="30" t="str">
        <f>IF(AT270="","",VLOOKUP(AT270,[1]字段!H:I,2,0))</f>
        <v>IT费用</v>
      </c>
      <c r="AZ270" s="31">
        <f t="shared" si="31"/>
        <v>0</v>
      </c>
      <c r="BA270" s="31">
        <f t="shared" si="32"/>
        <v>0</v>
      </c>
      <c r="BB270" s="31">
        <f t="shared" si="33"/>
        <v>0</v>
      </c>
      <c r="BC270" s="31">
        <f t="shared" si="35"/>
        <v>0</v>
      </c>
    </row>
    <row r="271" spans="1:55" ht="28.5" customHeight="1">
      <c r="A271" s="32"/>
      <c r="B271" s="32"/>
      <c r="C271" s="32"/>
      <c r="D271" s="40"/>
      <c r="E271" s="39" t="s">
        <v>71</v>
      </c>
      <c r="F271" s="39" t="s">
        <v>72</v>
      </c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  <c r="AA271" s="29"/>
      <c r="AB271" s="29"/>
      <c r="AC271" s="29"/>
      <c r="AD271" s="29"/>
      <c r="AE271" s="29"/>
      <c r="AJ271"/>
      <c r="AK271"/>
      <c r="AL271"/>
      <c r="AM271"/>
      <c r="AN271"/>
      <c r="AO271"/>
      <c r="AP271"/>
      <c r="AQ271"/>
      <c r="AR271"/>
      <c r="AS271"/>
      <c r="AT271" s="4" t="str">
        <f t="shared" si="34"/>
        <v>IT费用办公IT设备折旧费</v>
      </c>
      <c r="AU271" s="4" t="str">
        <f t="shared" si="29"/>
        <v>资产负债管理及企划部</v>
      </c>
      <c r="AV271" s="4" t="str">
        <f t="shared" si="30"/>
        <v>IT科技费用</v>
      </c>
      <c r="AW271" s="4" t="str">
        <f>IFERROR(VLOOKUP(AV271,[1]字段!A:B,2,0),"")</f>
        <v>IT费用</v>
      </c>
      <c r="AX271" s="30" t="str">
        <f>IF(AW271="人力费用",IF(E271="","",VLOOKUP(E271,[1]字段!D:E,2,0)),AW271)</f>
        <v>IT费用</v>
      </c>
      <c r="AY271" s="30" t="str">
        <f>IF(AT271="","",VLOOKUP(AT271,[1]字段!H:I,2,0))</f>
        <v>IT费用</v>
      </c>
      <c r="AZ271" s="31">
        <f t="shared" si="31"/>
        <v>0</v>
      </c>
      <c r="BA271" s="31">
        <f t="shared" si="32"/>
        <v>0</v>
      </c>
      <c r="BB271" s="31">
        <f t="shared" si="33"/>
        <v>0</v>
      </c>
      <c r="BC271" s="31">
        <f t="shared" si="35"/>
        <v>0</v>
      </c>
    </row>
    <row r="272" spans="1:55" ht="28.5" customHeight="1">
      <c r="A272" s="32"/>
      <c r="B272" s="32"/>
      <c r="C272" s="32"/>
      <c r="D272" s="40"/>
      <c r="E272" s="39" t="s">
        <v>73</v>
      </c>
      <c r="F272" s="39" t="s">
        <v>74</v>
      </c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  <c r="AA272" s="29"/>
      <c r="AB272" s="29"/>
      <c r="AC272" s="29"/>
      <c r="AD272" s="29"/>
      <c r="AE272" s="29"/>
      <c r="AJ272"/>
      <c r="AK272"/>
      <c r="AL272"/>
      <c r="AM272"/>
      <c r="AN272"/>
      <c r="AO272"/>
      <c r="AP272"/>
      <c r="AQ272"/>
      <c r="AR272"/>
      <c r="AS272"/>
      <c r="AT272" s="4" t="str">
        <f t="shared" si="34"/>
        <v>IT费用计算机软件摊销</v>
      </c>
      <c r="AU272" s="4" t="str">
        <f t="shared" si="29"/>
        <v>资产负债管理及企划部</v>
      </c>
      <c r="AV272" s="4" t="str">
        <f t="shared" si="30"/>
        <v>IT科技费用</v>
      </c>
      <c r="AW272" s="4" t="str">
        <f>IFERROR(VLOOKUP(AV272,[1]字段!A:B,2,0),"")</f>
        <v>IT费用</v>
      </c>
      <c r="AX272" s="30" t="str">
        <f>IF(AW272="人力费用",IF(E272="","",VLOOKUP(E272,[1]字段!D:E,2,0)),AW272)</f>
        <v>IT费用</v>
      </c>
      <c r="AY272" s="30" t="str">
        <f>IF(AT272="","",VLOOKUP(AT272,[1]字段!H:I,2,0))</f>
        <v>IT费用</v>
      </c>
      <c r="AZ272" s="31">
        <f t="shared" si="31"/>
        <v>0</v>
      </c>
      <c r="BA272" s="31">
        <f t="shared" si="32"/>
        <v>0</v>
      </c>
      <c r="BB272" s="31">
        <f t="shared" si="33"/>
        <v>0</v>
      </c>
      <c r="BC272" s="31">
        <f t="shared" si="35"/>
        <v>0</v>
      </c>
    </row>
    <row r="273" spans="1:55" ht="28.5" customHeight="1">
      <c r="A273" s="32"/>
      <c r="B273" s="32"/>
      <c r="C273" s="32"/>
      <c r="D273" s="40"/>
      <c r="E273" s="39" t="s">
        <v>75</v>
      </c>
      <c r="F273" s="39" t="s">
        <v>76</v>
      </c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  <c r="AA273" s="29"/>
      <c r="AB273" s="29"/>
      <c r="AC273" s="29"/>
      <c r="AD273" s="29"/>
      <c r="AE273" s="29"/>
      <c r="AJ273"/>
      <c r="AK273"/>
      <c r="AL273"/>
      <c r="AM273"/>
      <c r="AN273"/>
      <c r="AO273"/>
      <c r="AP273"/>
      <c r="AQ273"/>
      <c r="AR273"/>
      <c r="AS273"/>
      <c r="AT273" s="4" t="str">
        <f t="shared" si="34"/>
        <v>IT费用数据资源摊销</v>
      </c>
      <c r="AU273" s="4" t="str">
        <f t="shared" si="29"/>
        <v>资产负债管理及企划部</v>
      </c>
      <c r="AV273" s="4" t="str">
        <f t="shared" si="30"/>
        <v>IT科技费用</v>
      </c>
      <c r="AW273" s="4" t="str">
        <f>IFERROR(VLOOKUP(AV273,[1]字段!A:B,2,0),"")</f>
        <v>IT费用</v>
      </c>
      <c r="AX273" s="30" t="str">
        <f>IF(AW273="人力费用",IF(E273="","",VLOOKUP(E273,[1]字段!D:E,2,0)),AW273)</f>
        <v>IT费用</v>
      </c>
      <c r="AY273" s="30" t="str">
        <f>IF(AT273="","",VLOOKUP(AT273,[1]字段!H:I,2,0))</f>
        <v>IT费用</v>
      </c>
      <c r="AZ273" s="31">
        <f t="shared" si="31"/>
        <v>0</v>
      </c>
      <c r="BA273" s="31">
        <f t="shared" si="32"/>
        <v>0</v>
      </c>
      <c r="BB273" s="31">
        <f t="shared" si="33"/>
        <v>0</v>
      </c>
      <c r="BC273" s="31">
        <f t="shared" si="35"/>
        <v>0</v>
      </c>
    </row>
    <row r="274" spans="1:55" ht="28.5" customHeight="1">
      <c r="A274" s="32"/>
      <c r="B274" s="32"/>
      <c r="C274" s="32"/>
      <c r="D274" s="40"/>
      <c r="E274" s="39" t="s">
        <v>77</v>
      </c>
      <c r="F274" s="39" t="s">
        <v>78</v>
      </c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  <c r="AA274" s="29"/>
      <c r="AB274" s="29"/>
      <c r="AC274" s="29"/>
      <c r="AD274" s="29"/>
      <c r="AE274" s="29"/>
      <c r="AJ274"/>
      <c r="AK274"/>
      <c r="AL274"/>
      <c r="AM274"/>
      <c r="AN274"/>
      <c r="AO274"/>
      <c r="AP274"/>
      <c r="AQ274"/>
      <c r="AR274"/>
      <c r="AS274"/>
      <c r="AT274" s="4" t="str">
        <f t="shared" si="34"/>
        <v>IT费用咨询费</v>
      </c>
      <c r="AU274" s="4" t="str">
        <f t="shared" si="29"/>
        <v>资产负债管理及企划部</v>
      </c>
      <c r="AV274" s="4" t="str">
        <f t="shared" si="30"/>
        <v>IT科技费用</v>
      </c>
      <c r="AW274" s="4" t="str">
        <f>IFERROR(VLOOKUP(AV274,[1]字段!A:B,2,0),"")</f>
        <v>IT费用</v>
      </c>
      <c r="AX274" s="30" t="str">
        <f>IF(AW274="人力费用",IF(E274="","",VLOOKUP(E274,[1]字段!D:E,2,0)),AW274)</f>
        <v>IT费用</v>
      </c>
      <c r="AY274" s="30" t="str">
        <f>IF(AT274="","",VLOOKUP(AT274,[1]字段!H:I,2,0))</f>
        <v>IT费用</v>
      </c>
      <c r="AZ274" s="31">
        <f t="shared" si="31"/>
        <v>0</v>
      </c>
      <c r="BA274" s="31">
        <f t="shared" si="32"/>
        <v>0</v>
      </c>
      <c r="BB274" s="31">
        <f t="shared" si="33"/>
        <v>0</v>
      </c>
      <c r="BC274" s="31">
        <f t="shared" si="35"/>
        <v>0</v>
      </c>
    </row>
    <row r="275" spans="1:55" ht="28.5" customHeight="1">
      <c r="A275" s="32"/>
      <c r="B275" s="32"/>
      <c r="C275" s="32"/>
      <c r="D275" s="40"/>
      <c r="E275" s="39" t="s">
        <v>79</v>
      </c>
      <c r="F275" s="39" t="s">
        <v>80</v>
      </c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  <c r="AA275" s="29"/>
      <c r="AB275" s="29"/>
      <c r="AC275" s="29"/>
      <c r="AD275" s="29"/>
      <c r="AE275" s="29"/>
      <c r="AJ275"/>
      <c r="AK275"/>
      <c r="AL275"/>
      <c r="AM275"/>
      <c r="AN275"/>
      <c r="AO275"/>
      <c r="AP275"/>
      <c r="AQ275"/>
      <c r="AR275"/>
      <c r="AS275"/>
      <c r="AT275" s="4" t="str">
        <f t="shared" si="34"/>
        <v>IT费用网络通讯费 </v>
      </c>
      <c r="AU275" s="4" t="str">
        <f t="shared" si="29"/>
        <v>资产负债管理及企划部</v>
      </c>
      <c r="AV275" s="4" t="str">
        <f t="shared" si="30"/>
        <v>IT科技费用</v>
      </c>
      <c r="AW275" s="4" t="str">
        <f>IFERROR(VLOOKUP(AV275,[1]字段!A:B,2,0),"")</f>
        <v>IT费用</v>
      </c>
      <c r="AX275" s="30" t="str">
        <f>IF(AW275="人力费用",IF(E275="","",VLOOKUP(E275,[1]字段!D:E,2,0)),AW275)</f>
        <v>IT费用</v>
      </c>
      <c r="AY275" s="30" t="str">
        <f>IF(AT275="","",VLOOKUP(AT275,[1]字段!H:I,2,0))</f>
        <v>IT费用</v>
      </c>
      <c r="AZ275" s="31">
        <f t="shared" si="31"/>
        <v>0</v>
      </c>
      <c r="BA275" s="31">
        <f t="shared" si="32"/>
        <v>0</v>
      </c>
      <c r="BB275" s="31">
        <f t="shared" si="33"/>
        <v>0</v>
      </c>
      <c r="BC275" s="31">
        <f t="shared" si="35"/>
        <v>0</v>
      </c>
    </row>
    <row r="276" spans="1:55" ht="28.5" customHeight="1">
      <c r="A276" s="32"/>
      <c r="B276" s="32"/>
      <c r="C276" s="32"/>
      <c r="D276" s="40"/>
      <c r="E276" s="39" t="s">
        <v>81</v>
      </c>
      <c r="F276" s="39" t="s">
        <v>82</v>
      </c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  <c r="AA276" s="29"/>
      <c r="AB276" s="29"/>
      <c r="AC276" s="29"/>
      <c r="AD276" s="29"/>
      <c r="AE276" s="29"/>
      <c r="AJ276"/>
      <c r="AK276"/>
      <c r="AL276"/>
      <c r="AM276"/>
      <c r="AN276"/>
      <c r="AO276"/>
      <c r="AP276"/>
      <c r="AQ276"/>
      <c r="AR276"/>
      <c r="AS276"/>
      <c r="AT276" s="4" t="str">
        <f t="shared" si="34"/>
        <v>IT费用电子设备运转费 </v>
      </c>
      <c r="AU276" s="4" t="str">
        <f t="shared" si="29"/>
        <v>资产负债管理及企划部</v>
      </c>
      <c r="AV276" s="4" t="str">
        <f t="shared" si="30"/>
        <v>IT科技费用</v>
      </c>
      <c r="AW276" s="4" t="str">
        <f>IFERROR(VLOOKUP(AV276,[1]字段!A:B,2,0),"")</f>
        <v>IT费用</v>
      </c>
      <c r="AX276" s="30" t="str">
        <f>IF(AW276="人力费用",IF(E276="","",VLOOKUP(E276,[1]字段!D:E,2,0)),AW276)</f>
        <v>IT费用</v>
      </c>
      <c r="AY276" s="30" t="str">
        <f>IF(AT276="","",VLOOKUP(AT276,[1]字段!H:I,2,0))</f>
        <v>IT费用</v>
      </c>
      <c r="AZ276" s="31">
        <f t="shared" si="31"/>
        <v>0</v>
      </c>
      <c r="BA276" s="31">
        <f t="shared" si="32"/>
        <v>0</v>
      </c>
      <c r="BB276" s="31">
        <f t="shared" si="33"/>
        <v>0</v>
      </c>
      <c r="BC276" s="31">
        <f t="shared" si="35"/>
        <v>0</v>
      </c>
    </row>
    <row r="277" spans="1:55" ht="28.5" customHeight="1">
      <c r="A277" s="32"/>
      <c r="B277" s="32"/>
      <c r="C277" s="41"/>
      <c r="D277" s="42"/>
      <c r="E277" s="39" t="s">
        <v>83</v>
      </c>
      <c r="F277" s="39" t="s">
        <v>84</v>
      </c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  <c r="AA277" s="29"/>
      <c r="AB277" s="29"/>
      <c r="AC277" s="29"/>
      <c r="AD277" s="29"/>
      <c r="AE277" s="29"/>
      <c r="AJ277"/>
      <c r="AK277"/>
      <c r="AL277"/>
      <c r="AM277"/>
      <c r="AN277"/>
      <c r="AO277"/>
      <c r="AP277"/>
      <c r="AQ277"/>
      <c r="AR277"/>
      <c r="AS277"/>
      <c r="AT277" s="4" t="str">
        <f t="shared" si="34"/>
        <v>IT费用其他外包服务费</v>
      </c>
      <c r="AU277" s="4" t="str">
        <f t="shared" si="29"/>
        <v>资产负债管理及企划部</v>
      </c>
      <c r="AV277" s="4" t="str">
        <f t="shared" si="30"/>
        <v>IT科技费用</v>
      </c>
      <c r="AW277" s="4" t="str">
        <f>IFERROR(VLOOKUP(AV277,[1]字段!A:B,2,0),"")</f>
        <v>IT费用</v>
      </c>
      <c r="AX277" s="30" t="str">
        <f>IF(AW277="人力费用",IF(E277="","",VLOOKUP(E277,[1]字段!D:E,2,0)),AW277)</f>
        <v>IT费用</v>
      </c>
      <c r="AY277" s="30" t="str">
        <f>IF(AT277="","",VLOOKUP(AT277,[1]字段!H:I,2,0))</f>
        <v>IT费用</v>
      </c>
      <c r="AZ277" s="31">
        <f t="shared" si="31"/>
        <v>0</v>
      </c>
      <c r="BA277" s="31">
        <f t="shared" si="32"/>
        <v>0</v>
      </c>
      <c r="BB277" s="31">
        <f t="shared" si="33"/>
        <v>0</v>
      </c>
      <c r="BC277" s="31">
        <f t="shared" si="35"/>
        <v>0</v>
      </c>
    </row>
    <row r="278" spans="1:55" ht="28.5" customHeight="1">
      <c r="C278" s="33" t="s">
        <v>85</v>
      </c>
      <c r="D278" s="34" t="s">
        <v>86</v>
      </c>
      <c r="E278" s="35"/>
      <c r="F278" s="36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  <c r="AA278" s="29"/>
      <c r="AB278" s="29"/>
      <c r="AC278" s="29"/>
      <c r="AD278" s="29"/>
      <c r="AE278" s="29"/>
      <c r="AJ278"/>
      <c r="AK278"/>
      <c r="AL278"/>
      <c r="AM278"/>
      <c r="AN278"/>
      <c r="AO278"/>
      <c r="AP278"/>
      <c r="AQ278"/>
      <c r="AR278"/>
      <c r="AS278"/>
      <c r="AT278" s="4" t="str">
        <f t="shared" si="34"/>
        <v>日常费用</v>
      </c>
      <c r="AU278" s="4" t="str">
        <f t="shared" si="29"/>
        <v>资产负债管理及企划部</v>
      </c>
      <c r="AV278" s="4" t="str">
        <f t="shared" si="30"/>
        <v>IT日常费用</v>
      </c>
      <c r="AW278" s="4" t="str">
        <f>IFERROR(VLOOKUP(AV278,[1]字段!A:B,2,0),"")</f>
        <v>日常费用</v>
      </c>
      <c r="AX278" s="30" t="str">
        <f>IF(AW278="人力费用",IF(E278="","",VLOOKUP(E278,[1]字段!D:E,2,0)),AW278)</f>
        <v>日常费用</v>
      </c>
      <c r="AY278" s="30">
        <f>IF(AT278="","",VLOOKUP(AT278,[1]字段!H:I,2,0))</f>
        <v>0</v>
      </c>
      <c r="AZ278" s="31">
        <f t="shared" si="31"/>
        <v>0</v>
      </c>
      <c r="BA278" s="31">
        <f t="shared" si="32"/>
        <v>0</v>
      </c>
      <c r="BB278" s="31">
        <f t="shared" si="33"/>
        <v>0</v>
      </c>
      <c r="BC278" s="31">
        <f t="shared" si="35"/>
        <v>0</v>
      </c>
    </row>
    <row r="279" spans="1:55" ht="28.5" customHeight="1">
      <c r="A279" s="32"/>
      <c r="B279" s="32"/>
      <c r="C279" s="37"/>
      <c r="D279" s="38"/>
      <c r="E279" s="39" t="s">
        <v>87</v>
      </c>
      <c r="F279" s="39" t="s">
        <v>88</v>
      </c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  <c r="AA279" s="29"/>
      <c r="AB279" s="29"/>
      <c r="AC279" s="29"/>
      <c r="AD279" s="29"/>
      <c r="AE279" s="29"/>
      <c r="AJ279"/>
      <c r="AK279"/>
      <c r="AL279"/>
      <c r="AM279"/>
      <c r="AN279"/>
      <c r="AO279"/>
      <c r="AP279"/>
      <c r="AQ279"/>
      <c r="AR279"/>
      <c r="AS279"/>
      <c r="AT279" s="4" t="str">
        <f t="shared" si="34"/>
        <v>日常费用办公OA设备折旧费</v>
      </c>
      <c r="AU279" s="4" t="str">
        <f t="shared" si="29"/>
        <v>资产负债管理及企划部</v>
      </c>
      <c r="AV279" s="4" t="str">
        <f t="shared" si="30"/>
        <v>IT日常费用</v>
      </c>
      <c r="AW279" s="4" t="str">
        <f>IFERROR(VLOOKUP(AV279,[1]字段!A:B,2,0),"")</f>
        <v>日常费用</v>
      </c>
      <c r="AX279" s="30" t="str">
        <f>IF(AW279="人力费用",IF(E279="","",VLOOKUP(E279,[1]字段!D:E,2,0)),AW279)</f>
        <v>日常费用</v>
      </c>
      <c r="AY279" s="30" t="str">
        <f>IF(AT279="","",VLOOKUP(AT279,[1]字段!H:I,2,0))</f>
        <v>日常费用-其他</v>
      </c>
      <c r="AZ279" s="31">
        <f t="shared" si="31"/>
        <v>0</v>
      </c>
      <c r="BA279" s="31">
        <f t="shared" si="32"/>
        <v>0</v>
      </c>
      <c r="BB279" s="31">
        <f t="shared" si="33"/>
        <v>0</v>
      </c>
      <c r="BC279" s="31">
        <f t="shared" si="35"/>
        <v>0</v>
      </c>
    </row>
    <row r="280" spans="1:55" ht="28.5" customHeight="1">
      <c r="A280" s="32"/>
      <c r="B280" s="32"/>
      <c r="C280" s="41"/>
      <c r="D280" s="42"/>
      <c r="E280" s="39" t="s">
        <v>89</v>
      </c>
      <c r="F280" s="39" t="s">
        <v>90</v>
      </c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  <c r="AA280" s="29"/>
      <c r="AB280" s="29"/>
      <c r="AC280" s="29"/>
      <c r="AD280" s="29"/>
      <c r="AE280" s="29"/>
      <c r="AJ280"/>
      <c r="AK280"/>
      <c r="AL280"/>
      <c r="AM280"/>
      <c r="AN280"/>
      <c r="AO280"/>
      <c r="AP280"/>
      <c r="AQ280"/>
      <c r="AR280"/>
      <c r="AS280"/>
      <c r="AT280" s="4" t="str">
        <f t="shared" si="34"/>
        <v>日常费用办公家具折旧费</v>
      </c>
      <c r="AU280" s="4" t="str">
        <f t="shared" si="29"/>
        <v>资产负债管理及企划部</v>
      </c>
      <c r="AV280" s="4" t="str">
        <f t="shared" si="30"/>
        <v>IT日常费用</v>
      </c>
      <c r="AW280" s="4" t="str">
        <f>IFERROR(VLOOKUP(AV280,[1]字段!A:B,2,0),"")</f>
        <v>日常费用</v>
      </c>
      <c r="AX280" s="30" t="str">
        <f>IF(AW280="人力费用",IF(E280="","",VLOOKUP(E280,[1]字段!D:E,2,0)),AW280)</f>
        <v>日常费用</v>
      </c>
      <c r="AY280" s="30" t="str">
        <f>IF(AT280="","",VLOOKUP(AT280,[1]字段!H:I,2,0))</f>
        <v>日常费用-其他</v>
      </c>
      <c r="AZ280" s="31">
        <f t="shared" si="31"/>
        <v>0</v>
      </c>
      <c r="BA280" s="31">
        <f t="shared" si="32"/>
        <v>0</v>
      </c>
      <c r="BB280" s="31">
        <f t="shared" si="33"/>
        <v>0</v>
      </c>
      <c r="BC280" s="31">
        <f t="shared" si="35"/>
        <v>0</v>
      </c>
    </row>
    <row r="281" spans="1:55" ht="28.5" customHeight="1">
      <c r="C281" s="33" t="s">
        <v>93</v>
      </c>
      <c r="D281" s="34" t="s">
        <v>94</v>
      </c>
      <c r="E281" s="35"/>
      <c r="F281" s="36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  <c r="AA281" s="29"/>
      <c r="AB281" s="29"/>
      <c r="AC281" s="29"/>
      <c r="AD281" s="29"/>
      <c r="AE281" s="29"/>
      <c r="AJ281"/>
      <c r="AK281"/>
      <c r="AL281"/>
      <c r="AM281"/>
      <c r="AN281"/>
      <c r="AO281"/>
      <c r="AP281"/>
      <c r="AQ281"/>
      <c r="AR281"/>
      <c r="AS281"/>
      <c r="AT281" s="4" t="str">
        <f t="shared" si="34"/>
        <v>日常费用</v>
      </c>
      <c r="AU281" s="4" t="str">
        <f t="shared" si="29"/>
        <v>资产负债管理及企划部</v>
      </c>
      <c r="AV281" s="4" t="str">
        <f t="shared" si="30"/>
        <v>日常费用</v>
      </c>
      <c r="AW281" s="4" t="str">
        <f>IFERROR(VLOOKUP(AV281,[1]字段!A:B,2,0),"")</f>
        <v>日常费用</v>
      </c>
      <c r="AX281" s="30" t="str">
        <f>IF(AW281="人力费用",IF(E281="","",VLOOKUP(E281,[1]字段!D:E,2,0)),AW281)</f>
        <v>日常费用</v>
      </c>
      <c r="AY281" s="30">
        <f>IF(AT281="","",VLOOKUP(AT281,[1]字段!H:I,2,0))</f>
        <v>0</v>
      </c>
      <c r="AZ281" s="31">
        <f t="shared" si="31"/>
        <v>0</v>
      </c>
      <c r="BA281" s="31">
        <f t="shared" si="32"/>
        <v>0</v>
      </c>
      <c r="BB281" s="31">
        <f t="shared" si="33"/>
        <v>0</v>
      </c>
      <c r="BC281" s="31">
        <f t="shared" si="35"/>
        <v>0</v>
      </c>
    </row>
    <row r="282" spans="1:55" ht="28.5" customHeight="1">
      <c r="A282" s="32"/>
      <c r="B282" s="32"/>
      <c r="C282" s="43"/>
      <c r="D282" s="43"/>
      <c r="E282" s="39" t="s">
        <v>77</v>
      </c>
      <c r="F282" s="39" t="s">
        <v>78</v>
      </c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  <c r="AA282" s="29"/>
      <c r="AB282" s="29"/>
      <c r="AC282" s="29"/>
      <c r="AD282" s="29"/>
      <c r="AE282" s="29"/>
      <c r="AJ282"/>
      <c r="AK282"/>
      <c r="AL282"/>
      <c r="AM282"/>
      <c r="AN282"/>
      <c r="AO282"/>
      <c r="AP282"/>
      <c r="AQ282"/>
      <c r="AR282"/>
      <c r="AS282"/>
      <c r="AT282" s="4" t="str">
        <f t="shared" si="34"/>
        <v>日常费用咨询费</v>
      </c>
      <c r="AU282" s="4" t="str">
        <f t="shared" si="29"/>
        <v>资产负债管理及企划部</v>
      </c>
      <c r="AV282" s="4" t="str">
        <f t="shared" si="30"/>
        <v>日常费用</v>
      </c>
      <c r="AW282" s="4" t="str">
        <f>IFERROR(VLOOKUP(AV282,[1]字段!A:B,2,0),"")</f>
        <v>日常费用</v>
      </c>
      <c r="AX282" s="30" t="str">
        <f>IF(AW282="人力费用",IF(E282="","",VLOOKUP(E282,[1]字段!D:E,2,0)),AW282)</f>
        <v>日常费用</v>
      </c>
      <c r="AY282" s="30" t="str">
        <f>IF(AT282="","",VLOOKUP(AT282,[1]字段!H:I,2,0))</f>
        <v>日常费用-咨询费</v>
      </c>
      <c r="AZ282" s="31">
        <f t="shared" si="31"/>
        <v>0</v>
      </c>
      <c r="BA282" s="31">
        <f t="shared" si="32"/>
        <v>0</v>
      </c>
      <c r="BB282" s="31">
        <f t="shared" si="33"/>
        <v>0</v>
      </c>
      <c r="BC282" s="31">
        <f t="shared" si="35"/>
        <v>0</v>
      </c>
    </row>
    <row r="283" spans="1:55" ht="28.5" customHeight="1">
      <c r="A283" s="25"/>
      <c r="B283" s="26" t="s">
        <v>166</v>
      </c>
      <c r="C283" s="27"/>
      <c r="D283" s="27"/>
      <c r="E283" s="27"/>
      <c r="F283" s="28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  <c r="AA283" s="29"/>
      <c r="AB283" s="29"/>
      <c r="AC283" s="29"/>
      <c r="AD283" s="29"/>
      <c r="AE283" s="29"/>
      <c r="AJ283"/>
      <c r="AK283"/>
      <c r="AL283"/>
      <c r="AM283"/>
      <c r="AN283"/>
      <c r="AO283"/>
      <c r="AP283"/>
      <c r="AQ283"/>
      <c r="AR283"/>
      <c r="AS283"/>
      <c r="AT283" s="4" t="str">
        <f t="shared" si="34"/>
        <v/>
      </c>
      <c r="AU283" s="4" t="str">
        <f t="shared" si="29"/>
        <v>消费者权益保护部</v>
      </c>
      <c r="AV283" s="4" t="str">
        <f t="shared" si="30"/>
        <v/>
      </c>
      <c r="AW283" s="4" t="str">
        <f>IFERROR(VLOOKUP(AV283,[1]字段!A:B,2,0),"")</f>
        <v/>
      </c>
      <c r="AX283" s="30" t="str">
        <f>IF(AW283="人力费用",IF(E283="","",VLOOKUP(E283,[1]字段!D:E,2,0)),AW283)</f>
        <v/>
      </c>
      <c r="AY283" s="30" t="str">
        <f>IF(AT283="","",VLOOKUP(AT283,[1]字段!H:I,2,0))</f>
        <v/>
      </c>
      <c r="AZ283" s="31">
        <f t="shared" si="31"/>
        <v>0</v>
      </c>
      <c r="BA283" s="31">
        <f t="shared" si="32"/>
        <v>0</v>
      </c>
      <c r="BB283" s="31">
        <f t="shared" si="33"/>
        <v>0</v>
      </c>
      <c r="BC283" s="31">
        <f t="shared" si="35"/>
        <v>0</v>
      </c>
    </row>
    <row r="284" spans="1:55" ht="28.5" customHeight="1">
      <c r="A284" s="32"/>
      <c r="B284" s="32"/>
      <c r="C284" s="33" t="s">
        <v>39</v>
      </c>
      <c r="D284" s="34" t="s">
        <v>40</v>
      </c>
      <c r="E284" s="35"/>
      <c r="F284" s="36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  <c r="AA284" s="29"/>
      <c r="AB284" s="29"/>
      <c r="AC284" s="29"/>
      <c r="AD284" s="29"/>
      <c r="AE284" s="29"/>
      <c r="AJ284"/>
      <c r="AK284"/>
      <c r="AL284"/>
      <c r="AM284"/>
      <c r="AN284"/>
      <c r="AO284"/>
      <c r="AP284"/>
      <c r="AQ284"/>
      <c r="AR284"/>
      <c r="AS284"/>
      <c r="AT284" s="4" t="str">
        <f t="shared" si="34"/>
        <v/>
      </c>
      <c r="AU284" s="4" t="str">
        <f t="shared" si="29"/>
        <v>消费者权益保护部</v>
      </c>
      <c r="AV284" s="4" t="str">
        <f t="shared" si="30"/>
        <v>人力费用</v>
      </c>
      <c r="AW284" s="4" t="str">
        <f>IFERROR(VLOOKUP(AV284,[1]字段!A:B,2,0),"")</f>
        <v>人力费用</v>
      </c>
      <c r="AX284" s="30" t="str">
        <f>IF(AW284="人力费用",IF(E284="","",VLOOKUP(E284,[1]字段!D:E,2,0)),AW284)</f>
        <v/>
      </c>
      <c r="AY284" s="30" t="str">
        <f>IF(AT284="","",VLOOKUP(AT284,[1]字段!H:I,2,0))</f>
        <v/>
      </c>
      <c r="AZ284" s="31">
        <f t="shared" si="31"/>
        <v>0</v>
      </c>
      <c r="BA284" s="31">
        <f t="shared" si="32"/>
        <v>0</v>
      </c>
      <c r="BB284" s="31">
        <f t="shared" si="33"/>
        <v>0</v>
      </c>
      <c r="BC284" s="31">
        <f t="shared" si="35"/>
        <v>0</v>
      </c>
    </row>
    <row r="285" spans="1:55" ht="28.5" customHeight="1">
      <c r="A285" s="32"/>
      <c r="B285" s="32"/>
      <c r="C285" s="37"/>
      <c r="D285" s="38"/>
      <c r="E285" s="39" t="s">
        <v>41</v>
      </c>
      <c r="F285" s="39" t="s">
        <v>42</v>
      </c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  <c r="AA285" s="29"/>
      <c r="AB285" s="29"/>
      <c r="AC285" s="29"/>
      <c r="AD285" s="29"/>
      <c r="AE285" s="29"/>
      <c r="AJ285"/>
      <c r="AK285"/>
      <c r="AL285"/>
      <c r="AM285"/>
      <c r="AN285"/>
      <c r="AO285"/>
      <c r="AP285"/>
      <c r="AQ285"/>
      <c r="AR285"/>
      <c r="AS285"/>
      <c r="AT285" s="4" t="str">
        <f t="shared" si="34"/>
        <v>1.0倍人力基础工资</v>
      </c>
      <c r="AU285" s="4" t="str">
        <f t="shared" si="29"/>
        <v>消费者权益保护部</v>
      </c>
      <c r="AV285" s="4" t="str">
        <f t="shared" si="30"/>
        <v>人力费用</v>
      </c>
      <c r="AW285" s="4" t="str">
        <f>IFERROR(VLOOKUP(AV285,[1]字段!A:B,2,0),"")</f>
        <v>人力费用</v>
      </c>
      <c r="AX285" s="30" t="str">
        <f>IF(AW285="人力费用",IF(E285="","",VLOOKUP(E285,[1]字段!D:E,2,0)),AW285)</f>
        <v>1.0倍人力</v>
      </c>
      <c r="AY285" s="30" t="str">
        <f>IF(AT285="","",VLOOKUP(AT285,[1]字段!H:I,2,0))</f>
        <v>1.0倍人力</v>
      </c>
      <c r="AZ285" s="31">
        <f t="shared" si="31"/>
        <v>0</v>
      </c>
      <c r="BA285" s="31">
        <f t="shared" si="32"/>
        <v>0</v>
      </c>
      <c r="BB285" s="31">
        <f t="shared" si="33"/>
        <v>0</v>
      </c>
      <c r="BC285" s="31">
        <f t="shared" si="35"/>
        <v>0</v>
      </c>
    </row>
    <row r="286" spans="1:55" ht="28.5" customHeight="1">
      <c r="A286" s="32"/>
      <c r="B286" s="32"/>
      <c r="C286" s="32"/>
      <c r="D286" s="40"/>
      <c r="E286" s="39">
        <v>5501010602</v>
      </c>
      <c r="F286" s="3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  <c r="AB286" s="29"/>
      <c r="AC286" s="29"/>
      <c r="AD286" s="29"/>
      <c r="AE286" s="29"/>
      <c r="AJ286"/>
      <c r="AK286"/>
      <c r="AL286"/>
      <c r="AM286"/>
      <c r="AN286"/>
      <c r="AO286"/>
      <c r="AP286"/>
      <c r="AQ286"/>
      <c r="AR286"/>
      <c r="AS286"/>
      <c r="AT286" s="4" t="str">
        <f t="shared" si="34"/>
        <v>利润分享</v>
      </c>
      <c r="AU286" s="4" t="str">
        <f t="shared" si="29"/>
        <v>消费者权益保护部</v>
      </c>
      <c r="AV286" s="4" t="str">
        <f t="shared" si="30"/>
        <v>人力费用</v>
      </c>
      <c r="AW286" s="4" t="str">
        <f>IFERROR(VLOOKUP(AV286,[1]字段!A:B,2,0),"")</f>
        <v>人力费用</v>
      </c>
      <c r="AX286" s="30" t="str">
        <f>IF(AW286="人力费用",IF(E286="","",VLOOKUP(E286,[1]字段!D:E,2,0)),AW286)</f>
        <v>利润分享</v>
      </c>
      <c r="AY286" s="30" t="str">
        <f>IF(AT286="","",VLOOKUP(AT286,[1]字段!H:I,2,0))</f>
        <v>利润分享</v>
      </c>
      <c r="AZ286" s="31">
        <f t="shared" si="31"/>
        <v>0</v>
      </c>
      <c r="BA286" s="31">
        <f t="shared" si="32"/>
        <v>0</v>
      </c>
      <c r="BB286" s="31">
        <f t="shared" si="33"/>
        <v>0</v>
      </c>
      <c r="BC286" s="31">
        <f t="shared" si="35"/>
        <v>0</v>
      </c>
    </row>
    <row r="287" spans="1:55" ht="28.5" customHeight="1">
      <c r="A287" s="32"/>
      <c r="B287" s="32"/>
      <c r="C287" s="32"/>
      <c r="D287" s="40"/>
      <c r="E287" s="39">
        <v>5501010603</v>
      </c>
      <c r="F287" s="3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  <c r="AA287" s="29"/>
      <c r="AB287" s="29"/>
      <c r="AC287" s="29"/>
      <c r="AD287" s="29"/>
      <c r="AE287" s="29"/>
      <c r="AJ287"/>
      <c r="AK287"/>
      <c r="AL287"/>
      <c r="AM287"/>
      <c r="AN287"/>
      <c r="AO287"/>
      <c r="AP287"/>
      <c r="AQ287"/>
      <c r="AR287"/>
      <c r="AS287"/>
      <c r="AT287" s="4" t="str">
        <f t="shared" si="34"/>
        <v>留任奖励</v>
      </c>
      <c r="AU287" s="4" t="str">
        <f t="shared" si="29"/>
        <v>消费者权益保护部</v>
      </c>
      <c r="AV287" s="4" t="str">
        <f t="shared" si="30"/>
        <v>人力费用</v>
      </c>
      <c r="AW287" s="4" t="str">
        <f>IFERROR(VLOOKUP(AV287,[1]字段!A:B,2,0),"")</f>
        <v>人力费用</v>
      </c>
      <c r="AX287" s="30" t="str">
        <f>IF(AW287="人力费用",IF(E287="","",VLOOKUP(E287,[1]字段!D:E,2,0)),AW287)</f>
        <v>留任奖励</v>
      </c>
      <c r="AY287" s="30" t="str">
        <f>IF(AT287="","",VLOOKUP(AT287,[1]字段!H:I,2,0))</f>
        <v>留任奖励</v>
      </c>
      <c r="AZ287" s="31">
        <f t="shared" si="31"/>
        <v>0</v>
      </c>
      <c r="BA287" s="31">
        <f t="shared" si="32"/>
        <v>0</v>
      </c>
      <c r="BB287" s="31">
        <f t="shared" si="33"/>
        <v>0</v>
      </c>
      <c r="BC287" s="31">
        <f t="shared" si="35"/>
        <v>0</v>
      </c>
    </row>
    <row r="288" spans="1:55" ht="28.5" customHeight="1">
      <c r="A288" s="32"/>
      <c r="B288" s="32"/>
      <c r="C288" s="32"/>
      <c r="D288" s="40"/>
      <c r="E288" s="39">
        <v>5501010604</v>
      </c>
      <c r="F288" s="3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  <c r="AA288" s="29"/>
      <c r="AB288" s="29"/>
      <c r="AC288" s="29"/>
      <c r="AD288" s="29"/>
      <c r="AE288" s="29"/>
      <c r="AJ288"/>
      <c r="AK288"/>
      <c r="AL288"/>
      <c r="AM288"/>
      <c r="AN288"/>
      <c r="AO288"/>
      <c r="AP288"/>
      <c r="AQ288"/>
      <c r="AR288"/>
      <c r="AS288"/>
      <c r="AT288" s="4" t="str">
        <f t="shared" si="34"/>
        <v>1.0倍人力</v>
      </c>
      <c r="AU288" s="4" t="str">
        <f t="shared" si="29"/>
        <v>消费者权益保护部</v>
      </c>
      <c r="AV288" s="4" t="str">
        <f t="shared" si="30"/>
        <v>人力费用</v>
      </c>
      <c r="AW288" s="4" t="str">
        <f>IFERROR(VLOOKUP(AV288,[1]字段!A:B,2,0),"")</f>
        <v>人力费用</v>
      </c>
      <c r="AX288" s="30" t="str">
        <f>IF(AW288="人力费用",IF(E288="","",VLOOKUP(E288,[1]字段!D:E,2,0)),AW288)</f>
        <v>1.0倍人力</v>
      </c>
      <c r="AY288" s="30" t="str">
        <f>IF(AT288="","",VLOOKUP(AT288,[1]字段!H:I,2,0))</f>
        <v>1.0倍人力</v>
      </c>
      <c r="AZ288" s="31">
        <f t="shared" si="31"/>
        <v>0</v>
      </c>
      <c r="BA288" s="31">
        <f t="shared" si="32"/>
        <v>0</v>
      </c>
      <c r="BB288" s="31">
        <f t="shared" si="33"/>
        <v>0</v>
      </c>
      <c r="BC288" s="31">
        <f t="shared" si="35"/>
        <v>0</v>
      </c>
    </row>
    <row r="289" spans="1:55" ht="28.5" customHeight="1">
      <c r="A289" s="32"/>
      <c r="B289" s="32"/>
      <c r="C289" s="32"/>
      <c r="D289" s="40"/>
      <c r="E289" s="39" t="s">
        <v>43</v>
      </c>
      <c r="F289" s="39" t="s">
        <v>44</v>
      </c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  <c r="AA289" s="29"/>
      <c r="AB289" s="29"/>
      <c r="AC289" s="29"/>
      <c r="AD289" s="29"/>
      <c r="AE289" s="29"/>
      <c r="AJ289"/>
      <c r="AK289"/>
      <c r="AL289"/>
      <c r="AM289"/>
      <c r="AN289"/>
      <c r="AO289"/>
      <c r="AP289"/>
      <c r="AQ289"/>
      <c r="AR289"/>
      <c r="AS289"/>
      <c r="AT289" s="4" t="str">
        <f t="shared" si="34"/>
        <v>1.0倍人力团队建设费</v>
      </c>
      <c r="AU289" s="4" t="str">
        <f t="shared" si="29"/>
        <v>消费者权益保护部</v>
      </c>
      <c r="AV289" s="4" t="str">
        <f t="shared" si="30"/>
        <v>人力费用</v>
      </c>
      <c r="AW289" s="4" t="str">
        <f>IFERROR(VLOOKUP(AV289,[1]字段!A:B,2,0),"")</f>
        <v>人力费用</v>
      </c>
      <c r="AX289" s="30" t="str">
        <f>IF(AW289="人力费用",IF(E289="","",VLOOKUP(E289,[1]字段!D:E,2,0)),AW289)</f>
        <v>1.0倍人力</v>
      </c>
      <c r="AY289" s="30" t="str">
        <f>IF(AT289="","",VLOOKUP(AT289,[1]字段!H:I,2,0))</f>
        <v>1.0倍人力</v>
      </c>
      <c r="AZ289" s="31">
        <f t="shared" si="31"/>
        <v>0</v>
      </c>
      <c r="BA289" s="31">
        <f t="shared" si="32"/>
        <v>0</v>
      </c>
      <c r="BB289" s="31">
        <f t="shared" si="33"/>
        <v>0</v>
      </c>
      <c r="BC289" s="31">
        <f t="shared" si="35"/>
        <v>0</v>
      </c>
    </row>
    <row r="290" spans="1:55" ht="28.5" customHeight="1">
      <c r="A290" s="32"/>
      <c r="B290" s="32"/>
      <c r="C290" s="32"/>
      <c r="D290" s="40"/>
      <c r="E290" s="39" t="s">
        <v>45</v>
      </c>
      <c r="F290" s="39" t="s">
        <v>46</v>
      </c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  <c r="AA290" s="29"/>
      <c r="AB290" s="29"/>
      <c r="AC290" s="29"/>
      <c r="AD290" s="29"/>
      <c r="AE290" s="29"/>
      <c r="AJ290"/>
      <c r="AK290"/>
      <c r="AL290"/>
      <c r="AM290"/>
      <c r="AN290"/>
      <c r="AO290"/>
      <c r="AP290"/>
      <c r="AQ290"/>
      <c r="AR290"/>
      <c r="AS290"/>
      <c r="AT290" s="4" t="str">
        <f t="shared" si="34"/>
        <v>1.0倍人力其他职工福利费</v>
      </c>
      <c r="AU290" s="4" t="str">
        <f t="shared" si="29"/>
        <v>消费者权益保护部</v>
      </c>
      <c r="AV290" s="4" t="str">
        <f t="shared" si="30"/>
        <v>人力费用</v>
      </c>
      <c r="AW290" s="4" t="str">
        <f>IFERROR(VLOOKUP(AV290,[1]字段!A:B,2,0),"")</f>
        <v>人力费用</v>
      </c>
      <c r="AX290" s="30" t="str">
        <f>IF(AW290="人力费用",IF(E290="","",VLOOKUP(E290,[1]字段!D:E,2,0)),AW290)</f>
        <v>1.0倍人力</v>
      </c>
      <c r="AY290" s="30" t="str">
        <f>IF(AT290="","",VLOOKUP(AT290,[1]字段!H:I,2,0))</f>
        <v>1.0倍人力</v>
      </c>
      <c r="AZ290" s="31">
        <f t="shared" si="31"/>
        <v>0</v>
      </c>
      <c r="BA290" s="31">
        <f t="shared" si="32"/>
        <v>0</v>
      </c>
      <c r="BB290" s="31">
        <f t="shared" si="33"/>
        <v>0</v>
      </c>
      <c r="BC290" s="31">
        <f t="shared" si="35"/>
        <v>0</v>
      </c>
    </row>
    <row r="291" spans="1:55" ht="28.5" customHeight="1">
      <c r="A291" s="32"/>
      <c r="B291" s="32"/>
      <c r="C291" s="32"/>
      <c r="D291" s="40"/>
      <c r="E291" s="39" t="s">
        <v>47</v>
      </c>
      <c r="F291" s="39" t="s">
        <v>48</v>
      </c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  <c r="AA291" s="29"/>
      <c r="AB291" s="29"/>
      <c r="AC291" s="29"/>
      <c r="AD291" s="29"/>
      <c r="AE291" s="29"/>
      <c r="AJ291"/>
      <c r="AK291"/>
      <c r="AL291"/>
      <c r="AM291"/>
      <c r="AN291"/>
      <c r="AO291"/>
      <c r="AP291"/>
      <c r="AQ291"/>
      <c r="AR291"/>
      <c r="AS291"/>
      <c r="AT291" s="4" t="str">
        <f t="shared" si="34"/>
        <v>1.0倍人力工会经费</v>
      </c>
      <c r="AU291" s="4" t="str">
        <f t="shared" si="29"/>
        <v>消费者权益保护部</v>
      </c>
      <c r="AV291" s="4" t="str">
        <f t="shared" si="30"/>
        <v>人力费用</v>
      </c>
      <c r="AW291" s="4" t="str">
        <f>IFERROR(VLOOKUP(AV291,[1]字段!A:B,2,0),"")</f>
        <v>人力费用</v>
      </c>
      <c r="AX291" s="30" t="str">
        <f>IF(AW291="人力费用",IF(E291="","",VLOOKUP(E291,[1]字段!D:E,2,0)),AW291)</f>
        <v>1.0倍人力</v>
      </c>
      <c r="AY291" s="30" t="str">
        <f>IF(AT291="","",VLOOKUP(AT291,[1]字段!H:I,2,0))</f>
        <v>1.0倍人力</v>
      </c>
      <c r="AZ291" s="31">
        <f t="shared" si="31"/>
        <v>0</v>
      </c>
      <c r="BA291" s="31">
        <f t="shared" si="32"/>
        <v>0</v>
      </c>
      <c r="BB291" s="31">
        <f t="shared" si="33"/>
        <v>0</v>
      </c>
      <c r="BC291" s="31">
        <f t="shared" si="35"/>
        <v>0</v>
      </c>
    </row>
    <row r="292" spans="1:55" ht="28.5" customHeight="1">
      <c r="A292" s="32"/>
      <c r="B292" s="32"/>
      <c r="C292" s="32"/>
      <c r="D292" s="40"/>
      <c r="E292" s="39" t="s">
        <v>49</v>
      </c>
      <c r="F292" s="39" t="s">
        <v>50</v>
      </c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  <c r="AA292" s="29"/>
      <c r="AB292" s="29"/>
      <c r="AC292" s="29"/>
      <c r="AD292" s="29"/>
      <c r="AE292" s="29"/>
      <c r="AJ292"/>
      <c r="AK292"/>
      <c r="AL292"/>
      <c r="AM292"/>
      <c r="AN292"/>
      <c r="AO292"/>
      <c r="AP292"/>
      <c r="AQ292"/>
      <c r="AR292"/>
      <c r="AS292"/>
      <c r="AT292" s="4" t="str">
        <f t="shared" si="34"/>
        <v>1.0倍人力基本养老保险</v>
      </c>
      <c r="AU292" s="4" t="str">
        <f t="shared" si="29"/>
        <v>消费者权益保护部</v>
      </c>
      <c r="AV292" s="4" t="str">
        <f t="shared" si="30"/>
        <v>人力费用</v>
      </c>
      <c r="AW292" s="4" t="str">
        <f>IFERROR(VLOOKUP(AV292,[1]字段!A:B,2,0),"")</f>
        <v>人力费用</v>
      </c>
      <c r="AX292" s="30" t="str">
        <f>IF(AW292="人力费用",IF(E292="","",VLOOKUP(E292,[1]字段!D:E,2,0)),AW292)</f>
        <v>1.0倍人力</v>
      </c>
      <c r="AY292" s="30" t="str">
        <f>IF(AT292="","",VLOOKUP(AT292,[1]字段!H:I,2,0))</f>
        <v>1.0倍人力</v>
      </c>
      <c r="AZ292" s="31">
        <f t="shared" si="31"/>
        <v>0</v>
      </c>
      <c r="BA292" s="31">
        <f t="shared" si="32"/>
        <v>0</v>
      </c>
      <c r="BB292" s="31">
        <f t="shared" si="33"/>
        <v>0</v>
      </c>
      <c r="BC292" s="31">
        <f t="shared" si="35"/>
        <v>0</v>
      </c>
    </row>
    <row r="293" spans="1:55" ht="28.5" customHeight="1">
      <c r="A293" s="32"/>
      <c r="B293" s="32"/>
      <c r="C293" s="32"/>
      <c r="D293" s="40"/>
      <c r="E293" s="39" t="s">
        <v>51</v>
      </c>
      <c r="F293" s="39" t="s">
        <v>52</v>
      </c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  <c r="AA293" s="29"/>
      <c r="AB293" s="29"/>
      <c r="AC293" s="29"/>
      <c r="AD293" s="29"/>
      <c r="AE293" s="29"/>
      <c r="AJ293"/>
      <c r="AK293"/>
      <c r="AL293"/>
      <c r="AM293"/>
      <c r="AN293"/>
      <c r="AO293"/>
      <c r="AP293"/>
      <c r="AQ293"/>
      <c r="AR293"/>
      <c r="AS293"/>
      <c r="AT293" s="4" t="str">
        <f t="shared" si="34"/>
        <v>1.0倍人力基本医疗保险</v>
      </c>
      <c r="AU293" s="4" t="str">
        <f t="shared" si="29"/>
        <v>消费者权益保护部</v>
      </c>
      <c r="AV293" s="4" t="str">
        <f t="shared" si="30"/>
        <v>人力费用</v>
      </c>
      <c r="AW293" s="4" t="str">
        <f>IFERROR(VLOOKUP(AV293,[1]字段!A:B,2,0),"")</f>
        <v>人力费用</v>
      </c>
      <c r="AX293" s="30" t="str">
        <f>IF(AW293="人力费用",IF(E293="","",VLOOKUP(E293,[1]字段!D:E,2,0)),AW293)</f>
        <v>1.0倍人力</v>
      </c>
      <c r="AY293" s="30" t="str">
        <f>IF(AT293="","",VLOOKUP(AT293,[1]字段!H:I,2,0))</f>
        <v>1.0倍人力</v>
      </c>
      <c r="AZ293" s="31">
        <f t="shared" si="31"/>
        <v>0</v>
      </c>
      <c r="BA293" s="31">
        <f t="shared" si="32"/>
        <v>0</v>
      </c>
      <c r="BB293" s="31">
        <f t="shared" si="33"/>
        <v>0</v>
      </c>
      <c r="BC293" s="31">
        <f t="shared" si="35"/>
        <v>0</v>
      </c>
    </row>
    <row r="294" spans="1:55" ht="28.5" customHeight="1">
      <c r="A294" s="32"/>
      <c r="B294" s="32"/>
      <c r="C294" s="32"/>
      <c r="D294" s="40"/>
      <c r="E294" s="39" t="s">
        <v>53</v>
      </c>
      <c r="F294" s="39" t="s">
        <v>54</v>
      </c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  <c r="AA294" s="29"/>
      <c r="AB294" s="29"/>
      <c r="AC294" s="29"/>
      <c r="AD294" s="29"/>
      <c r="AE294" s="29"/>
      <c r="AJ294"/>
      <c r="AK294"/>
      <c r="AL294"/>
      <c r="AM294"/>
      <c r="AN294"/>
      <c r="AO294"/>
      <c r="AP294"/>
      <c r="AQ294"/>
      <c r="AR294"/>
      <c r="AS294"/>
      <c r="AT294" s="4" t="str">
        <f t="shared" si="34"/>
        <v>1.0倍人力工伤保险</v>
      </c>
      <c r="AU294" s="4" t="str">
        <f t="shared" si="29"/>
        <v>消费者权益保护部</v>
      </c>
      <c r="AV294" s="4" t="str">
        <f t="shared" si="30"/>
        <v>人力费用</v>
      </c>
      <c r="AW294" s="4" t="str">
        <f>IFERROR(VLOOKUP(AV294,[1]字段!A:B,2,0),"")</f>
        <v>人力费用</v>
      </c>
      <c r="AX294" s="30" t="str">
        <f>IF(AW294="人力费用",IF(E294="","",VLOOKUP(E294,[1]字段!D:E,2,0)),AW294)</f>
        <v>1.0倍人力</v>
      </c>
      <c r="AY294" s="30" t="str">
        <f>IF(AT294="","",VLOOKUP(AT294,[1]字段!H:I,2,0))</f>
        <v>1.0倍人力</v>
      </c>
      <c r="AZ294" s="31">
        <f t="shared" si="31"/>
        <v>0</v>
      </c>
      <c r="BA294" s="31">
        <f t="shared" si="32"/>
        <v>0</v>
      </c>
      <c r="BB294" s="31">
        <f t="shared" si="33"/>
        <v>0</v>
      </c>
      <c r="BC294" s="31">
        <f t="shared" si="35"/>
        <v>0</v>
      </c>
    </row>
    <row r="295" spans="1:55" ht="28.5" customHeight="1">
      <c r="A295" s="32"/>
      <c r="B295" s="32"/>
      <c r="C295" s="32"/>
      <c r="D295" s="40"/>
      <c r="E295" s="39" t="s">
        <v>55</v>
      </c>
      <c r="F295" s="39" t="s">
        <v>56</v>
      </c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  <c r="AA295" s="29"/>
      <c r="AB295" s="29"/>
      <c r="AC295" s="29"/>
      <c r="AD295" s="29"/>
      <c r="AE295" s="29"/>
      <c r="AJ295"/>
      <c r="AK295"/>
      <c r="AL295"/>
      <c r="AM295"/>
      <c r="AN295"/>
      <c r="AO295"/>
      <c r="AP295"/>
      <c r="AQ295"/>
      <c r="AR295"/>
      <c r="AS295"/>
      <c r="AT295" s="4" t="str">
        <f t="shared" si="34"/>
        <v>1.0倍人力生育保险</v>
      </c>
      <c r="AU295" s="4" t="str">
        <f t="shared" si="29"/>
        <v>消费者权益保护部</v>
      </c>
      <c r="AV295" s="4" t="str">
        <f t="shared" si="30"/>
        <v>人力费用</v>
      </c>
      <c r="AW295" s="4" t="str">
        <f>IFERROR(VLOOKUP(AV295,[1]字段!A:B,2,0),"")</f>
        <v>人力费用</v>
      </c>
      <c r="AX295" s="30" t="str">
        <f>IF(AW295="人力费用",IF(E295="","",VLOOKUP(E295,[1]字段!D:E,2,0)),AW295)</f>
        <v>1.0倍人力</v>
      </c>
      <c r="AY295" s="30" t="str">
        <f>IF(AT295="","",VLOOKUP(AT295,[1]字段!H:I,2,0))</f>
        <v>1.0倍人力</v>
      </c>
      <c r="AZ295" s="31">
        <f t="shared" si="31"/>
        <v>0</v>
      </c>
      <c r="BA295" s="31">
        <f t="shared" si="32"/>
        <v>0</v>
      </c>
      <c r="BB295" s="31">
        <f t="shared" si="33"/>
        <v>0</v>
      </c>
      <c r="BC295" s="31">
        <f t="shared" si="35"/>
        <v>0</v>
      </c>
    </row>
    <row r="296" spans="1:55" ht="28.5" customHeight="1">
      <c r="A296" s="32"/>
      <c r="B296" s="32"/>
      <c r="C296" s="32"/>
      <c r="D296" s="40"/>
      <c r="E296" s="39" t="s">
        <v>57</v>
      </c>
      <c r="F296" s="39" t="s">
        <v>58</v>
      </c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  <c r="AA296" s="29"/>
      <c r="AB296" s="29"/>
      <c r="AC296" s="29"/>
      <c r="AD296" s="29"/>
      <c r="AE296" s="29"/>
      <c r="AJ296"/>
      <c r="AK296"/>
      <c r="AL296"/>
      <c r="AM296"/>
      <c r="AN296"/>
      <c r="AO296"/>
      <c r="AP296"/>
      <c r="AQ296"/>
      <c r="AR296"/>
      <c r="AS296"/>
      <c r="AT296" s="4" t="str">
        <f t="shared" si="34"/>
        <v>1.0倍人力失业保险</v>
      </c>
      <c r="AU296" s="4" t="str">
        <f t="shared" si="29"/>
        <v>消费者权益保护部</v>
      </c>
      <c r="AV296" s="4" t="str">
        <f t="shared" si="30"/>
        <v>人力费用</v>
      </c>
      <c r="AW296" s="4" t="str">
        <f>IFERROR(VLOOKUP(AV296,[1]字段!A:B,2,0),"")</f>
        <v>人力费用</v>
      </c>
      <c r="AX296" s="30" t="str">
        <f>IF(AW296="人力费用",IF(E296="","",VLOOKUP(E296,[1]字段!D:E,2,0)),AW296)</f>
        <v>1.0倍人力</v>
      </c>
      <c r="AY296" s="30" t="str">
        <f>IF(AT296="","",VLOOKUP(AT296,[1]字段!H:I,2,0))</f>
        <v>1.0倍人力</v>
      </c>
      <c r="AZ296" s="31">
        <f t="shared" si="31"/>
        <v>0</v>
      </c>
      <c r="BA296" s="31">
        <f t="shared" si="32"/>
        <v>0</v>
      </c>
      <c r="BB296" s="31">
        <f t="shared" si="33"/>
        <v>0</v>
      </c>
      <c r="BC296" s="31">
        <f t="shared" si="35"/>
        <v>0</v>
      </c>
    </row>
    <row r="297" spans="1:55" ht="28.5" customHeight="1">
      <c r="A297" s="32"/>
      <c r="B297" s="32"/>
      <c r="C297" s="41"/>
      <c r="D297" s="42"/>
      <c r="E297" s="39" t="s">
        <v>59</v>
      </c>
      <c r="F297" s="39" t="s">
        <v>60</v>
      </c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  <c r="AA297" s="29"/>
      <c r="AB297" s="29"/>
      <c r="AC297" s="29"/>
      <c r="AD297" s="29"/>
      <c r="AE297" s="29"/>
      <c r="AJ297"/>
      <c r="AK297"/>
      <c r="AL297"/>
      <c r="AM297"/>
      <c r="AN297"/>
      <c r="AO297"/>
      <c r="AP297"/>
      <c r="AQ297"/>
      <c r="AR297"/>
      <c r="AS297"/>
      <c r="AT297" s="4" t="str">
        <f t="shared" si="34"/>
        <v>1.0倍人力住房公积金</v>
      </c>
      <c r="AU297" s="4" t="str">
        <f t="shared" si="29"/>
        <v>消费者权益保护部</v>
      </c>
      <c r="AV297" s="4" t="str">
        <f t="shared" si="30"/>
        <v>人力费用</v>
      </c>
      <c r="AW297" s="4" t="str">
        <f>IFERROR(VLOOKUP(AV297,[1]字段!A:B,2,0),"")</f>
        <v>人力费用</v>
      </c>
      <c r="AX297" s="30" t="str">
        <f>IF(AW297="人力费用",IF(E297="","",VLOOKUP(E297,[1]字段!D:E,2,0)),AW297)</f>
        <v>1.0倍人力</v>
      </c>
      <c r="AY297" s="30" t="str">
        <f>IF(AT297="","",VLOOKUP(AT297,[1]字段!H:I,2,0))</f>
        <v>1.0倍人力</v>
      </c>
      <c r="AZ297" s="31">
        <f t="shared" si="31"/>
        <v>0</v>
      </c>
      <c r="BA297" s="31">
        <f t="shared" si="32"/>
        <v>0</v>
      </c>
      <c r="BB297" s="31">
        <f t="shared" si="33"/>
        <v>0</v>
      </c>
      <c r="BC297" s="31">
        <f t="shared" si="35"/>
        <v>0</v>
      </c>
    </row>
    <row r="298" spans="1:55" ht="28.5" customHeight="1">
      <c r="C298" s="33" t="s">
        <v>107</v>
      </c>
      <c r="D298" s="34" t="s">
        <v>108</v>
      </c>
      <c r="E298" s="35"/>
      <c r="F298" s="36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  <c r="AA298" s="29"/>
      <c r="AB298" s="29"/>
      <c r="AC298" s="29"/>
      <c r="AD298" s="29"/>
      <c r="AE298" s="29"/>
      <c r="AJ298"/>
      <c r="AK298"/>
      <c r="AL298"/>
      <c r="AM298"/>
      <c r="AN298"/>
      <c r="AO298"/>
      <c r="AP298"/>
      <c r="AQ298"/>
      <c r="AR298"/>
      <c r="AS298"/>
      <c r="AT298" s="4" t="str">
        <f t="shared" si="34"/>
        <v>营销费用</v>
      </c>
      <c r="AU298" s="4" t="str">
        <f t="shared" si="29"/>
        <v>消费者权益保护部</v>
      </c>
      <c r="AV298" s="4" t="str">
        <f t="shared" si="30"/>
        <v>营销费用</v>
      </c>
      <c r="AW298" s="4" t="str">
        <f>IFERROR(VLOOKUP(AV298,[1]字段!A:B,2,0),"")</f>
        <v>营销费用</v>
      </c>
      <c r="AX298" s="30" t="str">
        <f>IF(AW298="人力费用",IF(E298="","",VLOOKUP(E298,[1]字段!D:E,2,0)),AW298)</f>
        <v>营销费用</v>
      </c>
      <c r="AY298" s="30">
        <f>IF(AT298="","",VLOOKUP(AT298,[1]字段!H:I,2,0))</f>
        <v>0</v>
      </c>
      <c r="AZ298" s="31">
        <f t="shared" si="31"/>
        <v>0</v>
      </c>
      <c r="BA298" s="31">
        <f t="shared" si="32"/>
        <v>0</v>
      </c>
      <c r="BB298" s="31">
        <f t="shared" si="33"/>
        <v>0</v>
      </c>
      <c r="BC298" s="31">
        <f t="shared" si="35"/>
        <v>0</v>
      </c>
    </row>
    <row r="299" spans="1:55" ht="28.5" customHeight="1">
      <c r="A299" s="32"/>
      <c r="B299" s="32"/>
      <c r="C299" s="43"/>
      <c r="D299" s="43"/>
      <c r="E299" s="39" t="s">
        <v>111</v>
      </c>
      <c r="F299" s="39" t="s">
        <v>112</v>
      </c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  <c r="AA299" s="29"/>
      <c r="AB299" s="29"/>
      <c r="AC299" s="29"/>
      <c r="AD299" s="29"/>
      <c r="AE299" s="29"/>
      <c r="AJ299"/>
      <c r="AK299"/>
      <c r="AL299"/>
      <c r="AM299"/>
      <c r="AN299"/>
      <c r="AO299"/>
      <c r="AP299"/>
      <c r="AQ299"/>
      <c r="AR299"/>
      <c r="AS299"/>
      <c r="AT299" s="4" t="str">
        <f t="shared" si="34"/>
        <v>营销费用业务宣传费</v>
      </c>
      <c r="AU299" s="4" t="str">
        <f t="shared" si="29"/>
        <v>消费者权益保护部</v>
      </c>
      <c r="AV299" s="4" t="str">
        <f t="shared" si="30"/>
        <v>营销费用</v>
      </c>
      <c r="AW299" s="4" t="str">
        <f>IFERROR(VLOOKUP(AV299,[1]字段!A:B,2,0),"")</f>
        <v>营销费用</v>
      </c>
      <c r="AX299" s="30" t="str">
        <f>IF(AW299="人力费用",IF(E299="","",VLOOKUP(E299,[1]字段!D:E,2,0)),AW299)</f>
        <v>营销费用</v>
      </c>
      <c r="AY299" s="30" t="str">
        <f>IF(AT299="","",VLOOKUP(AT299,[1]字段!H:I,2,0))</f>
        <v>营销费用</v>
      </c>
      <c r="AZ299" s="31">
        <f t="shared" si="31"/>
        <v>0</v>
      </c>
      <c r="BA299" s="31">
        <f t="shared" si="32"/>
        <v>0</v>
      </c>
      <c r="BB299" s="31">
        <f t="shared" si="33"/>
        <v>0</v>
      </c>
      <c r="BC299" s="31">
        <f t="shared" si="35"/>
        <v>0</v>
      </c>
    </row>
    <row r="300" spans="1:55" ht="28.5" customHeight="1">
      <c r="C300" s="33" t="s">
        <v>65</v>
      </c>
      <c r="D300" s="34" t="s">
        <v>66</v>
      </c>
      <c r="E300" s="35"/>
      <c r="F300" s="36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  <c r="AA300" s="29"/>
      <c r="AB300" s="29"/>
      <c r="AC300" s="29"/>
      <c r="AD300" s="29"/>
      <c r="AE300" s="29"/>
      <c r="AJ300"/>
      <c r="AK300"/>
      <c r="AL300"/>
      <c r="AM300"/>
      <c r="AN300"/>
      <c r="AO300"/>
      <c r="AP300"/>
      <c r="AQ300"/>
      <c r="AR300"/>
      <c r="AS300"/>
      <c r="AT300" s="4" t="str">
        <f t="shared" si="34"/>
        <v>IT费用</v>
      </c>
      <c r="AU300" s="4" t="str">
        <f t="shared" si="29"/>
        <v>消费者权益保护部</v>
      </c>
      <c r="AV300" s="4" t="str">
        <f t="shared" si="30"/>
        <v>IT科技费用</v>
      </c>
      <c r="AW300" s="4" t="str">
        <f>IFERROR(VLOOKUP(AV300,[1]字段!A:B,2,0),"")</f>
        <v>IT费用</v>
      </c>
      <c r="AX300" s="30" t="str">
        <f>IF(AW300="人力费用",IF(E300="","",VLOOKUP(E300,[1]字段!D:E,2,0)),AW300)</f>
        <v>IT费用</v>
      </c>
      <c r="AY300" s="30">
        <f>IF(AT300="","",VLOOKUP(AT300,[1]字段!H:I,2,0))</f>
        <v>0</v>
      </c>
      <c r="AZ300" s="31">
        <f t="shared" si="31"/>
        <v>0</v>
      </c>
      <c r="BA300" s="31">
        <f t="shared" si="32"/>
        <v>0</v>
      </c>
      <c r="BB300" s="31">
        <f t="shared" si="33"/>
        <v>0</v>
      </c>
      <c r="BC300" s="31">
        <f t="shared" si="35"/>
        <v>0</v>
      </c>
    </row>
    <row r="301" spans="1:55" ht="28.5" customHeight="1">
      <c r="A301" s="32"/>
      <c r="B301" s="32"/>
      <c r="C301" s="43"/>
      <c r="D301" s="43"/>
      <c r="E301" s="39" t="s">
        <v>71</v>
      </c>
      <c r="F301" s="39" t="s">
        <v>72</v>
      </c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  <c r="AA301" s="29"/>
      <c r="AB301" s="29"/>
      <c r="AC301" s="29"/>
      <c r="AD301" s="29"/>
      <c r="AE301" s="29"/>
      <c r="AJ301"/>
      <c r="AK301"/>
      <c r="AL301"/>
      <c r="AM301"/>
      <c r="AN301"/>
      <c r="AO301"/>
      <c r="AP301"/>
      <c r="AQ301"/>
      <c r="AR301"/>
      <c r="AS301"/>
      <c r="AT301" s="4" t="str">
        <f t="shared" si="34"/>
        <v>IT费用办公IT设备折旧费</v>
      </c>
      <c r="AU301" s="4" t="str">
        <f t="shared" si="29"/>
        <v>消费者权益保护部</v>
      </c>
      <c r="AV301" s="4" t="str">
        <f t="shared" si="30"/>
        <v>IT科技费用</v>
      </c>
      <c r="AW301" s="4" t="str">
        <f>IFERROR(VLOOKUP(AV301,[1]字段!A:B,2,0),"")</f>
        <v>IT费用</v>
      </c>
      <c r="AX301" s="30" t="str">
        <f>IF(AW301="人力费用",IF(E301="","",VLOOKUP(E301,[1]字段!D:E,2,0)),AW301)</f>
        <v>IT费用</v>
      </c>
      <c r="AY301" s="30" t="str">
        <f>IF(AT301="","",VLOOKUP(AT301,[1]字段!H:I,2,0))</f>
        <v>IT费用</v>
      </c>
      <c r="AZ301" s="31">
        <f t="shared" si="31"/>
        <v>0</v>
      </c>
      <c r="BA301" s="31">
        <f t="shared" si="32"/>
        <v>0</v>
      </c>
      <c r="BB301" s="31">
        <f t="shared" si="33"/>
        <v>0</v>
      </c>
      <c r="BC301" s="31">
        <f t="shared" si="35"/>
        <v>0</v>
      </c>
    </row>
    <row r="302" spans="1:55" ht="28.5" customHeight="1">
      <c r="C302" s="33" t="s">
        <v>93</v>
      </c>
      <c r="D302" s="34" t="s">
        <v>94</v>
      </c>
      <c r="E302" s="35"/>
      <c r="F302" s="36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  <c r="AA302" s="29"/>
      <c r="AB302" s="29"/>
      <c r="AC302" s="29"/>
      <c r="AD302" s="29"/>
      <c r="AE302" s="29"/>
      <c r="AJ302"/>
      <c r="AK302"/>
      <c r="AL302"/>
      <c r="AM302"/>
      <c r="AN302"/>
      <c r="AO302"/>
      <c r="AP302"/>
      <c r="AQ302"/>
      <c r="AR302"/>
      <c r="AS302"/>
      <c r="AT302" s="4" t="str">
        <f t="shared" si="34"/>
        <v>日常费用</v>
      </c>
      <c r="AU302" s="4" t="str">
        <f t="shared" si="29"/>
        <v>消费者权益保护部</v>
      </c>
      <c r="AV302" s="4" t="str">
        <f t="shared" si="30"/>
        <v>日常费用</v>
      </c>
      <c r="AW302" s="4" t="str">
        <f>IFERROR(VLOOKUP(AV302,[1]字段!A:B,2,0),"")</f>
        <v>日常费用</v>
      </c>
      <c r="AX302" s="30" t="str">
        <f>IF(AW302="人力费用",IF(E302="","",VLOOKUP(E302,[1]字段!D:E,2,0)),AW302)</f>
        <v>日常费用</v>
      </c>
      <c r="AY302" s="30">
        <f>IF(AT302="","",VLOOKUP(AT302,[1]字段!H:I,2,0))</f>
        <v>0</v>
      </c>
      <c r="AZ302" s="31">
        <f t="shared" si="31"/>
        <v>0</v>
      </c>
      <c r="BA302" s="31">
        <f t="shared" si="32"/>
        <v>0</v>
      </c>
      <c r="BB302" s="31">
        <f t="shared" si="33"/>
        <v>0</v>
      </c>
      <c r="BC302" s="31">
        <f t="shared" si="35"/>
        <v>0</v>
      </c>
    </row>
    <row r="303" spans="1:55" ht="28.5" customHeight="1">
      <c r="A303" s="32"/>
      <c r="B303" s="32"/>
      <c r="C303" s="37"/>
      <c r="D303" s="38"/>
      <c r="E303" s="39" t="s">
        <v>87</v>
      </c>
      <c r="F303" s="39" t="s">
        <v>88</v>
      </c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  <c r="AA303" s="29"/>
      <c r="AB303" s="29"/>
      <c r="AC303" s="29"/>
      <c r="AD303" s="29"/>
      <c r="AE303" s="29"/>
      <c r="AJ303"/>
      <c r="AK303"/>
      <c r="AL303"/>
      <c r="AM303"/>
      <c r="AN303"/>
      <c r="AO303"/>
      <c r="AP303"/>
      <c r="AQ303"/>
      <c r="AR303"/>
      <c r="AS303"/>
      <c r="AT303" s="4" t="str">
        <f t="shared" si="34"/>
        <v>日常费用办公OA设备折旧费</v>
      </c>
      <c r="AU303" s="4" t="str">
        <f t="shared" si="29"/>
        <v>消费者权益保护部</v>
      </c>
      <c r="AV303" s="4" t="str">
        <f t="shared" si="30"/>
        <v>日常费用</v>
      </c>
      <c r="AW303" s="4" t="str">
        <f>IFERROR(VLOOKUP(AV303,[1]字段!A:B,2,0),"")</f>
        <v>日常费用</v>
      </c>
      <c r="AX303" s="30" t="str">
        <f>IF(AW303="人力费用",IF(E303="","",VLOOKUP(E303,[1]字段!D:E,2,0)),AW303)</f>
        <v>日常费用</v>
      </c>
      <c r="AY303" s="30" t="str">
        <f>IF(AT303="","",VLOOKUP(AT303,[1]字段!H:I,2,0))</f>
        <v>日常费用-其他</v>
      </c>
      <c r="AZ303" s="31">
        <f t="shared" si="31"/>
        <v>0</v>
      </c>
      <c r="BA303" s="31">
        <f t="shared" si="32"/>
        <v>0</v>
      </c>
      <c r="BB303" s="31">
        <f t="shared" si="33"/>
        <v>0</v>
      </c>
      <c r="BC303" s="31">
        <f t="shared" si="35"/>
        <v>0</v>
      </c>
    </row>
    <row r="304" spans="1:55" ht="28.5" customHeight="1">
      <c r="A304" s="32"/>
      <c r="B304" s="32"/>
      <c r="C304" s="32"/>
      <c r="D304" s="40"/>
      <c r="E304" s="39" t="s">
        <v>83</v>
      </c>
      <c r="F304" s="39" t="s">
        <v>84</v>
      </c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  <c r="AA304" s="29"/>
      <c r="AB304" s="29"/>
      <c r="AC304" s="29"/>
      <c r="AD304" s="29"/>
      <c r="AE304" s="29"/>
      <c r="AJ304"/>
      <c r="AK304"/>
      <c r="AL304"/>
      <c r="AM304"/>
      <c r="AN304"/>
      <c r="AO304"/>
      <c r="AP304"/>
      <c r="AQ304"/>
      <c r="AR304"/>
      <c r="AS304"/>
      <c r="AT304" s="4" t="str">
        <f t="shared" si="34"/>
        <v>日常费用其他外包服务费</v>
      </c>
      <c r="AU304" s="4" t="str">
        <f t="shared" si="29"/>
        <v>消费者权益保护部</v>
      </c>
      <c r="AV304" s="4" t="str">
        <f t="shared" si="30"/>
        <v>日常费用</v>
      </c>
      <c r="AW304" s="4" t="str">
        <f>IFERROR(VLOOKUP(AV304,[1]字段!A:B,2,0),"")</f>
        <v>日常费用</v>
      </c>
      <c r="AX304" s="30" t="str">
        <f>IF(AW304="人力费用",IF(E304="","",VLOOKUP(E304,[1]字段!D:E,2,0)),AW304)</f>
        <v>日常费用</v>
      </c>
      <c r="AY304" s="30" t="str">
        <f>IF(AT304="","",VLOOKUP(AT304,[1]字段!H:I,2,0))</f>
        <v>日常费用-外包服务费</v>
      </c>
      <c r="AZ304" s="31">
        <f t="shared" si="31"/>
        <v>0</v>
      </c>
      <c r="BA304" s="31">
        <f t="shared" si="32"/>
        <v>0</v>
      </c>
      <c r="BB304" s="31">
        <f t="shared" si="33"/>
        <v>0</v>
      </c>
      <c r="BC304" s="31">
        <f t="shared" si="35"/>
        <v>0</v>
      </c>
    </row>
    <row r="305" spans="1:55" ht="28.5" customHeight="1">
      <c r="A305" s="41"/>
      <c r="B305" s="41"/>
      <c r="C305" s="41"/>
      <c r="D305" s="42"/>
      <c r="E305" s="39" t="s">
        <v>95</v>
      </c>
      <c r="F305" s="39" t="s">
        <v>96</v>
      </c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  <c r="AA305" s="29"/>
      <c r="AB305" s="29"/>
      <c r="AC305" s="29"/>
      <c r="AD305" s="29"/>
      <c r="AE305" s="29"/>
      <c r="AJ305"/>
      <c r="AK305"/>
      <c r="AL305"/>
      <c r="AM305"/>
      <c r="AN305"/>
      <c r="AO305"/>
      <c r="AP305"/>
      <c r="AQ305"/>
      <c r="AR305"/>
      <c r="AS305"/>
      <c r="AT305" s="4" t="str">
        <f t="shared" si="34"/>
        <v>日常费用业务招待费</v>
      </c>
      <c r="AU305" s="4" t="str">
        <f t="shared" si="29"/>
        <v>消费者权益保护部</v>
      </c>
      <c r="AV305" s="4" t="str">
        <f t="shared" si="30"/>
        <v>日常费用</v>
      </c>
      <c r="AW305" s="4" t="str">
        <f>IFERROR(VLOOKUP(AV305,[1]字段!A:B,2,0),"")</f>
        <v>日常费用</v>
      </c>
      <c r="AX305" s="30" t="str">
        <f>IF(AW305="人力费用",IF(E305="","",VLOOKUP(E305,[1]字段!D:E,2,0)),AW305)</f>
        <v>日常费用</v>
      </c>
      <c r="AY305" s="30" t="str">
        <f>IF(AT305="","",VLOOKUP(AT305,[1]字段!H:I,2,0))</f>
        <v>日常费用-其他</v>
      </c>
      <c r="AZ305" s="31">
        <f t="shared" si="31"/>
        <v>0</v>
      </c>
      <c r="BA305" s="31">
        <f t="shared" si="32"/>
        <v>0</v>
      </c>
      <c r="BB305" s="31">
        <f t="shared" si="33"/>
        <v>0</v>
      </c>
      <c r="BC305" s="31">
        <f t="shared" si="35"/>
        <v>0</v>
      </c>
    </row>
    <row r="306" spans="1:55" ht="28.5" customHeight="1">
      <c r="A306" s="25"/>
      <c r="B306" s="26" t="s">
        <v>167</v>
      </c>
      <c r="C306" s="27"/>
      <c r="D306" s="27"/>
      <c r="E306" s="27"/>
      <c r="F306" s="28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  <c r="AA306" s="29"/>
      <c r="AB306" s="29"/>
      <c r="AC306" s="29"/>
      <c r="AD306" s="29"/>
      <c r="AE306" s="29"/>
      <c r="AJ306"/>
      <c r="AK306"/>
      <c r="AL306"/>
      <c r="AM306"/>
      <c r="AN306"/>
      <c r="AO306"/>
      <c r="AP306"/>
      <c r="AQ306"/>
      <c r="AR306"/>
      <c r="AS306"/>
      <c r="AT306" s="4" t="str">
        <f t="shared" si="34"/>
        <v/>
      </c>
      <c r="AU306" s="4" t="str">
        <f t="shared" si="29"/>
        <v>企金风险部</v>
      </c>
      <c r="AV306" s="4" t="str">
        <f t="shared" si="30"/>
        <v/>
      </c>
      <c r="AW306" s="4" t="str">
        <f>IFERROR(VLOOKUP(AV306,[1]字段!A:B,2,0),"")</f>
        <v/>
      </c>
      <c r="AX306" s="30" t="str">
        <f>IF(AW306="人力费用",IF(E306="","",VLOOKUP(E306,[1]字段!D:E,2,0)),AW306)</f>
        <v/>
      </c>
      <c r="AY306" s="30" t="str">
        <f>IF(AT306="","",VLOOKUP(AT306,[1]字段!H:I,2,0))</f>
        <v/>
      </c>
      <c r="AZ306" s="31">
        <f t="shared" si="31"/>
        <v>0</v>
      </c>
      <c r="BA306" s="31">
        <f t="shared" si="32"/>
        <v>0</v>
      </c>
      <c r="BB306" s="31">
        <f t="shared" si="33"/>
        <v>0</v>
      </c>
      <c r="BC306" s="31">
        <f t="shared" si="35"/>
        <v>0</v>
      </c>
    </row>
    <row r="307" spans="1:55" ht="28.5" customHeight="1">
      <c r="A307" s="32"/>
      <c r="B307" s="32"/>
      <c r="C307" s="33" t="s">
        <v>39</v>
      </c>
      <c r="D307" s="34" t="s">
        <v>40</v>
      </c>
      <c r="E307" s="35"/>
      <c r="F307" s="36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  <c r="AA307" s="29"/>
      <c r="AB307" s="29"/>
      <c r="AC307" s="29"/>
      <c r="AD307" s="29"/>
      <c r="AE307" s="29"/>
      <c r="AJ307"/>
      <c r="AK307"/>
      <c r="AL307"/>
      <c r="AM307"/>
      <c r="AN307"/>
      <c r="AO307"/>
      <c r="AP307"/>
      <c r="AQ307"/>
      <c r="AR307"/>
      <c r="AS307"/>
      <c r="AT307" s="4" t="str">
        <f t="shared" si="34"/>
        <v/>
      </c>
      <c r="AU307" s="4" t="str">
        <f t="shared" si="29"/>
        <v>企金风险部</v>
      </c>
      <c r="AV307" s="4" t="str">
        <f t="shared" si="30"/>
        <v>人力费用</v>
      </c>
      <c r="AW307" s="4" t="str">
        <f>IFERROR(VLOOKUP(AV307,[1]字段!A:B,2,0),"")</f>
        <v>人力费用</v>
      </c>
      <c r="AX307" s="30" t="str">
        <f>IF(AW307="人力费用",IF(E307="","",VLOOKUP(E307,[1]字段!D:E,2,0)),AW307)</f>
        <v/>
      </c>
      <c r="AY307" s="30" t="str">
        <f>IF(AT307="","",VLOOKUP(AT307,[1]字段!H:I,2,0))</f>
        <v/>
      </c>
      <c r="AZ307" s="31">
        <f t="shared" si="31"/>
        <v>0</v>
      </c>
      <c r="BA307" s="31">
        <f t="shared" si="32"/>
        <v>0</v>
      </c>
      <c r="BB307" s="31">
        <f t="shared" si="33"/>
        <v>0</v>
      </c>
      <c r="BC307" s="31">
        <f t="shared" si="35"/>
        <v>0</v>
      </c>
    </row>
    <row r="308" spans="1:55" ht="28.5" customHeight="1">
      <c r="A308" s="32"/>
      <c r="B308" s="32"/>
      <c r="C308" s="37"/>
      <c r="D308" s="38"/>
      <c r="E308" s="39" t="s">
        <v>41</v>
      </c>
      <c r="F308" s="39" t="s">
        <v>42</v>
      </c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  <c r="AA308" s="29"/>
      <c r="AB308" s="29"/>
      <c r="AC308" s="29"/>
      <c r="AD308" s="29"/>
      <c r="AE308" s="29"/>
      <c r="AJ308"/>
      <c r="AK308"/>
      <c r="AL308"/>
      <c r="AM308"/>
      <c r="AN308"/>
      <c r="AO308"/>
      <c r="AP308"/>
      <c r="AQ308"/>
      <c r="AR308"/>
      <c r="AS308"/>
      <c r="AT308" s="4" t="str">
        <f t="shared" si="34"/>
        <v>1.0倍人力基础工资</v>
      </c>
      <c r="AU308" s="4" t="str">
        <f t="shared" si="29"/>
        <v>企金风险部</v>
      </c>
      <c r="AV308" s="4" t="str">
        <f t="shared" si="30"/>
        <v>人力费用</v>
      </c>
      <c r="AW308" s="4" t="str">
        <f>IFERROR(VLOOKUP(AV308,[1]字段!A:B,2,0),"")</f>
        <v>人力费用</v>
      </c>
      <c r="AX308" s="30" t="str">
        <f>IF(AW308="人力费用",IF(E308="","",VLOOKUP(E308,[1]字段!D:E,2,0)),AW308)</f>
        <v>1.0倍人力</v>
      </c>
      <c r="AY308" s="30" t="str">
        <f>IF(AT308="","",VLOOKUP(AT308,[1]字段!H:I,2,0))</f>
        <v>1.0倍人力</v>
      </c>
      <c r="AZ308" s="31">
        <f t="shared" si="31"/>
        <v>0</v>
      </c>
      <c r="BA308" s="31">
        <f t="shared" si="32"/>
        <v>0</v>
      </c>
      <c r="BB308" s="31">
        <f t="shared" si="33"/>
        <v>0</v>
      </c>
      <c r="BC308" s="31">
        <f t="shared" si="35"/>
        <v>0</v>
      </c>
    </row>
    <row r="309" spans="1:55" ht="28.5" customHeight="1">
      <c r="A309" s="32"/>
      <c r="B309" s="32"/>
      <c r="C309" s="32"/>
      <c r="D309" s="40"/>
      <c r="E309" s="39">
        <v>5501010602</v>
      </c>
      <c r="F309" s="3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  <c r="AA309" s="29"/>
      <c r="AB309" s="29"/>
      <c r="AC309" s="29"/>
      <c r="AD309" s="29"/>
      <c r="AE309" s="29"/>
      <c r="AJ309"/>
      <c r="AK309"/>
      <c r="AL309"/>
      <c r="AM309"/>
      <c r="AN309"/>
      <c r="AO309"/>
      <c r="AP309"/>
      <c r="AQ309"/>
      <c r="AR309"/>
      <c r="AS309"/>
      <c r="AT309" s="4" t="str">
        <f t="shared" si="34"/>
        <v>利润分享</v>
      </c>
      <c r="AU309" s="4" t="str">
        <f t="shared" si="29"/>
        <v>企金风险部</v>
      </c>
      <c r="AV309" s="4" t="str">
        <f t="shared" si="30"/>
        <v>人力费用</v>
      </c>
      <c r="AW309" s="4" t="str">
        <f>IFERROR(VLOOKUP(AV309,[1]字段!A:B,2,0),"")</f>
        <v>人力费用</v>
      </c>
      <c r="AX309" s="30" t="str">
        <f>IF(AW309="人力费用",IF(E309="","",VLOOKUP(E309,[1]字段!D:E,2,0)),AW309)</f>
        <v>利润分享</v>
      </c>
      <c r="AY309" s="30" t="str">
        <f>IF(AT309="","",VLOOKUP(AT309,[1]字段!H:I,2,0))</f>
        <v>利润分享</v>
      </c>
      <c r="AZ309" s="31">
        <f t="shared" si="31"/>
        <v>0</v>
      </c>
      <c r="BA309" s="31">
        <f t="shared" si="32"/>
        <v>0</v>
      </c>
      <c r="BB309" s="31">
        <f t="shared" si="33"/>
        <v>0</v>
      </c>
      <c r="BC309" s="31">
        <f t="shared" si="35"/>
        <v>0</v>
      </c>
    </row>
    <row r="310" spans="1:55" ht="28.5" customHeight="1">
      <c r="A310" s="32"/>
      <c r="B310" s="32"/>
      <c r="C310" s="32"/>
      <c r="D310" s="40"/>
      <c r="E310" s="39">
        <v>5501010603</v>
      </c>
      <c r="F310" s="3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  <c r="AA310" s="29"/>
      <c r="AB310" s="29"/>
      <c r="AC310" s="29"/>
      <c r="AD310" s="29"/>
      <c r="AE310" s="29"/>
      <c r="AJ310"/>
      <c r="AK310"/>
      <c r="AL310"/>
      <c r="AM310"/>
      <c r="AN310"/>
      <c r="AO310"/>
      <c r="AP310"/>
      <c r="AQ310"/>
      <c r="AR310"/>
      <c r="AS310"/>
      <c r="AT310" s="4" t="str">
        <f t="shared" si="34"/>
        <v>留任奖励</v>
      </c>
      <c r="AU310" s="4" t="str">
        <f t="shared" si="29"/>
        <v>企金风险部</v>
      </c>
      <c r="AV310" s="4" t="str">
        <f t="shared" si="30"/>
        <v>人力费用</v>
      </c>
      <c r="AW310" s="4" t="str">
        <f>IFERROR(VLOOKUP(AV310,[1]字段!A:B,2,0),"")</f>
        <v>人力费用</v>
      </c>
      <c r="AX310" s="30" t="str">
        <f>IF(AW310="人力费用",IF(E310="","",VLOOKUP(E310,[1]字段!D:E,2,0)),AW310)</f>
        <v>留任奖励</v>
      </c>
      <c r="AY310" s="30" t="str">
        <f>IF(AT310="","",VLOOKUP(AT310,[1]字段!H:I,2,0))</f>
        <v>留任奖励</v>
      </c>
      <c r="AZ310" s="31">
        <f t="shared" si="31"/>
        <v>0</v>
      </c>
      <c r="BA310" s="31">
        <f t="shared" si="32"/>
        <v>0</v>
      </c>
      <c r="BB310" s="31">
        <f t="shared" si="33"/>
        <v>0</v>
      </c>
      <c r="BC310" s="31">
        <f t="shared" si="35"/>
        <v>0</v>
      </c>
    </row>
    <row r="311" spans="1:55" ht="28.5" customHeight="1">
      <c r="A311" s="32"/>
      <c r="B311" s="32"/>
      <c r="C311" s="32"/>
      <c r="D311" s="40"/>
      <c r="E311" s="39">
        <v>5501010604</v>
      </c>
      <c r="F311" s="3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  <c r="AA311" s="29"/>
      <c r="AB311" s="29"/>
      <c r="AC311" s="29"/>
      <c r="AD311" s="29"/>
      <c r="AE311" s="29"/>
      <c r="AJ311"/>
      <c r="AK311"/>
      <c r="AL311"/>
      <c r="AM311"/>
      <c r="AN311"/>
      <c r="AO311"/>
      <c r="AP311"/>
      <c r="AQ311"/>
      <c r="AR311"/>
      <c r="AS311"/>
      <c r="AT311" s="4" t="str">
        <f t="shared" si="34"/>
        <v>1.0倍人力</v>
      </c>
      <c r="AU311" s="4" t="str">
        <f t="shared" si="29"/>
        <v>企金风险部</v>
      </c>
      <c r="AV311" s="4" t="str">
        <f t="shared" si="30"/>
        <v>人力费用</v>
      </c>
      <c r="AW311" s="4" t="str">
        <f>IFERROR(VLOOKUP(AV311,[1]字段!A:B,2,0),"")</f>
        <v>人力费用</v>
      </c>
      <c r="AX311" s="30" t="str">
        <f>IF(AW311="人力费用",IF(E311="","",VLOOKUP(E311,[1]字段!D:E,2,0)),AW311)</f>
        <v>1.0倍人力</v>
      </c>
      <c r="AY311" s="30" t="str">
        <f>IF(AT311="","",VLOOKUP(AT311,[1]字段!H:I,2,0))</f>
        <v>1.0倍人力</v>
      </c>
      <c r="AZ311" s="31">
        <f t="shared" si="31"/>
        <v>0</v>
      </c>
      <c r="BA311" s="31">
        <f t="shared" si="32"/>
        <v>0</v>
      </c>
      <c r="BB311" s="31">
        <f t="shared" si="33"/>
        <v>0</v>
      </c>
      <c r="BC311" s="31">
        <f t="shared" si="35"/>
        <v>0</v>
      </c>
    </row>
    <row r="312" spans="1:55" ht="28.5" customHeight="1">
      <c r="A312" s="32"/>
      <c r="B312" s="32"/>
      <c r="C312" s="32"/>
      <c r="D312" s="40"/>
      <c r="E312" s="39" t="s">
        <v>43</v>
      </c>
      <c r="F312" s="39" t="s">
        <v>44</v>
      </c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  <c r="AA312" s="29"/>
      <c r="AB312" s="29"/>
      <c r="AC312" s="29"/>
      <c r="AD312" s="29"/>
      <c r="AE312" s="29"/>
      <c r="AJ312"/>
      <c r="AK312"/>
      <c r="AL312"/>
      <c r="AM312"/>
      <c r="AN312"/>
      <c r="AO312"/>
      <c r="AP312"/>
      <c r="AQ312"/>
      <c r="AR312"/>
      <c r="AS312"/>
      <c r="AT312" s="4" t="str">
        <f t="shared" si="34"/>
        <v>1.0倍人力团队建设费</v>
      </c>
      <c r="AU312" s="4" t="str">
        <f t="shared" si="29"/>
        <v>企金风险部</v>
      </c>
      <c r="AV312" s="4" t="str">
        <f t="shared" si="30"/>
        <v>人力费用</v>
      </c>
      <c r="AW312" s="4" t="str">
        <f>IFERROR(VLOOKUP(AV312,[1]字段!A:B,2,0),"")</f>
        <v>人力费用</v>
      </c>
      <c r="AX312" s="30" t="str">
        <f>IF(AW312="人力费用",IF(E312="","",VLOOKUP(E312,[1]字段!D:E,2,0)),AW312)</f>
        <v>1.0倍人力</v>
      </c>
      <c r="AY312" s="30" t="str">
        <f>IF(AT312="","",VLOOKUP(AT312,[1]字段!H:I,2,0))</f>
        <v>1.0倍人力</v>
      </c>
      <c r="AZ312" s="31">
        <f t="shared" si="31"/>
        <v>0</v>
      </c>
      <c r="BA312" s="31">
        <f t="shared" si="32"/>
        <v>0</v>
      </c>
      <c r="BB312" s="31">
        <f t="shared" si="33"/>
        <v>0</v>
      </c>
      <c r="BC312" s="31">
        <f t="shared" si="35"/>
        <v>0</v>
      </c>
    </row>
    <row r="313" spans="1:55" ht="28.5" customHeight="1">
      <c r="A313" s="32"/>
      <c r="B313" s="32"/>
      <c r="C313" s="32"/>
      <c r="D313" s="40"/>
      <c r="E313" s="39" t="s">
        <v>45</v>
      </c>
      <c r="F313" s="39" t="s">
        <v>46</v>
      </c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  <c r="AA313" s="29"/>
      <c r="AB313" s="29"/>
      <c r="AC313" s="29"/>
      <c r="AD313" s="29"/>
      <c r="AE313" s="29"/>
      <c r="AJ313"/>
      <c r="AK313"/>
      <c r="AL313"/>
      <c r="AM313"/>
      <c r="AN313"/>
      <c r="AO313"/>
      <c r="AP313"/>
      <c r="AQ313"/>
      <c r="AR313"/>
      <c r="AS313"/>
      <c r="AT313" s="4" t="str">
        <f t="shared" si="34"/>
        <v>1.0倍人力其他职工福利费</v>
      </c>
      <c r="AU313" s="4" t="str">
        <f t="shared" si="29"/>
        <v>企金风险部</v>
      </c>
      <c r="AV313" s="4" t="str">
        <f t="shared" si="30"/>
        <v>人力费用</v>
      </c>
      <c r="AW313" s="4" t="str">
        <f>IFERROR(VLOOKUP(AV313,[1]字段!A:B,2,0),"")</f>
        <v>人力费用</v>
      </c>
      <c r="AX313" s="30" t="str">
        <f>IF(AW313="人力费用",IF(E313="","",VLOOKUP(E313,[1]字段!D:E,2,0)),AW313)</f>
        <v>1.0倍人力</v>
      </c>
      <c r="AY313" s="30" t="str">
        <f>IF(AT313="","",VLOOKUP(AT313,[1]字段!H:I,2,0))</f>
        <v>1.0倍人力</v>
      </c>
      <c r="AZ313" s="31">
        <f t="shared" si="31"/>
        <v>0</v>
      </c>
      <c r="BA313" s="31">
        <f t="shared" si="32"/>
        <v>0</v>
      </c>
      <c r="BB313" s="31">
        <f t="shared" si="33"/>
        <v>0</v>
      </c>
      <c r="BC313" s="31">
        <f t="shared" si="35"/>
        <v>0</v>
      </c>
    </row>
    <row r="314" spans="1:55" ht="28.5" customHeight="1">
      <c r="A314" s="32"/>
      <c r="B314" s="32"/>
      <c r="C314" s="32"/>
      <c r="D314" s="40"/>
      <c r="E314" s="39" t="s">
        <v>47</v>
      </c>
      <c r="F314" s="39" t="s">
        <v>48</v>
      </c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  <c r="AA314" s="29"/>
      <c r="AB314" s="29"/>
      <c r="AC314" s="29"/>
      <c r="AD314" s="29"/>
      <c r="AE314" s="29"/>
      <c r="AJ314"/>
      <c r="AK314"/>
      <c r="AL314"/>
      <c r="AM314"/>
      <c r="AN314"/>
      <c r="AO314"/>
      <c r="AP314"/>
      <c r="AQ314"/>
      <c r="AR314"/>
      <c r="AS314"/>
      <c r="AT314" s="4" t="str">
        <f t="shared" si="34"/>
        <v>1.0倍人力工会经费</v>
      </c>
      <c r="AU314" s="4" t="str">
        <f t="shared" si="29"/>
        <v>企金风险部</v>
      </c>
      <c r="AV314" s="4" t="str">
        <f t="shared" si="30"/>
        <v>人力费用</v>
      </c>
      <c r="AW314" s="4" t="str">
        <f>IFERROR(VLOOKUP(AV314,[1]字段!A:B,2,0),"")</f>
        <v>人力费用</v>
      </c>
      <c r="AX314" s="30" t="str">
        <f>IF(AW314="人力费用",IF(E314="","",VLOOKUP(E314,[1]字段!D:E,2,0)),AW314)</f>
        <v>1.0倍人力</v>
      </c>
      <c r="AY314" s="30" t="str">
        <f>IF(AT314="","",VLOOKUP(AT314,[1]字段!H:I,2,0))</f>
        <v>1.0倍人力</v>
      </c>
      <c r="AZ314" s="31">
        <f t="shared" si="31"/>
        <v>0</v>
      </c>
      <c r="BA314" s="31">
        <f t="shared" si="32"/>
        <v>0</v>
      </c>
      <c r="BB314" s="31">
        <f t="shared" si="33"/>
        <v>0</v>
      </c>
      <c r="BC314" s="31">
        <f t="shared" si="35"/>
        <v>0</v>
      </c>
    </row>
    <row r="315" spans="1:55" ht="28.5" customHeight="1">
      <c r="A315" s="32"/>
      <c r="B315" s="32"/>
      <c r="C315" s="32"/>
      <c r="D315" s="40"/>
      <c r="E315" s="39" t="s">
        <v>49</v>
      </c>
      <c r="F315" s="39" t="s">
        <v>50</v>
      </c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  <c r="AA315" s="29"/>
      <c r="AB315" s="29"/>
      <c r="AC315" s="29"/>
      <c r="AD315" s="29"/>
      <c r="AE315" s="29"/>
      <c r="AJ315"/>
      <c r="AK315"/>
      <c r="AL315"/>
      <c r="AM315"/>
      <c r="AN315"/>
      <c r="AO315"/>
      <c r="AP315"/>
      <c r="AQ315"/>
      <c r="AR315"/>
      <c r="AS315"/>
      <c r="AT315" s="4" t="str">
        <f t="shared" si="34"/>
        <v>1.0倍人力基本养老保险</v>
      </c>
      <c r="AU315" s="4" t="str">
        <f t="shared" si="29"/>
        <v>企金风险部</v>
      </c>
      <c r="AV315" s="4" t="str">
        <f t="shared" si="30"/>
        <v>人力费用</v>
      </c>
      <c r="AW315" s="4" t="str">
        <f>IFERROR(VLOOKUP(AV315,[1]字段!A:B,2,0),"")</f>
        <v>人力费用</v>
      </c>
      <c r="AX315" s="30" t="str">
        <f>IF(AW315="人力费用",IF(E315="","",VLOOKUP(E315,[1]字段!D:E,2,0)),AW315)</f>
        <v>1.0倍人力</v>
      </c>
      <c r="AY315" s="30" t="str">
        <f>IF(AT315="","",VLOOKUP(AT315,[1]字段!H:I,2,0))</f>
        <v>1.0倍人力</v>
      </c>
      <c r="AZ315" s="31">
        <f t="shared" si="31"/>
        <v>0</v>
      </c>
      <c r="BA315" s="31">
        <f t="shared" si="32"/>
        <v>0</v>
      </c>
      <c r="BB315" s="31">
        <f t="shared" si="33"/>
        <v>0</v>
      </c>
      <c r="BC315" s="31">
        <f t="shared" si="35"/>
        <v>0</v>
      </c>
    </row>
    <row r="316" spans="1:55" ht="28.5" customHeight="1">
      <c r="A316" s="32"/>
      <c r="B316" s="32"/>
      <c r="C316" s="32"/>
      <c r="D316" s="40"/>
      <c r="E316" s="39" t="s">
        <v>51</v>
      </c>
      <c r="F316" s="39" t="s">
        <v>52</v>
      </c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  <c r="AA316" s="29"/>
      <c r="AB316" s="29"/>
      <c r="AC316" s="29"/>
      <c r="AD316" s="29"/>
      <c r="AE316" s="29"/>
      <c r="AJ316"/>
      <c r="AK316"/>
      <c r="AL316"/>
      <c r="AM316"/>
      <c r="AN316"/>
      <c r="AO316"/>
      <c r="AP316"/>
      <c r="AQ316"/>
      <c r="AR316"/>
      <c r="AS316"/>
      <c r="AT316" s="4" t="str">
        <f t="shared" si="34"/>
        <v>1.0倍人力基本医疗保险</v>
      </c>
      <c r="AU316" s="4" t="str">
        <f t="shared" si="29"/>
        <v>企金风险部</v>
      </c>
      <c r="AV316" s="4" t="str">
        <f t="shared" si="30"/>
        <v>人力费用</v>
      </c>
      <c r="AW316" s="4" t="str">
        <f>IFERROR(VLOOKUP(AV316,[1]字段!A:B,2,0),"")</f>
        <v>人力费用</v>
      </c>
      <c r="AX316" s="30" t="str">
        <f>IF(AW316="人力费用",IF(E316="","",VLOOKUP(E316,[1]字段!D:E,2,0)),AW316)</f>
        <v>1.0倍人力</v>
      </c>
      <c r="AY316" s="30" t="str">
        <f>IF(AT316="","",VLOOKUP(AT316,[1]字段!H:I,2,0))</f>
        <v>1.0倍人力</v>
      </c>
      <c r="AZ316" s="31">
        <f t="shared" si="31"/>
        <v>0</v>
      </c>
      <c r="BA316" s="31">
        <f t="shared" si="32"/>
        <v>0</v>
      </c>
      <c r="BB316" s="31">
        <f t="shared" si="33"/>
        <v>0</v>
      </c>
      <c r="BC316" s="31">
        <f t="shared" si="35"/>
        <v>0</v>
      </c>
    </row>
    <row r="317" spans="1:55" ht="28.5" customHeight="1">
      <c r="A317" s="32"/>
      <c r="B317" s="32"/>
      <c r="C317" s="32"/>
      <c r="D317" s="40"/>
      <c r="E317" s="39" t="s">
        <v>53</v>
      </c>
      <c r="F317" s="39" t="s">
        <v>54</v>
      </c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  <c r="AA317" s="29"/>
      <c r="AB317" s="29"/>
      <c r="AC317" s="29"/>
      <c r="AD317" s="29"/>
      <c r="AE317" s="29"/>
      <c r="AJ317"/>
      <c r="AK317"/>
      <c r="AL317"/>
      <c r="AM317"/>
      <c r="AN317"/>
      <c r="AO317"/>
      <c r="AP317"/>
      <c r="AQ317"/>
      <c r="AR317"/>
      <c r="AS317"/>
      <c r="AT317" s="4" t="str">
        <f t="shared" si="34"/>
        <v>1.0倍人力工伤保险</v>
      </c>
      <c r="AU317" s="4" t="str">
        <f t="shared" si="29"/>
        <v>企金风险部</v>
      </c>
      <c r="AV317" s="4" t="str">
        <f t="shared" si="30"/>
        <v>人力费用</v>
      </c>
      <c r="AW317" s="4" t="str">
        <f>IFERROR(VLOOKUP(AV317,[1]字段!A:B,2,0),"")</f>
        <v>人力费用</v>
      </c>
      <c r="AX317" s="30" t="str">
        <f>IF(AW317="人力费用",IF(E317="","",VLOOKUP(E317,[1]字段!D:E,2,0)),AW317)</f>
        <v>1.0倍人力</v>
      </c>
      <c r="AY317" s="30" t="str">
        <f>IF(AT317="","",VLOOKUP(AT317,[1]字段!H:I,2,0))</f>
        <v>1.0倍人力</v>
      </c>
      <c r="AZ317" s="31">
        <f t="shared" si="31"/>
        <v>0</v>
      </c>
      <c r="BA317" s="31">
        <f t="shared" si="32"/>
        <v>0</v>
      </c>
      <c r="BB317" s="31">
        <f t="shared" si="33"/>
        <v>0</v>
      </c>
      <c r="BC317" s="31">
        <f t="shared" si="35"/>
        <v>0</v>
      </c>
    </row>
    <row r="318" spans="1:55" ht="28.5" customHeight="1">
      <c r="A318" s="32"/>
      <c r="B318" s="32"/>
      <c r="C318" s="32"/>
      <c r="D318" s="40"/>
      <c r="E318" s="39" t="s">
        <v>55</v>
      </c>
      <c r="F318" s="39" t="s">
        <v>56</v>
      </c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  <c r="AA318" s="29"/>
      <c r="AB318" s="29"/>
      <c r="AC318" s="29"/>
      <c r="AD318" s="29"/>
      <c r="AE318" s="29"/>
      <c r="AJ318"/>
      <c r="AK318"/>
      <c r="AL318"/>
      <c r="AM318"/>
      <c r="AN318"/>
      <c r="AO318"/>
      <c r="AP318"/>
      <c r="AQ318"/>
      <c r="AR318"/>
      <c r="AS318"/>
      <c r="AT318" s="4" t="str">
        <f t="shared" si="34"/>
        <v>1.0倍人力生育保险</v>
      </c>
      <c r="AU318" s="4" t="str">
        <f t="shared" si="29"/>
        <v>企金风险部</v>
      </c>
      <c r="AV318" s="4" t="str">
        <f t="shared" si="30"/>
        <v>人力费用</v>
      </c>
      <c r="AW318" s="4" t="str">
        <f>IFERROR(VLOOKUP(AV318,[1]字段!A:B,2,0),"")</f>
        <v>人力费用</v>
      </c>
      <c r="AX318" s="30" t="str">
        <f>IF(AW318="人力费用",IF(E318="","",VLOOKUP(E318,[1]字段!D:E,2,0)),AW318)</f>
        <v>1.0倍人力</v>
      </c>
      <c r="AY318" s="30" t="str">
        <f>IF(AT318="","",VLOOKUP(AT318,[1]字段!H:I,2,0))</f>
        <v>1.0倍人力</v>
      </c>
      <c r="AZ318" s="31">
        <f t="shared" si="31"/>
        <v>0</v>
      </c>
      <c r="BA318" s="31">
        <f t="shared" si="32"/>
        <v>0</v>
      </c>
      <c r="BB318" s="31">
        <f t="shared" si="33"/>
        <v>0</v>
      </c>
      <c r="BC318" s="31">
        <f t="shared" si="35"/>
        <v>0</v>
      </c>
    </row>
    <row r="319" spans="1:55" ht="28.5" customHeight="1">
      <c r="A319" s="32"/>
      <c r="B319" s="32"/>
      <c r="C319" s="32"/>
      <c r="D319" s="40"/>
      <c r="E319" s="39" t="s">
        <v>57</v>
      </c>
      <c r="F319" s="39" t="s">
        <v>58</v>
      </c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  <c r="AA319" s="29"/>
      <c r="AB319" s="29"/>
      <c r="AC319" s="29"/>
      <c r="AD319" s="29"/>
      <c r="AE319" s="29"/>
      <c r="AJ319"/>
      <c r="AK319"/>
      <c r="AL319"/>
      <c r="AM319"/>
      <c r="AN319"/>
      <c r="AO319"/>
      <c r="AP319"/>
      <c r="AQ319"/>
      <c r="AR319"/>
      <c r="AS319"/>
      <c r="AT319" s="4" t="str">
        <f t="shared" si="34"/>
        <v>1.0倍人力失业保险</v>
      </c>
      <c r="AU319" s="4" t="str">
        <f t="shared" si="29"/>
        <v>企金风险部</v>
      </c>
      <c r="AV319" s="4" t="str">
        <f t="shared" si="30"/>
        <v>人力费用</v>
      </c>
      <c r="AW319" s="4" t="str">
        <f>IFERROR(VLOOKUP(AV319,[1]字段!A:B,2,0),"")</f>
        <v>人力费用</v>
      </c>
      <c r="AX319" s="30" t="str">
        <f>IF(AW319="人力费用",IF(E319="","",VLOOKUP(E319,[1]字段!D:E,2,0)),AW319)</f>
        <v>1.0倍人力</v>
      </c>
      <c r="AY319" s="30" t="str">
        <f>IF(AT319="","",VLOOKUP(AT319,[1]字段!H:I,2,0))</f>
        <v>1.0倍人力</v>
      </c>
      <c r="AZ319" s="31">
        <f t="shared" si="31"/>
        <v>0</v>
      </c>
      <c r="BA319" s="31">
        <f t="shared" si="32"/>
        <v>0</v>
      </c>
      <c r="BB319" s="31">
        <f t="shared" si="33"/>
        <v>0</v>
      </c>
      <c r="BC319" s="31">
        <f t="shared" si="35"/>
        <v>0</v>
      </c>
    </row>
    <row r="320" spans="1:55" ht="28.5" customHeight="1">
      <c r="A320" s="32"/>
      <c r="B320" s="32"/>
      <c r="C320" s="32"/>
      <c r="D320" s="40"/>
      <c r="E320" s="39" t="s">
        <v>59</v>
      </c>
      <c r="F320" s="39" t="s">
        <v>60</v>
      </c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  <c r="AA320" s="29"/>
      <c r="AB320" s="29"/>
      <c r="AC320" s="29"/>
      <c r="AD320" s="29"/>
      <c r="AE320" s="29"/>
      <c r="AJ320"/>
      <c r="AK320"/>
      <c r="AL320"/>
      <c r="AM320"/>
      <c r="AN320"/>
      <c r="AO320"/>
      <c r="AP320"/>
      <c r="AQ320"/>
      <c r="AR320"/>
      <c r="AS320"/>
      <c r="AT320" s="4" t="str">
        <f t="shared" si="34"/>
        <v>1.0倍人力住房公积金</v>
      </c>
      <c r="AU320" s="4" t="str">
        <f t="shared" si="29"/>
        <v>企金风险部</v>
      </c>
      <c r="AV320" s="4" t="str">
        <f t="shared" si="30"/>
        <v>人力费用</v>
      </c>
      <c r="AW320" s="4" t="str">
        <f>IFERROR(VLOOKUP(AV320,[1]字段!A:B,2,0),"")</f>
        <v>人力费用</v>
      </c>
      <c r="AX320" s="30" t="str">
        <f>IF(AW320="人力费用",IF(E320="","",VLOOKUP(E320,[1]字段!D:E,2,0)),AW320)</f>
        <v>1.0倍人力</v>
      </c>
      <c r="AY320" s="30" t="str">
        <f>IF(AT320="","",VLOOKUP(AT320,[1]字段!H:I,2,0))</f>
        <v>1.0倍人力</v>
      </c>
      <c r="AZ320" s="31">
        <f t="shared" si="31"/>
        <v>0</v>
      </c>
      <c r="BA320" s="31">
        <f t="shared" si="32"/>
        <v>0</v>
      </c>
      <c r="BB320" s="31">
        <f t="shared" si="33"/>
        <v>0</v>
      </c>
      <c r="BC320" s="31">
        <f t="shared" si="35"/>
        <v>0</v>
      </c>
    </row>
    <row r="321" spans="1:55" ht="28.5" customHeight="1">
      <c r="A321" s="32"/>
      <c r="B321" s="32"/>
      <c r="C321" s="41"/>
      <c r="D321" s="42"/>
      <c r="E321" s="39" t="s">
        <v>100</v>
      </c>
      <c r="F321" s="39" t="s">
        <v>101</v>
      </c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  <c r="AA321" s="29"/>
      <c r="AB321" s="29"/>
      <c r="AC321" s="29"/>
      <c r="AD321" s="29"/>
      <c r="AE321" s="29"/>
      <c r="AJ321"/>
      <c r="AK321"/>
      <c r="AL321"/>
      <c r="AM321"/>
      <c r="AN321"/>
      <c r="AO321"/>
      <c r="AP321"/>
      <c r="AQ321"/>
      <c r="AR321"/>
      <c r="AS321"/>
      <c r="AT321" s="4" t="str">
        <f t="shared" si="34"/>
        <v>劳务支出劳务支出</v>
      </c>
      <c r="AU321" s="4" t="str">
        <f t="shared" si="29"/>
        <v>企金风险部</v>
      </c>
      <c r="AV321" s="4" t="str">
        <f t="shared" si="30"/>
        <v>人力费用</v>
      </c>
      <c r="AW321" s="4" t="str">
        <f>IFERROR(VLOOKUP(AV321,[1]字段!A:B,2,0),"")</f>
        <v>人力费用</v>
      </c>
      <c r="AX321" s="30" t="str">
        <f>IF(AW321="人力费用",IF(E321="","",VLOOKUP(E321,[1]字段!D:E,2,0)),AW321)</f>
        <v>劳务支出</v>
      </c>
      <c r="AY321" s="30" t="str">
        <f>IF(AT321="","",VLOOKUP(AT321,[1]字段!H:I,2,0))</f>
        <v>劳务支出</v>
      </c>
      <c r="AZ321" s="31">
        <f t="shared" si="31"/>
        <v>0</v>
      </c>
      <c r="BA321" s="31">
        <f t="shared" si="32"/>
        <v>0</v>
      </c>
      <c r="BB321" s="31">
        <f t="shared" si="33"/>
        <v>0</v>
      </c>
      <c r="BC321" s="31">
        <f t="shared" si="35"/>
        <v>0</v>
      </c>
    </row>
    <row r="322" spans="1:55" ht="28.5" customHeight="1">
      <c r="C322" s="33" t="s">
        <v>162</v>
      </c>
      <c r="D322" s="34" t="s">
        <v>163</v>
      </c>
      <c r="E322" s="35"/>
      <c r="F322" s="36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  <c r="AA322" s="29"/>
      <c r="AB322" s="29"/>
      <c r="AC322" s="29"/>
      <c r="AD322" s="29"/>
      <c r="AE322" s="29"/>
      <c r="AJ322"/>
      <c r="AK322"/>
      <c r="AL322"/>
      <c r="AM322"/>
      <c r="AN322"/>
      <c r="AO322"/>
      <c r="AP322"/>
      <c r="AQ322"/>
      <c r="AR322"/>
      <c r="AS322"/>
      <c r="AT322" s="4" t="str">
        <f t="shared" si="34"/>
        <v>运营费用</v>
      </c>
      <c r="AU322" s="4" t="str">
        <f t="shared" si="29"/>
        <v>企金风险部</v>
      </c>
      <c r="AV322" s="4" t="str">
        <f t="shared" si="30"/>
        <v>运营费用</v>
      </c>
      <c r="AW322" s="4" t="str">
        <f>IFERROR(VLOOKUP(AV322,[1]字段!A:B,2,0),"")</f>
        <v>运营费用</v>
      </c>
      <c r="AX322" s="30" t="str">
        <f>IF(AW322="人力费用",IF(E322="","",VLOOKUP(E322,[1]字段!D:E,2,0)),AW322)</f>
        <v>运营费用</v>
      </c>
      <c r="AY322" s="30">
        <f>IF(AT322="","",VLOOKUP(AT322,[1]字段!H:I,2,0))</f>
        <v>0</v>
      </c>
      <c r="AZ322" s="31">
        <f t="shared" si="31"/>
        <v>0</v>
      </c>
      <c r="BA322" s="31">
        <f t="shared" si="32"/>
        <v>0</v>
      </c>
      <c r="BB322" s="31">
        <f t="shared" si="33"/>
        <v>0</v>
      </c>
      <c r="BC322" s="31">
        <f t="shared" si="35"/>
        <v>0</v>
      </c>
    </row>
    <row r="323" spans="1:55" ht="28.5" customHeight="1">
      <c r="A323" s="32"/>
      <c r="B323" s="32"/>
      <c r="C323" s="37"/>
      <c r="D323" s="38"/>
      <c r="E323" s="39" t="s">
        <v>168</v>
      </c>
      <c r="F323" s="39" t="s">
        <v>169</v>
      </c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  <c r="AA323" s="29"/>
      <c r="AB323" s="29"/>
      <c r="AC323" s="29"/>
      <c r="AD323" s="29"/>
      <c r="AE323" s="29"/>
      <c r="AJ323"/>
      <c r="AK323"/>
      <c r="AL323"/>
      <c r="AM323"/>
      <c r="AN323"/>
      <c r="AO323"/>
      <c r="AP323"/>
      <c r="AQ323"/>
      <c r="AR323"/>
      <c r="AS323"/>
      <c r="AT323" s="4" t="str">
        <f t="shared" si="34"/>
        <v>运营费用坐席租用费</v>
      </c>
      <c r="AU323" s="4" t="str">
        <f t="shared" si="29"/>
        <v>企金风险部</v>
      </c>
      <c r="AV323" s="4" t="str">
        <f t="shared" si="30"/>
        <v>运营费用</v>
      </c>
      <c r="AW323" s="4" t="str">
        <f>IFERROR(VLOOKUP(AV323,[1]字段!A:B,2,0),"")</f>
        <v>运营费用</v>
      </c>
      <c r="AX323" s="30" t="str">
        <f>IF(AW323="人力费用",IF(E323="","",VLOOKUP(E323,[1]字段!D:E,2,0)),AW323)</f>
        <v>运营费用</v>
      </c>
      <c r="AY323" s="30" t="str">
        <f>IF(AT323="","",VLOOKUP(AT323,[1]字段!H:I,2,0))</f>
        <v>运营费用-客服费</v>
      </c>
      <c r="AZ323" s="31">
        <f t="shared" si="31"/>
        <v>0</v>
      </c>
      <c r="BA323" s="31">
        <f t="shared" si="32"/>
        <v>0</v>
      </c>
      <c r="BB323" s="31">
        <f t="shared" si="33"/>
        <v>0</v>
      </c>
      <c r="BC323" s="31">
        <f t="shared" si="35"/>
        <v>0</v>
      </c>
    </row>
    <row r="324" spans="1:55" ht="28.5" customHeight="1">
      <c r="A324" s="32"/>
      <c r="B324" s="32"/>
      <c r="C324" s="32"/>
      <c r="D324" s="40"/>
      <c r="E324" s="39" t="s">
        <v>170</v>
      </c>
      <c r="F324" s="39" t="s">
        <v>171</v>
      </c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  <c r="AA324" s="29"/>
      <c r="AB324" s="29"/>
      <c r="AC324" s="29"/>
      <c r="AD324" s="29"/>
      <c r="AE324" s="29"/>
      <c r="AJ324"/>
      <c r="AK324"/>
      <c r="AL324"/>
      <c r="AM324"/>
      <c r="AN324"/>
      <c r="AO324"/>
      <c r="AP324"/>
      <c r="AQ324"/>
      <c r="AR324"/>
      <c r="AS324"/>
      <c r="AT324" s="4" t="str">
        <f t="shared" si="34"/>
        <v>运营费用技术服务费</v>
      </c>
      <c r="AU324" s="4" t="str">
        <f t="shared" si="29"/>
        <v>企金风险部</v>
      </c>
      <c r="AV324" s="4" t="str">
        <f t="shared" si="30"/>
        <v>运营费用</v>
      </c>
      <c r="AW324" s="4" t="str">
        <f>IFERROR(VLOOKUP(AV324,[1]字段!A:B,2,0),"")</f>
        <v>运营费用</v>
      </c>
      <c r="AX324" s="30" t="str">
        <f>IF(AW324="人力费用",IF(E324="","",VLOOKUP(E324,[1]字段!D:E,2,0)),AW324)</f>
        <v>运营费用</v>
      </c>
      <c r="AY324" s="30" t="str">
        <f>IF(AT324="","",VLOOKUP(AT324,[1]字段!H:I,2,0))</f>
        <v>运营费用-运营其他</v>
      </c>
      <c r="AZ324" s="31">
        <f t="shared" si="31"/>
        <v>0</v>
      </c>
      <c r="BA324" s="31">
        <f t="shared" si="32"/>
        <v>0</v>
      </c>
      <c r="BB324" s="31">
        <f t="shared" si="33"/>
        <v>0</v>
      </c>
      <c r="BC324" s="31">
        <f t="shared" si="35"/>
        <v>0</v>
      </c>
    </row>
    <row r="325" spans="1:55" ht="28.5" customHeight="1">
      <c r="A325" s="32"/>
      <c r="B325" s="32"/>
      <c r="C325" s="32"/>
      <c r="D325" s="40"/>
      <c r="E325" s="39" t="s">
        <v>172</v>
      </c>
      <c r="F325" s="39" t="s">
        <v>173</v>
      </c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  <c r="AA325" s="29"/>
      <c r="AB325" s="29"/>
      <c r="AC325" s="29"/>
      <c r="AD325" s="29"/>
      <c r="AE325" s="29"/>
      <c r="AJ325"/>
      <c r="AK325"/>
      <c r="AL325"/>
      <c r="AM325"/>
      <c r="AN325"/>
      <c r="AO325"/>
      <c r="AP325"/>
      <c r="AQ325"/>
      <c r="AR325"/>
      <c r="AS325"/>
      <c r="AT325" s="4" t="str">
        <f t="shared" si="34"/>
        <v>运营费用客服费</v>
      </c>
      <c r="AU325" s="4" t="str">
        <f t="shared" ref="AU325:AU388" si="36">IF(B325="",AU324,B325)</f>
        <v>企金风险部</v>
      </c>
      <c r="AV325" s="4" t="str">
        <f t="shared" ref="AV325:AV388" si="37">IF(B325&lt;&gt;"","",IF(D325="",AV324,D325))</f>
        <v>运营费用</v>
      </c>
      <c r="AW325" s="4" t="str">
        <f>IFERROR(VLOOKUP(AV325,[1]字段!A:B,2,0),"")</f>
        <v>运营费用</v>
      </c>
      <c r="AX325" s="30" t="str">
        <f>IF(AW325="人力费用",IF(E325="","",VLOOKUP(E325,[1]字段!D:E,2,0)),AW325)</f>
        <v>运营费用</v>
      </c>
      <c r="AY325" s="30" t="str">
        <f>IF(AT325="","",VLOOKUP(AT325,[1]字段!H:I,2,0))</f>
        <v>运营费用-客服费</v>
      </c>
      <c r="AZ325" s="31">
        <f t="shared" ref="AZ325:AZ388" si="38">IF($E325="",0,SUMIF($G$1:$AB$1,AZ$4,$G325:$AB325))</f>
        <v>0</v>
      </c>
      <c r="BA325" s="31">
        <f t="shared" ref="BA325:BA388" si="39">IF($E325="",0,SUMIF($G$1:$AE$1,BA$4,$G325:$AE325))</f>
        <v>0</v>
      </c>
      <c r="BB325" s="31">
        <f t="shared" ref="BB325:BB388" si="40">AZ325+BA325</f>
        <v>0</v>
      </c>
      <c r="BC325" s="31">
        <f t="shared" si="35"/>
        <v>0</v>
      </c>
    </row>
    <row r="326" spans="1:55" ht="28.5" customHeight="1">
      <c r="A326" s="32"/>
      <c r="B326" s="32"/>
      <c r="C326" s="41"/>
      <c r="D326" s="42"/>
      <c r="E326" s="39" t="s">
        <v>83</v>
      </c>
      <c r="F326" s="39" t="s">
        <v>84</v>
      </c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  <c r="AA326" s="29"/>
      <c r="AB326" s="29"/>
      <c r="AC326" s="29"/>
      <c r="AD326" s="29"/>
      <c r="AE326" s="29"/>
      <c r="AJ326"/>
      <c r="AK326"/>
      <c r="AL326"/>
      <c r="AM326"/>
      <c r="AN326"/>
      <c r="AO326"/>
      <c r="AP326"/>
      <c r="AQ326"/>
      <c r="AR326"/>
      <c r="AS326"/>
      <c r="AT326" s="4" t="str">
        <f t="shared" ref="AT326:AT389" si="41">AX326&amp;F326</f>
        <v>运营费用其他外包服务费</v>
      </c>
      <c r="AU326" s="4" t="str">
        <f t="shared" si="36"/>
        <v>企金风险部</v>
      </c>
      <c r="AV326" s="4" t="str">
        <f t="shared" si="37"/>
        <v>运营费用</v>
      </c>
      <c r="AW326" s="4" t="str">
        <f>IFERROR(VLOOKUP(AV326,[1]字段!A:B,2,0),"")</f>
        <v>运营费用</v>
      </c>
      <c r="AX326" s="30" t="str">
        <f>IF(AW326="人力费用",IF(E326="","",VLOOKUP(E326,[1]字段!D:E,2,0)),AW326)</f>
        <v>运营费用</v>
      </c>
      <c r="AY326" s="30" t="str">
        <f>IF(AT326="","",VLOOKUP(AT326,[1]字段!H:I,2,0))</f>
        <v>运营费用-外包服务费</v>
      </c>
      <c r="AZ326" s="31">
        <f t="shared" si="38"/>
        <v>0</v>
      </c>
      <c r="BA326" s="31">
        <f t="shared" si="39"/>
        <v>0</v>
      </c>
      <c r="BB326" s="31">
        <f t="shared" si="40"/>
        <v>0</v>
      </c>
      <c r="BC326" s="31">
        <f t="shared" ref="BC326:BC389" si="42">IF(E326="",0,SUM(G326:AE326)-AZ326-BA326)</f>
        <v>0</v>
      </c>
    </row>
    <row r="327" spans="1:55" ht="28.5" customHeight="1">
      <c r="C327" s="33" t="s">
        <v>65</v>
      </c>
      <c r="D327" s="34" t="s">
        <v>66</v>
      </c>
      <c r="E327" s="35"/>
      <c r="F327" s="36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  <c r="AA327" s="29"/>
      <c r="AB327" s="29"/>
      <c r="AC327" s="29"/>
      <c r="AD327" s="29"/>
      <c r="AE327" s="29"/>
      <c r="AJ327"/>
      <c r="AK327"/>
      <c r="AL327"/>
      <c r="AM327"/>
      <c r="AN327"/>
      <c r="AO327"/>
      <c r="AP327"/>
      <c r="AQ327"/>
      <c r="AR327"/>
      <c r="AS327"/>
      <c r="AT327" s="4" t="str">
        <f t="shared" si="41"/>
        <v>IT费用</v>
      </c>
      <c r="AU327" s="4" t="str">
        <f t="shared" si="36"/>
        <v>企金风险部</v>
      </c>
      <c r="AV327" s="4" t="str">
        <f t="shared" si="37"/>
        <v>IT科技费用</v>
      </c>
      <c r="AW327" s="4" t="str">
        <f>IFERROR(VLOOKUP(AV327,[1]字段!A:B,2,0),"")</f>
        <v>IT费用</v>
      </c>
      <c r="AX327" s="30" t="str">
        <f>IF(AW327="人力费用",IF(E327="","",VLOOKUP(E327,[1]字段!D:E,2,0)),AW327)</f>
        <v>IT费用</v>
      </c>
      <c r="AY327" s="30">
        <f>IF(AT327="","",VLOOKUP(AT327,[1]字段!H:I,2,0))</f>
        <v>0</v>
      </c>
      <c r="AZ327" s="31">
        <f t="shared" si="38"/>
        <v>0</v>
      </c>
      <c r="BA327" s="31">
        <f t="shared" si="39"/>
        <v>0</v>
      </c>
      <c r="BB327" s="31">
        <f t="shared" si="40"/>
        <v>0</v>
      </c>
      <c r="BC327" s="31">
        <f t="shared" si="42"/>
        <v>0</v>
      </c>
    </row>
    <row r="328" spans="1:55" ht="28.5" customHeight="1">
      <c r="A328" s="32"/>
      <c r="B328" s="32"/>
      <c r="C328" s="37"/>
      <c r="D328" s="38"/>
      <c r="E328" s="39" t="s">
        <v>71</v>
      </c>
      <c r="F328" s="39" t="s">
        <v>72</v>
      </c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  <c r="AA328" s="29"/>
      <c r="AB328" s="29"/>
      <c r="AC328" s="29"/>
      <c r="AD328" s="29"/>
      <c r="AE328" s="29"/>
      <c r="AJ328"/>
      <c r="AK328"/>
      <c r="AL328"/>
      <c r="AM328"/>
      <c r="AN328"/>
      <c r="AO328"/>
      <c r="AP328"/>
      <c r="AQ328"/>
      <c r="AR328"/>
      <c r="AS328"/>
      <c r="AT328" s="4" t="str">
        <f t="shared" si="41"/>
        <v>IT费用办公IT设备折旧费</v>
      </c>
      <c r="AU328" s="4" t="str">
        <f t="shared" si="36"/>
        <v>企金风险部</v>
      </c>
      <c r="AV328" s="4" t="str">
        <f t="shared" si="37"/>
        <v>IT科技费用</v>
      </c>
      <c r="AW328" s="4" t="str">
        <f>IFERROR(VLOOKUP(AV328,[1]字段!A:B,2,0),"")</f>
        <v>IT费用</v>
      </c>
      <c r="AX328" s="30" t="str">
        <f>IF(AW328="人力费用",IF(E328="","",VLOOKUP(E328,[1]字段!D:E,2,0)),AW328)</f>
        <v>IT费用</v>
      </c>
      <c r="AY328" s="30" t="str">
        <f>IF(AT328="","",VLOOKUP(AT328,[1]字段!H:I,2,0))</f>
        <v>IT费用</v>
      </c>
      <c r="AZ328" s="31">
        <f t="shared" si="38"/>
        <v>0</v>
      </c>
      <c r="BA328" s="31">
        <f t="shared" si="39"/>
        <v>0</v>
      </c>
      <c r="BB328" s="31">
        <f t="shared" si="40"/>
        <v>0</v>
      </c>
      <c r="BC328" s="31">
        <f t="shared" si="42"/>
        <v>0</v>
      </c>
    </row>
    <row r="329" spans="1:55" ht="28.5" customHeight="1">
      <c r="A329" s="32"/>
      <c r="B329" s="32"/>
      <c r="C329" s="41"/>
      <c r="D329" s="42"/>
      <c r="E329" s="39" t="s">
        <v>75</v>
      </c>
      <c r="F329" s="39" t="s">
        <v>76</v>
      </c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  <c r="AA329" s="29"/>
      <c r="AB329" s="29"/>
      <c r="AC329" s="29"/>
      <c r="AD329" s="29"/>
      <c r="AE329" s="29"/>
      <c r="AJ329"/>
      <c r="AK329"/>
      <c r="AL329"/>
      <c r="AM329"/>
      <c r="AN329"/>
      <c r="AO329"/>
      <c r="AP329"/>
      <c r="AQ329"/>
      <c r="AR329"/>
      <c r="AS329"/>
      <c r="AT329" s="4" t="str">
        <f t="shared" si="41"/>
        <v>IT费用数据资源摊销</v>
      </c>
      <c r="AU329" s="4" t="str">
        <f t="shared" si="36"/>
        <v>企金风险部</v>
      </c>
      <c r="AV329" s="4" t="str">
        <f t="shared" si="37"/>
        <v>IT科技费用</v>
      </c>
      <c r="AW329" s="4" t="str">
        <f>IFERROR(VLOOKUP(AV329,[1]字段!A:B,2,0),"")</f>
        <v>IT费用</v>
      </c>
      <c r="AX329" s="30" t="str">
        <f>IF(AW329="人力费用",IF(E329="","",VLOOKUP(E329,[1]字段!D:E,2,0)),AW329)</f>
        <v>IT费用</v>
      </c>
      <c r="AY329" s="30" t="str">
        <f>IF(AT329="","",VLOOKUP(AT329,[1]字段!H:I,2,0))</f>
        <v>IT费用</v>
      </c>
      <c r="AZ329" s="31">
        <f t="shared" si="38"/>
        <v>0</v>
      </c>
      <c r="BA329" s="31">
        <f t="shared" si="39"/>
        <v>0</v>
      </c>
      <c r="BB329" s="31">
        <f t="shared" si="40"/>
        <v>0</v>
      </c>
      <c r="BC329" s="31">
        <f t="shared" si="42"/>
        <v>0</v>
      </c>
    </row>
    <row r="330" spans="1:55" ht="28.5" customHeight="1">
      <c r="C330" s="33" t="s">
        <v>93</v>
      </c>
      <c r="D330" s="34" t="s">
        <v>94</v>
      </c>
      <c r="E330" s="35"/>
      <c r="F330" s="36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  <c r="AA330" s="29"/>
      <c r="AB330" s="29"/>
      <c r="AC330" s="29"/>
      <c r="AD330" s="29"/>
      <c r="AE330" s="29"/>
      <c r="AJ330"/>
      <c r="AK330"/>
      <c r="AL330"/>
      <c r="AM330"/>
      <c r="AN330"/>
      <c r="AO330"/>
      <c r="AP330"/>
      <c r="AQ330"/>
      <c r="AR330"/>
      <c r="AS330"/>
      <c r="AT330" s="4" t="str">
        <f t="shared" si="41"/>
        <v>日常费用</v>
      </c>
      <c r="AU330" s="4" t="str">
        <f t="shared" si="36"/>
        <v>企金风险部</v>
      </c>
      <c r="AV330" s="4" t="str">
        <f t="shared" si="37"/>
        <v>日常费用</v>
      </c>
      <c r="AW330" s="4" t="str">
        <f>IFERROR(VLOOKUP(AV330,[1]字段!A:B,2,0),"")</f>
        <v>日常费用</v>
      </c>
      <c r="AX330" s="30" t="str">
        <f>IF(AW330="人力费用",IF(E330="","",VLOOKUP(E330,[1]字段!D:E,2,0)),AW330)</f>
        <v>日常费用</v>
      </c>
      <c r="AY330" s="30">
        <f>IF(AT330="","",VLOOKUP(AT330,[1]字段!H:I,2,0))</f>
        <v>0</v>
      </c>
      <c r="AZ330" s="31">
        <f t="shared" si="38"/>
        <v>0</v>
      </c>
      <c r="BA330" s="31">
        <f t="shared" si="39"/>
        <v>0</v>
      </c>
      <c r="BB330" s="31">
        <f t="shared" si="40"/>
        <v>0</v>
      </c>
      <c r="BC330" s="31">
        <f t="shared" si="42"/>
        <v>0</v>
      </c>
    </row>
    <row r="331" spans="1:55" ht="28.5" customHeight="1">
      <c r="A331" s="32"/>
      <c r="B331" s="32"/>
      <c r="C331" s="37"/>
      <c r="D331" s="38"/>
      <c r="E331" s="39" t="s">
        <v>77</v>
      </c>
      <c r="F331" s="39" t="s">
        <v>78</v>
      </c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  <c r="AA331" s="29"/>
      <c r="AB331" s="29"/>
      <c r="AC331" s="29"/>
      <c r="AD331" s="29"/>
      <c r="AE331" s="29"/>
      <c r="AJ331"/>
      <c r="AK331"/>
      <c r="AL331"/>
      <c r="AM331"/>
      <c r="AN331"/>
      <c r="AO331"/>
      <c r="AP331"/>
      <c r="AQ331"/>
      <c r="AR331"/>
      <c r="AS331"/>
      <c r="AT331" s="4" t="str">
        <f t="shared" si="41"/>
        <v>日常费用咨询费</v>
      </c>
      <c r="AU331" s="4" t="str">
        <f t="shared" si="36"/>
        <v>企金风险部</v>
      </c>
      <c r="AV331" s="4" t="str">
        <f t="shared" si="37"/>
        <v>日常费用</v>
      </c>
      <c r="AW331" s="4" t="str">
        <f>IFERROR(VLOOKUP(AV331,[1]字段!A:B,2,0),"")</f>
        <v>日常费用</v>
      </c>
      <c r="AX331" s="30" t="str">
        <f>IF(AW331="人力费用",IF(E331="","",VLOOKUP(E331,[1]字段!D:E,2,0)),AW331)</f>
        <v>日常费用</v>
      </c>
      <c r="AY331" s="30" t="str">
        <f>IF(AT331="","",VLOOKUP(AT331,[1]字段!H:I,2,0))</f>
        <v>日常费用-咨询费</v>
      </c>
      <c r="AZ331" s="31">
        <f t="shared" si="38"/>
        <v>0</v>
      </c>
      <c r="BA331" s="31">
        <f t="shared" si="39"/>
        <v>0</v>
      </c>
      <c r="BB331" s="31">
        <f t="shared" si="40"/>
        <v>0</v>
      </c>
      <c r="BC331" s="31">
        <f t="shared" si="42"/>
        <v>0</v>
      </c>
    </row>
    <row r="332" spans="1:55" ht="28.5" customHeight="1">
      <c r="A332" s="32"/>
      <c r="B332" s="32"/>
      <c r="C332" s="32"/>
      <c r="D332" s="40"/>
      <c r="E332" s="39" t="s">
        <v>170</v>
      </c>
      <c r="F332" s="39" t="s">
        <v>171</v>
      </c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  <c r="AA332" s="29"/>
      <c r="AB332" s="29"/>
      <c r="AC332" s="29"/>
      <c r="AD332" s="29"/>
      <c r="AE332" s="29"/>
      <c r="AJ332"/>
      <c r="AK332"/>
      <c r="AL332"/>
      <c r="AM332"/>
      <c r="AN332"/>
      <c r="AO332"/>
      <c r="AP332"/>
      <c r="AQ332"/>
      <c r="AR332"/>
      <c r="AS332"/>
      <c r="AT332" s="4" t="str">
        <f t="shared" si="41"/>
        <v>日常费用技术服务费</v>
      </c>
      <c r="AU332" s="4" t="str">
        <f t="shared" si="36"/>
        <v>企金风险部</v>
      </c>
      <c r="AV332" s="4" t="str">
        <f t="shared" si="37"/>
        <v>日常费用</v>
      </c>
      <c r="AW332" s="4" t="str">
        <f>IFERROR(VLOOKUP(AV332,[1]字段!A:B,2,0),"")</f>
        <v>日常费用</v>
      </c>
      <c r="AX332" s="30" t="str">
        <f>IF(AW332="人力费用",IF(E332="","",VLOOKUP(E332,[1]字段!D:E,2,0)),AW332)</f>
        <v>日常费用</v>
      </c>
      <c r="AY332" s="30" t="str">
        <f>IF(AT332="","",VLOOKUP(AT332,[1]字段!H:I,2,0))</f>
        <v>日常费用-其他</v>
      </c>
      <c r="AZ332" s="31">
        <f t="shared" si="38"/>
        <v>0</v>
      </c>
      <c r="BA332" s="31">
        <f t="shared" si="39"/>
        <v>0</v>
      </c>
      <c r="BB332" s="31">
        <f t="shared" si="40"/>
        <v>0</v>
      </c>
      <c r="BC332" s="31">
        <f t="shared" si="42"/>
        <v>0</v>
      </c>
    </row>
    <row r="333" spans="1:55" ht="28.5" customHeight="1">
      <c r="A333" s="32"/>
      <c r="B333" s="32"/>
      <c r="C333" s="32"/>
      <c r="D333" s="40"/>
      <c r="E333" s="39" t="s">
        <v>95</v>
      </c>
      <c r="F333" s="39" t="s">
        <v>96</v>
      </c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  <c r="AA333" s="29"/>
      <c r="AB333" s="29"/>
      <c r="AC333" s="29"/>
      <c r="AD333" s="29"/>
      <c r="AE333" s="29"/>
      <c r="AJ333"/>
      <c r="AK333"/>
      <c r="AL333"/>
      <c r="AM333"/>
      <c r="AN333"/>
      <c r="AO333"/>
      <c r="AP333"/>
      <c r="AQ333"/>
      <c r="AR333"/>
      <c r="AS333"/>
      <c r="AT333" s="4" t="str">
        <f t="shared" si="41"/>
        <v>日常费用业务招待费</v>
      </c>
      <c r="AU333" s="4" t="str">
        <f t="shared" si="36"/>
        <v>企金风险部</v>
      </c>
      <c r="AV333" s="4" t="str">
        <f t="shared" si="37"/>
        <v>日常费用</v>
      </c>
      <c r="AW333" s="4" t="str">
        <f>IFERROR(VLOOKUP(AV333,[1]字段!A:B,2,0),"")</f>
        <v>日常费用</v>
      </c>
      <c r="AX333" s="30" t="str">
        <f>IF(AW333="人力费用",IF(E333="","",VLOOKUP(E333,[1]字段!D:E,2,0)),AW333)</f>
        <v>日常费用</v>
      </c>
      <c r="AY333" s="30" t="str">
        <f>IF(AT333="","",VLOOKUP(AT333,[1]字段!H:I,2,0))</f>
        <v>日常费用-其他</v>
      </c>
      <c r="AZ333" s="31">
        <f t="shared" si="38"/>
        <v>0</v>
      </c>
      <c r="BA333" s="31">
        <f t="shared" si="39"/>
        <v>0</v>
      </c>
      <c r="BB333" s="31">
        <f t="shared" si="40"/>
        <v>0</v>
      </c>
      <c r="BC333" s="31">
        <f t="shared" si="42"/>
        <v>0</v>
      </c>
    </row>
    <row r="334" spans="1:55" ht="28.5" customHeight="1">
      <c r="A334" s="32"/>
      <c r="B334" s="32"/>
      <c r="C334" s="32"/>
      <c r="D334" s="40"/>
      <c r="E334" s="39" t="s">
        <v>139</v>
      </c>
      <c r="F334" s="39" t="s">
        <v>140</v>
      </c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  <c r="AA334" s="29"/>
      <c r="AB334" s="29"/>
      <c r="AC334" s="29"/>
      <c r="AD334" s="29"/>
      <c r="AE334" s="29"/>
      <c r="AJ334"/>
      <c r="AK334"/>
      <c r="AL334"/>
      <c r="AM334"/>
      <c r="AN334"/>
      <c r="AO334"/>
      <c r="AP334"/>
      <c r="AQ334"/>
      <c r="AR334"/>
      <c r="AS334"/>
      <c r="AT334" s="4" t="str">
        <f t="shared" si="41"/>
        <v>日常费用差旅费</v>
      </c>
      <c r="AU334" s="4" t="str">
        <f t="shared" si="36"/>
        <v>企金风险部</v>
      </c>
      <c r="AV334" s="4" t="str">
        <f t="shared" si="37"/>
        <v>日常费用</v>
      </c>
      <c r="AW334" s="4" t="str">
        <f>IFERROR(VLOOKUP(AV334,[1]字段!A:B,2,0),"")</f>
        <v>日常费用</v>
      </c>
      <c r="AX334" s="30" t="str">
        <f>IF(AW334="人力费用",IF(E334="","",VLOOKUP(E334,[1]字段!D:E,2,0)),AW334)</f>
        <v>日常费用</v>
      </c>
      <c r="AY334" s="30" t="str">
        <f>IF(AT334="","",VLOOKUP(AT334,[1]字段!H:I,2,0))</f>
        <v>日常费用-其他</v>
      </c>
      <c r="AZ334" s="31">
        <f t="shared" si="38"/>
        <v>0</v>
      </c>
      <c r="BA334" s="31">
        <f t="shared" si="39"/>
        <v>0</v>
      </c>
      <c r="BB334" s="31">
        <f t="shared" si="40"/>
        <v>0</v>
      </c>
      <c r="BC334" s="31">
        <f t="shared" si="42"/>
        <v>0</v>
      </c>
    </row>
    <row r="335" spans="1:55" ht="28.5" customHeight="1">
      <c r="A335" s="41"/>
      <c r="B335" s="41"/>
      <c r="C335" s="41"/>
      <c r="D335" s="42"/>
      <c r="E335" s="39" t="s">
        <v>104</v>
      </c>
      <c r="F335" s="39" t="s">
        <v>105</v>
      </c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  <c r="AA335" s="29"/>
      <c r="AB335" s="29"/>
      <c r="AC335" s="29"/>
      <c r="AD335" s="29"/>
      <c r="AE335" s="29"/>
      <c r="AJ335"/>
      <c r="AK335"/>
      <c r="AL335"/>
      <c r="AM335"/>
      <c r="AN335"/>
      <c r="AO335"/>
      <c r="AP335"/>
      <c r="AQ335"/>
      <c r="AR335"/>
      <c r="AS335"/>
      <c r="AT335" s="4" t="str">
        <f t="shared" si="41"/>
        <v>日常费用会议费</v>
      </c>
      <c r="AU335" s="4" t="str">
        <f t="shared" si="36"/>
        <v>企金风险部</v>
      </c>
      <c r="AV335" s="4" t="str">
        <f t="shared" si="37"/>
        <v>日常费用</v>
      </c>
      <c r="AW335" s="4" t="str">
        <f>IFERROR(VLOOKUP(AV335,[1]字段!A:B,2,0),"")</f>
        <v>日常费用</v>
      </c>
      <c r="AX335" s="30" t="str">
        <f>IF(AW335="人力费用",IF(E335="","",VLOOKUP(E335,[1]字段!D:E,2,0)),AW335)</f>
        <v>日常费用</v>
      </c>
      <c r="AY335" s="30" t="str">
        <f>IF(AT335="","",VLOOKUP(AT335,[1]字段!H:I,2,0))</f>
        <v>日常费用-其他</v>
      </c>
      <c r="AZ335" s="31">
        <f t="shared" si="38"/>
        <v>0</v>
      </c>
      <c r="BA335" s="31">
        <f t="shared" si="39"/>
        <v>0</v>
      </c>
      <c r="BB335" s="31">
        <f t="shared" si="40"/>
        <v>0</v>
      </c>
      <c r="BC335" s="31">
        <f t="shared" si="42"/>
        <v>0</v>
      </c>
    </row>
    <row r="336" spans="1:55" ht="28.5" customHeight="1">
      <c r="A336" s="25"/>
      <c r="B336" s="26" t="s">
        <v>174</v>
      </c>
      <c r="C336" s="27"/>
      <c r="D336" s="27"/>
      <c r="E336" s="27"/>
      <c r="F336" s="28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  <c r="AA336" s="29"/>
      <c r="AB336" s="29"/>
      <c r="AC336" s="29"/>
      <c r="AD336" s="29"/>
      <c r="AE336" s="29"/>
      <c r="AJ336"/>
      <c r="AK336"/>
      <c r="AL336"/>
      <c r="AM336"/>
      <c r="AN336"/>
      <c r="AO336"/>
      <c r="AP336"/>
      <c r="AQ336"/>
      <c r="AR336"/>
      <c r="AS336"/>
      <c r="AT336" s="4" t="str">
        <f t="shared" si="41"/>
        <v/>
      </c>
      <c r="AU336" s="4" t="str">
        <f t="shared" si="36"/>
        <v>公司治理部</v>
      </c>
      <c r="AV336" s="4" t="str">
        <f t="shared" si="37"/>
        <v/>
      </c>
      <c r="AW336" s="4" t="str">
        <f>IFERROR(VLOOKUP(AV336,[1]字段!A:B,2,0),"")</f>
        <v/>
      </c>
      <c r="AX336" s="30" t="str">
        <f>IF(AW336="人力费用",IF(E336="","",VLOOKUP(E336,[1]字段!D:E,2,0)),AW336)</f>
        <v/>
      </c>
      <c r="AY336" s="30" t="str">
        <f>IF(AT336="","",VLOOKUP(AT336,[1]字段!H:I,2,0))</f>
        <v/>
      </c>
      <c r="AZ336" s="31">
        <f t="shared" si="38"/>
        <v>0</v>
      </c>
      <c r="BA336" s="31">
        <f t="shared" si="39"/>
        <v>0</v>
      </c>
      <c r="BB336" s="31">
        <f t="shared" si="40"/>
        <v>0</v>
      </c>
      <c r="BC336" s="31">
        <f t="shared" si="42"/>
        <v>0</v>
      </c>
    </row>
    <row r="337" spans="1:55" ht="28.5" customHeight="1">
      <c r="A337" s="32"/>
      <c r="B337" s="32"/>
      <c r="C337" s="33" t="s">
        <v>39</v>
      </c>
      <c r="D337" s="34" t="s">
        <v>40</v>
      </c>
      <c r="E337" s="35"/>
      <c r="F337" s="36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  <c r="AA337" s="29"/>
      <c r="AB337" s="29"/>
      <c r="AC337" s="29"/>
      <c r="AD337" s="29"/>
      <c r="AE337" s="29"/>
      <c r="AJ337"/>
      <c r="AK337"/>
      <c r="AL337"/>
      <c r="AM337"/>
      <c r="AN337"/>
      <c r="AO337"/>
      <c r="AP337"/>
      <c r="AQ337"/>
      <c r="AR337"/>
      <c r="AS337"/>
      <c r="AT337" s="4" t="str">
        <f t="shared" si="41"/>
        <v/>
      </c>
      <c r="AU337" s="4" t="str">
        <f t="shared" si="36"/>
        <v>公司治理部</v>
      </c>
      <c r="AV337" s="4" t="str">
        <f t="shared" si="37"/>
        <v>人力费用</v>
      </c>
      <c r="AW337" s="4" t="str">
        <f>IFERROR(VLOOKUP(AV337,[1]字段!A:B,2,0),"")</f>
        <v>人力费用</v>
      </c>
      <c r="AX337" s="30" t="str">
        <f>IF(AW337="人力费用",IF(E337="","",VLOOKUP(E337,[1]字段!D:E,2,0)),AW337)</f>
        <v/>
      </c>
      <c r="AY337" s="30" t="str">
        <f>IF(AT337="","",VLOOKUP(AT337,[1]字段!H:I,2,0))</f>
        <v/>
      </c>
      <c r="AZ337" s="31">
        <f t="shared" si="38"/>
        <v>0</v>
      </c>
      <c r="BA337" s="31">
        <f t="shared" si="39"/>
        <v>0</v>
      </c>
      <c r="BB337" s="31">
        <f t="shared" si="40"/>
        <v>0</v>
      </c>
      <c r="BC337" s="31">
        <f t="shared" si="42"/>
        <v>0</v>
      </c>
    </row>
    <row r="338" spans="1:55" ht="28.5" customHeight="1">
      <c r="A338" s="32"/>
      <c r="B338" s="32"/>
      <c r="C338" s="37"/>
      <c r="D338" s="38"/>
      <c r="E338" s="39" t="s">
        <v>41</v>
      </c>
      <c r="F338" s="39" t="s">
        <v>42</v>
      </c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  <c r="AA338" s="29"/>
      <c r="AB338" s="29"/>
      <c r="AC338" s="29"/>
      <c r="AD338" s="29"/>
      <c r="AE338" s="29"/>
      <c r="AJ338"/>
      <c r="AK338"/>
      <c r="AL338"/>
      <c r="AM338"/>
      <c r="AN338"/>
      <c r="AO338"/>
      <c r="AP338"/>
      <c r="AQ338"/>
      <c r="AR338"/>
      <c r="AS338"/>
      <c r="AT338" s="4" t="str">
        <f t="shared" si="41"/>
        <v>1.0倍人力基础工资</v>
      </c>
      <c r="AU338" s="4" t="str">
        <f t="shared" si="36"/>
        <v>公司治理部</v>
      </c>
      <c r="AV338" s="4" t="str">
        <f t="shared" si="37"/>
        <v>人力费用</v>
      </c>
      <c r="AW338" s="4" t="str">
        <f>IFERROR(VLOOKUP(AV338,[1]字段!A:B,2,0),"")</f>
        <v>人力费用</v>
      </c>
      <c r="AX338" s="30" t="str">
        <f>IF(AW338="人力费用",IF(E338="","",VLOOKUP(E338,[1]字段!D:E,2,0)),AW338)</f>
        <v>1.0倍人力</v>
      </c>
      <c r="AY338" s="30" t="str">
        <f>IF(AT338="","",VLOOKUP(AT338,[1]字段!H:I,2,0))</f>
        <v>1.0倍人力</v>
      </c>
      <c r="AZ338" s="31">
        <f t="shared" si="38"/>
        <v>0</v>
      </c>
      <c r="BA338" s="31">
        <f t="shared" si="39"/>
        <v>0</v>
      </c>
      <c r="BB338" s="31">
        <f t="shared" si="40"/>
        <v>0</v>
      </c>
      <c r="BC338" s="31">
        <f t="shared" si="42"/>
        <v>0</v>
      </c>
    </row>
    <row r="339" spans="1:55" ht="28.5" customHeight="1">
      <c r="A339" s="32"/>
      <c r="B339" s="32"/>
      <c r="C339" s="32"/>
      <c r="D339" s="40"/>
      <c r="E339" s="39">
        <v>5501010602</v>
      </c>
      <c r="F339" s="3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  <c r="AA339" s="29"/>
      <c r="AB339" s="29"/>
      <c r="AC339" s="29"/>
      <c r="AD339" s="29"/>
      <c r="AE339" s="29"/>
      <c r="AJ339"/>
      <c r="AK339"/>
      <c r="AL339"/>
      <c r="AM339"/>
      <c r="AN339"/>
      <c r="AO339"/>
      <c r="AP339"/>
      <c r="AQ339"/>
      <c r="AR339"/>
      <c r="AS339"/>
      <c r="AT339" s="4" t="str">
        <f t="shared" si="41"/>
        <v>利润分享</v>
      </c>
      <c r="AU339" s="4" t="str">
        <f t="shared" si="36"/>
        <v>公司治理部</v>
      </c>
      <c r="AV339" s="4" t="str">
        <f t="shared" si="37"/>
        <v>人力费用</v>
      </c>
      <c r="AW339" s="4" t="str">
        <f>IFERROR(VLOOKUP(AV339,[1]字段!A:B,2,0),"")</f>
        <v>人力费用</v>
      </c>
      <c r="AX339" s="30" t="str">
        <f>IF(AW339="人力费用",IF(E339="","",VLOOKUP(E339,[1]字段!D:E,2,0)),AW339)</f>
        <v>利润分享</v>
      </c>
      <c r="AY339" s="30" t="str">
        <f>IF(AT339="","",VLOOKUP(AT339,[1]字段!H:I,2,0))</f>
        <v>利润分享</v>
      </c>
      <c r="AZ339" s="31">
        <f t="shared" si="38"/>
        <v>0</v>
      </c>
      <c r="BA339" s="31">
        <f t="shared" si="39"/>
        <v>0</v>
      </c>
      <c r="BB339" s="31">
        <f t="shared" si="40"/>
        <v>0</v>
      </c>
      <c r="BC339" s="31">
        <f t="shared" si="42"/>
        <v>0</v>
      </c>
    </row>
    <row r="340" spans="1:55" ht="28.5" customHeight="1">
      <c r="A340" s="32"/>
      <c r="B340" s="32"/>
      <c r="C340" s="32"/>
      <c r="D340" s="40"/>
      <c r="E340" s="39">
        <v>5501010603</v>
      </c>
      <c r="F340" s="3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  <c r="AA340" s="29"/>
      <c r="AB340" s="29"/>
      <c r="AC340" s="29"/>
      <c r="AD340" s="29"/>
      <c r="AE340" s="29"/>
      <c r="AJ340"/>
      <c r="AK340"/>
      <c r="AL340"/>
      <c r="AM340"/>
      <c r="AN340"/>
      <c r="AO340"/>
      <c r="AP340"/>
      <c r="AQ340"/>
      <c r="AR340"/>
      <c r="AS340"/>
      <c r="AT340" s="4" t="str">
        <f t="shared" si="41"/>
        <v>留任奖励</v>
      </c>
      <c r="AU340" s="4" t="str">
        <f t="shared" si="36"/>
        <v>公司治理部</v>
      </c>
      <c r="AV340" s="4" t="str">
        <f t="shared" si="37"/>
        <v>人力费用</v>
      </c>
      <c r="AW340" s="4" t="str">
        <f>IFERROR(VLOOKUP(AV340,[1]字段!A:B,2,0),"")</f>
        <v>人力费用</v>
      </c>
      <c r="AX340" s="30" t="str">
        <f>IF(AW340="人力费用",IF(E340="","",VLOOKUP(E340,[1]字段!D:E,2,0)),AW340)</f>
        <v>留任奖励</v>
      </c>
      <c r="AY340" s="30" t="str">
        <f>IF(AT340="","",VLOOKUP(AT340,[1]字段!H:I,2,0))</f>
        <v>留任奖励</v>
      </c>
      <c r="AZ340" s="31">
        <f t="shared" si="38"/>
        <v>0</v>
      </c>
      <c r="BA340" s="31">
        <f t="shared" si="39"/>
        <v>0</v>
      </c>
      <c r="BB340" s="31">
        <f t="shared" si="40"/>
        <v>0</v>
      </c>
      <c r="BC340" s="31">
        <f t="shared" si="42"/>
        <v>0</v>
      </c>
    </row>
    <row r="341" spans="1:55" ht="28.5" customHeight="1">
      <c r="A341" s="32"/>
      <c r="B341" s="32"/>
      <c r="C341" s="32"/>
      <c r="D341" s="40"/>
      <c r="E341" s="39">
        <v>5501010604</v>
      </c>
      <c r="F341" s="3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  <c r="AA341" s="29"/>
      <c r="AB341" s="29"/>
      <c r="AC341" s="29"/>
      <c r="AD341" s="29"/>
      <c r="AE341" s="29"/>
      <c r="AJ341"/>
      <c r="AK341"/>
      <c r="AL341"/>
      <c r="AM341"/>
      <c r="AN341"/>
      <c r="AO341"/>
      <c r="AP341"/>
      <c r="AQ341"/>
      <c r="AR341"/>
      <c r="AS341"/>
      <c r="AT341" s="4" t="str">
        <f t="shared" si="41"/>
        <v>1.0倍人力</v>
      </c>
      <c r="AU341" s="4" t="str">
        <f t="shared" si="36"/>
        <v>公司治理部</v>
      </c>
      <c r="AV341" s="4" t="str">
        <f t="shared" si="37"/>
        <v>人力费用</v>
      </c>
      <c r="AW341" s="4" t="str">
        <f>IFERROR(VLOOKUP(AV341,[1]字段!A:B,2,0),"")</f>
        <v>人力费用</v>
      </c>
      <c r="AX341" s="30" t="str">
        <f>IF(AW341="人力费用",IF(E341="","",VLOOKUP(E341,[1]字段!D:E,2,0)),AW341)</f>
        <v>1.0倍人力</v>
      </c>
      <c r="AY341" s="30" t="str">
        <f>IF(AT341="","",VLOOKUP(AT341,[1]字段!H:I,2,0))</f>
        <v>1.0倍人力</v>
      </c>
      <c r="AZ341" s="31">
        <f t="shared" si="38"/>
        <v>0</v>
      </c>
      <c r="BA341" s="31">
        <f t="shared" si="39"/>
        <v>0</v>
      </c>
      <c r="BB341" s="31">
        <f t="shared" si="40"/>
        <v>0</v>
      </c>
      <c r="BC341" s="31">
        <f t="shared" si="42"/>
        <v>0</v>
      </c>
    </row>
    <row r="342" spans="1:55" ht="28.5" customHeight="1">
      <c r="A342" s="32"/>
      <c r="B342" s="32"/>
      <c r="C342" s="32"/>
      <c r="D342" s="40"/>
      <c r="E342" s="39" t="s">
        <v>43</v>
      </c>
      <c r="F342" s="39" t="s">
        <v>44</v>
      </c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  <c r="AA342" s="29"/>
      <c r="AB342" s="29"/>
      <c r="AC342" s="29"/>
      <c r="AD342" s="29"/>
      <c r="AE342" s="29"/>
      <c r="AJ342"/>
      <c r="AK342"/>
      <c r="AL342"/>
      <c r="AM342"/>
      <c r="AN342"/>
      <c r="AO342"/>
      <c r="AP342"/>
      <c r="AQ342"/>
      <c r="AR342"/>
      <c r="AS342"/>
      <c r="AT342" s="4" t="str">
        <f t="shared" si="41"/>
        <v>1.0倍人力团队建设费</v>
      </c>
      <c r="AU342" s="4" t="str">
        <f t="shared" si="36"/>
        <v>公司治理部</v>
      </c>
      <c r="AV342" s="4" t="str">
        <f t="shared" si="37"/>
        <v>人力费用</v>
      </c>
      <c r="AW342" s="4" t="str">
        <f>IFERROR(VLOOKUP(AV342,[1]字段!A:B,2,0),"")</f>
        <v>人力费用</v>
      </c>
      <c r="AX342" s="30" t="str">
        <f>IF(AW342="人力费用",IF(E342="","",VLOOKUP(E342,[1]字段!D:E,2,0)),AW342)</f>
        <v>1.0倍人力</v>
      </c>
      <c r="AY342" s="30" t="str">
        <f>IF(AT342="","",VLOOKUP(AT342,[1]字段!H:I,2,0))</f>
        <v>1.0倍人力</v>
      </c>
      <c r="AZ342" s="31">
        <f t="shared" si="38"/>
        <v>0</v>
      </c>
      <c r="BA342" s="31">
        <f t="shared" si="39"/>
        <v>0</v>
      </c>
      <c r="BB342" s="31">
        <f t="shared" si="40"/>
        <v>0</v>
      </c>
      <c r="BC342" s="31">
        <f t="shared" si="42"/>
        <v>0</v>
      </c>
    </row>
    <row r="343" spans="1:55" ht="28.5" customHeight="1">
      <c r="A343" s="32"/>
      <c r="B343" s="32"/>
      <c r="C343" s="32"/>
      <c r="D343" s="40"/>
      <c r="E343" s="39" t="s">
        <v>45</v>
      </c>
      <c r="F343" s="39" t="s">
        <v>46</v>
      </c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  <c r="AA343" s="29"/>
      <c r="AB343" s="29"/>
      <c r="AC343" s="29"/>
      <c r="AD343" s="29"/>
      <c r="AE343" s="29"/>
      <c r="AJ343"/>
      <c r="AK343"/>
      <c r="AL343"/>
      <c r="AM343"/>
      <c r="AN343"/>
      <c r="AO343"/>
      <c r="AP343"/>
      <c r="AQ343"/>
      <c r="AR343"/>
      <c r="AS343"/>
      <c r="AT343" s="4" t="str">
        <f t="shared" si="41"/>
        <v>1.0倍人力其他职工福利费</v>
      </c>
      <c r="AU343" s="4" t="str">
        <f t="shared" si="36"/>
        <v>公司治理部</v>
      </c>
      <c r="AV343" s="4" t="str">
        <f t="shared" si="37"/>
        <v>人力费用</v>
      </c>
      <c r="AW343" s="4" t="str">
        <f>IFERROR(VLOOKUP(AV343,[1]字段!A:B,2,0),"")</f>
        <v>人力费用</v>
      </c>
      <c r="AX343" s="30" t="str">
        <f>IF(AW343="人力费用",IF(E343="","",VLOOKUP(E343,[1]字段!D:E,2,0)),AW343)</f>
        <v>1.0倍人力</v>
      </c>
      <c r="AY343" s="30" t="str">
        <f>IF(AT343="","",VLOOKUP(AT343,[1]字段!H:I,2,0))</f>
        <v>1.0倍人力</v>
      </c>
      <c r="AZ343" s="31">
        <f t="shared" si="38"/>
        <v>0</v>
      </c>
      <c r="BA343" s="31">
        <f t="shared" si="39"/>
        <v>0</v>
      </c>
      <c r="BB343" s="31">
        <f t="shared" si="40"/>
        <v>0</v>
      </c>
      <c r="BC343" s="31">
        <f t="shared" si="42"/>
        <v>0</v>
      </c>
    </row>
    <row r="344" spans="1:55" ht="28.5" customHeight="1">
      <c r="A344" s="32"/>
      <c r="B344" s="32"/>
      <c r="C344" s="32"/>
      <c r="D344" s="40"/>
      <c r="E344" s="39" t="s">
        <v>47</v>
      </c>
      <c r="F344" s="39" t="s">
        <v>48</v>
      </c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  <c r="AA344" s="29"/>
      <c r="AB344" s="29"/>
      <c r="AC344" s="29"/>
      <c r="AD344" s="29"/>
      <c r="AE344" s="29"/>
      <c r="AJ344"/>
      <c r="AK344"/>
      <c r="AL344"/>
      <c r="AM344"/>
      <c r="AN344"/>
      <c r="AO344"/>
      <c r="AP344"/>
      <c r="AQ344"/>
      <c r="AR344"/>
      <c r="AS344"/>
      <c r="AT344" s="4" t="str">
        <f t="shared" si="41"/>
        <v>1.0倍人力工会经费</v>
      </c>
      <c r="AU344" s="4" t="str">
        <f t="shared" si="36"/>
        <v>公司治理部</v>
      </c>
      <c r="AV344" s="4" t="str">
        <f t="shared" si="37"/>
        <v>人力费用</v>
      </c>
      <c r="AW344" s="4" t="str">
        <f>IFERROR(VLOOKUP(AV344,[1]字段!A:B,2,0),"")</f>
        <v>人力费用</v>
      </c>
      <c r="AX344" s="30" t="str">
        <f>IF(AW344="人力费用",IF(E344="","",VLOOKUP(E344,[1]字段!D:E,2,0)),AW344)</f>
        <v>1.0倍人力</v>
      </c>
      <c r="AY344" s="30" t="str">
        <f>IF(AT344="","",VLOOKUP(AT344,[1]字段!H:I,2,0))</f>
        <v>1.0倍人力</v>
      </c>
      <c r="AZ344" s="31">
        <f t="shared" si="38"/>
        <v>0</v>
      </c>
      <c r="BA344" s="31">
        <f t="shared" si="39"/>
        <v>0</v>
      </c>
      <c r="BB344" s="31">
        <f t="shared" si="40"/>
        <v>0</v>
      </c>
      <c r="BC344" s="31">
        <f t="shared" si="42"/>
        <v>0</v>
      </c>
    </row>
    <row r="345" spans="1:55" ht="28.5" customHeight="1">
      <c r="A345" s="32"/>
      <c r="B345" s="32"/>
      <c r="C345" s="32"/>
      <c r="D345" s="40"/>
      <c r="E345" s="39" t="s">
        <v>49</v>
      </c>
      <c r="F345" s="39" t="s">
        <v>50</v>
      </c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  <c r="AA345" s="29"/>
      <c r="AB345" s="29"/>
      <c r="AC345" s="29"/>
      <c r="AD345" s="29"/>
      <c r="AE345" s="29"/>
      <c r="AJ345"/>
      <c r="AK345"/>
      <c r="AL345"/>
      <c r="AM345"/>
      <c r="AN345"/>
      <c r="AO345"/>
      <c r="AP345"/>
      <c r="AQ345"/>
      <c r="AR345"/>
      <c r="AS345"/>
      <c r="AT345" s="4" t="str">
        <f t="shared" si="41"/>
        <v>1.0倍人力基本养老保险</v>
      </c>
      <c r="AU345" s="4" t="str">
        <f t="shared" si="36"/>
        <v>公司治理部</v>
      </c>
      <c r="AV345" s="4" t="str">
        <f t="shared" si="37"/>
        <v>人力费用</v>
      </c>
      <c r="AW345" s="4" t="str">
        <f>IFERROR(VLOOKUP(AV345,[1]字段!A:B,2,0),"")</f>
        <v>人力费用</v>
      </c>
      <c r="AX345" s="30" t="str">
        <f>IF(AW345="人力费用",IF(E345="","",VLOOKUP(E345,[1]字段!D:E,2,0)),AW345)</f>
        <v>1.0倍人力</v>
      </c>
      <c r="AY345" s="30" t="str">
        <f>IF(AT345="","",VLOOKUP(AT345,[1]字段!H:I,2,0))</f>
        <v>1.0倍人力</v>
      </c>
      <c r="AZ345" s="31">
        <f t="shared" si="38"/>
        <v>0</v>
      </c>
      <c r="BA345" s="31">
        <f t="shared" si="39"/>
        <v>0</v>
      </c>
      <c r="BB345" s="31">
        <f t="shared" si="40"/>
        <v>0</v>
      </c>
      <c r="BC345" s="31">
        <f t="shared" si="42"/>
        <v>0</v>
      </c>
    </row>
    <row r="346" spans="1:55" ht="28.5" customHeight="1">
      <c r="A346" s="32"/>
      <c r="B346" s="32"/>
      <c r="C346" s="32"/>
      <c r="D346" s="40"/>
      <c r="E346" s="39" t="s">
        <v>51</v>
      </c>
      <c r="F346" s="39" t="s">
        <v>52</v>
      </c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  <c r="AA346" s="29"/>
      <c r="AB346" s="29"/>
      <c r="AC346" s="29"/>
      <c r="AD346" s="29"/>
      <c r="AE346" s="29"/>
      <c r="AJ346"/>
      <c r="AK346"/>
      <c r="AL346"/>
      <c r="AM346"/>
      <c r="AN346"/>
      <c r="AO346"/>
      <c r="AP346"/>
      <c r="AQ346"/>
      <c r="AR346"/>
      <c r="AS346"/>
      <c r="AT346" s="4" t="str">
        <f t="shared" si="41"/>
        <v>1.0倍人力基本医疗保险</v>
      </c>
      <c r="AU346" s="4" t="str">
        <f t="shared" si="36"/>
        <v>公司治理部</v>
      </c>
      <c r="AV346" s="4" t="str">
        <f t="shared" si="37"/>
        <v>人力费用</v>
      </c>
      <c r="AW346" s="4" t="str">
        <f>IFERROR(VLOOKUP(AV346,[1]字段!A:B,2,0),"")</f>
        <v>人力费用</v>
      </c>
      <c r="AX346" s="30" t="str">
        <f>IF(AW346="人力费用",IF(E346="","",VLOOKUP(E346,[1]字段!D:E,2,0)),AW346)</f>
        <v>1.0倍人力</v>
      </c>
      <c r="AY346" s="30" t="str">
        <f>IF(AT346="","",VLOOKUP(AT346,[1]字段!H:I,2,0))</f>
        <v>1.0倍人力</v>
      </c>
      <c r="AZ346" s="31">
        <f t="shared" si="38"/>
        <v>0</v>
      </c>
      <c r="BA346" s="31">
        <f t="shared" si="39"/>
        <v>0</v>
      </c>
      <c r="BB346" s="31">
        <f t="shared" si="40"/>
        <v>0</v>
      </c>
      <c r="BC346" s="31">
        <f t="shared" si="42"/>
        <v>0</v>
      </c>
    </row>
    <row r="347" spans="1:55" ht="28.5" customHeight="1">
      <c r="A347" s="32"/>
      <c r="B347" s="32"/>
      <c r="C347" s="32"/>
      <c r="D347" s="40"/>
      <c r="E347" s="39" t="s">
        <v>53</v>
      </c>
      <c r="F347" s="39" t="s">
        <v>54</v>
      </c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  <c r="AA347" s="29"/>
      <c r="AB347" s="29"/>
      <c r="AC347" s="29"/>
      <c r="AD347" s="29"/>
      <c r="AE347" s="29"/>
      <c r="AJ347"/>
      <c r="AK347"/>
      <c r="AL347"/>
      <c r="AM347"/>
      <c r="AN347"/>
      <c r="AO347"/>
      <c r="AP347"/>
      <c r="AQ347"/>
      <c r="AR347"/>
      <c r="AS347"/>
      <c r="AT347" s="4" t="str">
        <f t="shared" si="41"/>
        <v>1.0倍人力工伤保险</v>
      </c>
      <c r="AU347" s="4" t="str">
        <f t="shared" si="36"/>
        <v>公司治理部</v>
      </c>
      <c r="AV347" s="4" t="str">
        <f t="shared" si="37"/>
        <v>人力费用</v>
      </c>
      <c r="AW347" s="4" t="str">
        <f>IFERROR(VLOOKUP(AV347,[1]字段!A:B,2,0),"")</f>
        <v>人力费用</v>
      </c>
      <c r="AX347" s="30" t="str">
        <f>IF(AW347="人力费用",IF(E347="","",VLOOKUP(E347,[1]字段!D:E,2,0)),AW347)</f>
        <v>1.0倍人力</v>
      </c>
      <c r="AY347" s="30" t="str">
        <f>IF(AT347="","",VLOOKUP(AT347,[1]字段!H:I,2,0))</f>
        <v>1.0倍人力</v>
      </c>
      <c r="AZ347" s="31">
        <f t="shared" si="38"/>
        <v>0</v>
      </c>
      <c r="BA347" s="31">
        <f t="shared" si="39"/>
        <v>0</v>
      </c>
      <c r="BB347" s="31">
        <f t="shared" si="40"/>
        <v>0</v>
      </c>
      <c r="BC347" s="31">
        <f t="shared" si="42"/>
        <v>0</v>
      </c>
    </row>
    <row r="348" spans="1:55" ht="28.5" customHeight="1">
      <c r="A348" s="32"/>
      <c r="B348" s="32"/>
      <c r="C348" s="32"/>
      <c r="D348" s="40"/>
      <c r="E348" s="39" t="s">
        <v>55</v>
      </c>
      <c r="F348" s="39" t="s">
        <v>56</v>
      </c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  <c r="AA348" s="29"/>
      <c r="AB348" s="29"/>
      <c r="AC348" s="29"/>
      <c r="AD348" s="29"/>
      <c r="AE348" s="29"/>
      <c r="AJ348"/>
      <c r="AK348"/>
      <c r="AL348"/>
      <c r="AM348"/>
      <c r="AN348"/>
      <c r="AO348"/>
      <c r="AP348"/>
      <c r="AQ348"/>
      <c r="AR348"/>
      <c r="AS348"/>
      <c r="AT348" s="4" t="str">
        <f t="shared" si="41"/>
        <v>1.0倍人力生育保险</v>
      </c>
      <c r="AU348" s="4" t="str">
        <f t="shared" si="36"/>
        <v>公司治理部</v>
      </c>
      <c r="AV348" s="4" t="str">
        <f t="shared" si="37"/>
        <v>人力费用</v>
      </c>
      <c r="AW348" s="4" t="str">
        <f>IFERROR(VLOOKUP(AV348,[1]字段!A:B,2,0),"")</f>
        <v>人力费用</v>
      </c>
      <c r="AX348" s="30" t="str">
        <f>IF(AW348="人力费用",IF(E348="","",VLOOKUP(E348,[1]字段!D:E,2,0)),AW348)</f>
        <v>1.0倍人力</v>
      </c>
      <c r="AY348" s="30" t="str">
        <f>IF(AT348="","",VLOOKUP(AT348,[1]字段!H:I,2,0))</f>
        <v>1.0倍人力</v>
      </c>
      <c r="AZ348" s="31">
        <f t="shared" si="38"/>
        <v>0</v>
      </c>
      <c r="BA348" s="31">
        <f t="shared" si="39"/>
        <v>0</v>
      </c>
      <c r="BB348" s="31">
        <f t="shared" si="40"/>
        <v>0</v>
      </c>
      <c r="BC348" s="31">
        <f t="shared" si="42"/>
        <v>0</v>
      </c>
    </row>
    <row r="349" spans="1:55" ht="28.5" customHeight="1">
      <c r="A349" s="32"/>
      <c r="B349" s="32"/>
      <c r="C349" s="32"/>
      <c r="D349" s="40"/>
      <c r="E349" s="39" t="s">
        <v>57</v>
      </c>
      <c r="F349" s="39" t="s">
        <v>58</v>
      </c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  <c r="AA349" s="29"/>
      <c r="AB349" s="29"/>
      <c r="AC349" s="29"/>
      <c r="AD349" s="29"/>
      <c r="AE349" s="29"/>
      <c r="AJ349"/>
      <c r="AK349"/>
      <c r="AL349"/>
      <c r="AM349"/>
      <c r="AN349"/>
      <c r="AO349"/>
      <c r="AP349"/>
      <c r="AQ349"/>
      <c r="AR349"/>
      <c r="AS349"/>
      <c r="AT349" s="4" t="str">
        <f t="shared" si="41"/>
        <v>1.0倍人力失业保险</v>
      </c>
      <c r="AU349" s="4" t="str">
        <f t="shared" si="36"/>
        <v>公司治理部</v>
      </c>
      <c r="AV349" s="4" t="str">
        <f t="shared" si="37"/>
        <v>人力费用</v>
      </c>
      <c r="AW349" s="4" t="str">
        <f>IFERROR(VLOOKUP(AV349,[1]字段!A:B,2,0),"")</f>
        <v>人力费用</v>
      </c>
      <c r="AX349" s="30" t="str">
        <f>IF(AW349="人力费用",IF(E349="","",VLOOKUP(E349,[1]字段!D:E,2,0)),AW349)</f>
        <v>1.0倍人力</v>
      </c>
      <c r="AY349" s="30" t="str">
        <f>IF(AT349="","",VLOOKUP(AT349,[1]字段!H:I,2,0))</f>
        <v>1.0倍人力</v>
      </c>
      <c r="AZ349" s="31">
        <f t="shared" si="38"/>
        <v>0</v>
      </c>
      <c r="BA349" s="31">
        <f t="shared" si="39"/>
        <v>0</v>
      </c>
      <c r="BB349" s="31">
        <f t="shared" si="40"/>
        <v>0</v>
      </c>
      <c r="BC349" s="31">
        <f t="shared" si="42"/>
        <v>0</v>
      </c>
    </row>
    <row r="350" spans="1:55" ht="28.5" customHeight="1">
      <c r="A350" s="32"/>
      <c r="B350" s="32"/>
      <c r="C350" s="41"/>
      <c r="D350" s="42"/>
      <c r="E350" s="39" t="s">
        <v>59</v>
      </c>
      <c r="F350" s="39" t="s">
        <v>60</v>
      </c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  <c r="AA350" s="29"/>
      <c r="AB350" s="29"/>
      <c r="AC350" s="29"/>
      <c r="AD350" s="29"/>
      <c r="AE350" s="29"/>
      <c r="AJ350"/>
      <c r="AK350"/>
      <c r="AL350"/>
      <c r="AM350"/>
      <c r="AN350"/>
      <c r="AO350"/>
      <c r="AP350"/>
      <c r="AQ350"/>
      <c r="AR350"/>
      <c r="AS350"/>
      <c r="AT350" s="4" t="str">
        <f t="shared" si="41"/>
        <v>1.0倍人力住房公积金</v>
      </c>
      <c r="AU350" s="4" t="str">
        <f t="shared" si="36"/>
        <v>公司治理部</v>
      </c>
      <c r="AV350" s="4" t="str">
        <f t="shared" si="37"/>
        <v>人力费用</v>
      </c>
      <c r="AW350" s="4" t="str">
        <f>IFERROR(VLOOKUP(AV350,[1]字段!A:B,2,0),"")</f>
        <v>人力费用</v>
      </c>
      <c r="AX350" s="30" t="str">
        <f>IF(AW350="人力费用",IF(E350="","",VLOOKUP(E350,[1]字段!D:E,2,0)),AW350)</f>
        <v>1.0倍人力</v>
      </c>
      <c r="AY350" s="30" t="str">
        <f>IF(AT350="","",VLOOKUP(AT350,[1]字段!H:I,2,0))</f>
        <v>1.0倍人力</v>
      </c>
      <c r="AZ350" s="31">
        <f t="shared" si="38"/>
        <v>0</v>
      </c>
      <c r="BA350" s="31">
        <f t="shared" si="39"/>
        <v>0</v>
      </c>
      <c r="BB350" s="31">
        <f t="shared" si="40"/>
        <v>0</v>
      </c>
      <c r="BC350" s="31">
        <f t="shared" si="42"/>
        <v>0</v>
      </c>
    </row>
    <row r="351" spans="1:55" ht="28.5" customHeight="1">
      <c r="C351" s="33" t="s">
        <v>93</v>
      </c>
      <c r="D351" s="34" t="s">
        <v>94</v>
      </c>
      <c r="E351" s="35"/>
      <c r="F351" s="36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  <c r="AA351" s="29"/>
      <c r="AB351" s="29"/>
      <c r="AC351" s="29"/>
      <c r="AD351" s="29"/>
      <c r="AE351" s="29"/>
      <c r="AJ351"/>
      <c r="AK351"/>
      <c r="AL351"/>
      <c r="AM351"/>
      <c r="AN351"/>
      <c r="AO351"/>
      <c r="AP351"/>
      <c r="AQ351"/>
      <c r="AR351"/>
      <c r="AS351"/>
      <c r="AT351" s="4" t="str">
        <f t="shared" si="41"/>
        <v>日常费用</v>
      </c>
      <c r="AU351" s="4" t="str">
        <f t="shared" si="36"/>
        <v>公司治理部</v>
      </c>
      <c r="AV351" s="4" t="str">
        <f t="shared" si="37"/>
        <v>日常费用</v>
      </c>
      <c r="AW351" s="4" t="str">
        <f>IFERROR(VLOOKUP(AV351,[1]字段!A:B,2,0),"")</f>
        <v>日常费用</v>
      </c>
      <c r="AX351" s="30" t="str">
        <f>IF(AW351="人力费用",IF(E351="","",VLOOKUP(E351,[1]字段!D:E,2,0)),AW351)</f>
        <v>日常费用</v>
      </c>
      <c r="AY351" s="30">
        <f>IF(AT351="","",VLOOKUP(AT351,[1]字段!H:I,2,0))</f>
        <v>0</v>
      </c>
      <c r="AZ351" s="31">
        <f t="shared" si="38"/>
        <v>0</v>
      </c>
      <c r="BA351" s="31">
        <f t="shared" si="39"/>
        <v>0</v>
      </c>
      <c r="BB351" s="31">
        <f t="shared" si="40"/>
        <v>0</v>
      </c>
      <c r="BC351" s="31">
        <f t="shared" si="42"/>
        <v>0</v>
      </c>
    </row>
    <row r="352" spans="1:55" ht="28.5" customHeight="1">
      <c r="A352" s="32"/>
      <c r="B352" s="32"/>
      <c r="C352" s="37"/>
      <c r="D352" s="38"/>
      <c r="E352" s="39" t="s">
        <v>77</v>
      </c>
      <c r="F352" s="39" t="s">
        <v>78</v>
      </c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  <c r="AA352" s="29"/>
      <c r="AB352" s="29"/>
      <c r="AC352" s="29"/>
      <c r="AD352" s="29"/>
      <c r="AE352" s="29"/>
      <c r="AJ352"/>
      <c r="AK352"/>
      <c r="AL352"/>
      <c r="AM352"/>
      <c r="AN352"/>
      <c r="AO352"/>
      <c r="AP352"/>
      <c r="AQ352"/>
      <c r="AR352"/>
      <c r="AS352"/>
      <c r="AT352" s="4" t="str">
        <f t="shared" si="41"/>
        <v>日常费用咨询费</v>
      </c>
      <c r="AU352" s="4" t="str">
        <f t="shared" si="36"/>
        <v>公司治理部</v>
      </c>
      <c r="AV352" s="4" t="str">
        <f t="shared" si="37"/>
        <v>日常费用</v>
      </c>
      <c r="AW352" s="4" t="str">
        <f>IFERROR(VLOOKUP(AV352,[1]字段!A:B,2,0),"")</f>
        <v>日常费用</v>
      </c>
      <c r="AX352" s="30" t="str">
        <f>IF(AW352="人力费用",IF(E352="","",VLOOKUP(E352,[1]字段!D:E,2,0)),AW352)</f>
        <v>日常费用</v>
      </c>
      <c r="AY352" s="30" t="str">
        <f>IF(AT352="","",VLOOKUP(AT352,[1]字段!H:I,2,0))</f>
        <v>日常费用-咨询费</v>
      </c>
      <c r="AZ352" s="31">
        <f t="shared" si="38"/>
        <v>0</v>
      </c>
      <c r="BA352" s="31">
        <f t="shared" si="39"/>
        <v>0</v>
      </c>
      <c r="BB352" s="31">
        <f t="shared" si="40"/>
        <v>0</v>
      </c>
      <c r="BC352" s="31">
        <f t="shared" si="42"/>
        <v>0</v>
      </c>
    </row>
    <row r="353" spans="1:55" ht="28.5" customHeight="1">
      <c r="A353" s="32"/>
      <c r="B353" s="32"/>
      <c r="C353" s="32"/>
      <c r="D353" s="40"/>
      <c r="E353" s="39" t="s">
        <v>175</v>
      </c>
      <c r="F353" s="39" t="s">
        <v>176</v>
      </c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  <c r="AA353" s="29"/>
      <c r="AB353" s="29"/>
      <c r="AC353" s="29"/>
      <c r="AD353" s="29"/>
      <c r="AE353" s="29"/>
      <c r="AJ353"/>
      <c r="AK353"/>
      <c r="AL353"/>
      <c r="AM353"/>
      <c r="AN353"/>
      <c r="AO353"/>
      <c r="AP353"/>
      <c r="AQ353"/>
      <c r="AR353"/>
      <c r="AS353"/>
      <c r="AT353" s="4" t="str">
        <f t="shared" si="41"/>
        <v>日常费用董事会费</v>
      </c>
      <c r="AU353" s="4" t="str">
        <f t="shared" si="36"/>
        <v>公司治理部</v>
      </c>
      <c r="AV353" s="4" t="str">
        <f t="shared" si="37"/>
        <v>日常费用</v>
      </c>
      <c r="AW353" s="4" t="str">
        <f>IFERROR(VLOOKUP(AV353,[1]字段!A:B,2,0),"")</f>
        <v>日常费用</v>
      </c>
      <c r="AX353" s="30" t="str">
        <f>IF(AW353="人力费用",IF(E353="","",VLOOKUP(E353,[1]字段!D:E,2,0)),AW353)</f>
        <v>日常费用</v>
      </c>
      <c r="AY353" s="30" t="str">
        <f>IF(AT353="","",VLOOKUP(AT353,[1]字段!H:I,2,0))</f>
        <v>日常费用-其他</v>
      </c>
      <c r="AZ353" s="31">
        <f t="shared" si="38"/>
        <v>0</v>
      </c>
      <c r="BA353" s="31">
        <f t="shared" si="39"/>
        <v>0</v>
      </c>
      <c r="BB353" s="31">
        <f t="shared" si="40"/>
        <v>0</v>
      </c>
      <c r="BC353" s="31">
        <f t="shared" si="42"/>
        <v>0</v>
      </c>
    </row>
    <row r="354" spans="1:55" ht="28.5" customHeight="1">
      <c r="A354" s="32"/>
      <c r="B354" s="32"/>
      <c r="C354" s="32"/>
      <c r="D354" s="40"/>
      <c r="E354" s="39" t="s">
        <v>177</v>
      </c>
      <c r="F354" s="39" t="s">
        <v>178</v>
      </c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  <c r="AA354" s="29"/>
      <c r="AB354" s="29"/>
      <c r="AC354" s="29"/>
      <c r="AD354" s="29"/>
      <c r="AE354" s="29"/>
      <c r="AJ354"/>
      <c r="AK354"/>
      <c r="AL354"/>
      <c r="AM354"/>
      <c r="AN354"/>
      <c r="AO354"/>
      <c r="AP354"/>
      <c r="AQ354"/>
      <c r="AR354"/>
      <c r="AS354"/>
      <c r="AT354" s="4" t="str">
        <f t="shared" si="41"/>
        <v>日常费用监事会费</v>
      </c>
      <c r="AU354" s="4" t="str">
        <f t="shared" si="36"/>
        <v>公司治理部</v>
      </c>
      <c r="AV354" s="4" t="str">
        <f t="shared" si="37"/>
        <v>日常费用</v>
      </c>
      <c r="AW354" s="4" t="str">
        <f>IFERROR(VLOOKUP(AV354,[1]字段!A:B,2,0),"")</f>
        <v>日常费用</v>
      </c>
      <c r="AX354" s="30" t="str">
        <f>IF(AW354="人力费用",IF(E354="","",VLOOKUP(E354,[1]字段!D:E,2,0)),AW354)</f>
        <v>日常费用</v>
      </c>
      <c r="AY354" s="30" t="str">
        <f>IF(AT354="","",VLOOKUP(AT354,[1]字段!H:I,2,0))</f>
        <v>日常费用-其他</v>
      </c>
      <c r="AZ354" s="31">
        <f t="shared" si="38"/>
        <v>0</v>
      </c>
      <c r="BA354" s="31">
        <f t="shared" si="39"/>
        <v>0</v>
      </c>
      <c r="BB354" s="31">
        <f t="shared" si="40"/>
        <v>0</v>
      </c>
      <c r="BC354" s="31">
        <f t="shared" si="42"/>
        <v>0</v>
      </c>
    </row>
    <row r="355" spans="1:55" ht="28.5" customHeight="1">
      <c r="A355" s="41"/>
      <c r="B355" s="41"/>
      <c r="C355" s="41"/>
      <c r="D355" s="42"/>
      <c r="E355" s="39" t="s">
        <v>95</v>
      </c>
      <c r="F355" s="39" t="s">
        <v>96</v>
      </c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  <c r="AA355" s="29"/>
      <c r="AB355" s="29"/>
      <c r="AC355" s="29"/>
      <c r="AD355" s="29"/>
      <c r="AE355" s="29"/>
      <c r="AJ355"/>
      <c r="AK355"/>
      <c r="AL355"/>
      <c r="AM355"/>
      <c r="AN355"/>
      <c r="AO355"/>
      <c r="AP355"/>
      <c r="AQ355"/>
      <c r="AR355"/>
      <c r="AS355"/>
      <c r="AT355" s="4" t="str">
        <f t="shared" si="41"/>
        <v>日常费用业务招待费</v>
      </c>
      <c r="AU355" s="4" t="str">
        <f t="shared" si="36"/>
        <v>公司治理部</v>
      </c>
      <c r="AV355" s="4" t="str">
        <f t="shared" si="37"/>
        <v>日常费用</v>
      </c>
      <c r="AW355" s="4" t="str">
        <f>IFERROR(VLOOKUP(AV355,[1]字段!A:B,2,0),"")</f>
        <v>日常费用</v>
      </c>
      <c r="AX355" s="30" t="str">
        <f>IF(AW355="人力费用",IF(E355="","",VLOOKUP(E355,[1]字段!D:E,2,0)),AW355)</f>
        <v>日常费用</v>
      </c>
      <c r="AY355" s="30" t="str">
        <f>IF(AT355="","",VLOOKUP(AT355,[1]字段!H:I,2,0))</f>
        <v>日常费用-其他</v>
      </c>
      <c r="AZ355" s="31">
        <f t="shared" si="38"/>
        <v>0</v>
      </c>
      <c r="BA355" s="31">
        <f t="shared" si="39"/>
        <v>0</v>
      </c>
      <c r="BB355" s="31">
        <f t="shared" si="40"/>
        <v>0</v>
      </c>
      <c r="BC355" s="31">
        <f t="shared" si="42"/>
        <v>0</v>
      </c>
    </row>
    <row r="356" spans="1:55" ht="28.5" customHeight="1">
      <c r="A356" s="25"/>
      <c r="B356" s="26" t="s">
        <v>179</v>
      </c>
      <c r="C356" s="27"/>
      <c r="D356" s="27"/>
      <c r="E356" s="27"/>
      <c r="F356" s="28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  <c r="AA356" s="29"/>
      <c r="AB356" s="29"/>
      <c r="AC356" s="29"/>
      <c r="AD356" s="29"/>
      <c r="AE356" s="29"/>
      <c r="AJ356"/>
      <c r="AK356"/>
      <c r="AL356"/>
      <c r="AM356"/>
      <c r="AN356"/>
      <c r="AO356"/>
      <c r="AP356"/>
      <c r="AQ356"/>
      <c r="AR356"/>
      <c r="AS356"/>
      <c r="AT356" s="4" t="str">
        <f t="shared" si="41"/>
        <v/>
      </c>
      <c r="AU356" s="4" t="str">
        <f t="shared" si="36"/>
        <v>采购及资产管理部</v>
      </c>
      <c r="AV356" s="4" t="str">
        <f t="shared" si="37"/>
        <v/>
      </c>
      <c r="AW356" s="4" t="str">
        <f>IFERROR(VLOOKUP(AV356,[1]字段!A:B,2,0),"")</f>
        <v/>
      </c>
      <c r="AX356" s="30" t="str">
        <f>IF(AW356="人力费用",IF(E356="","",VLOOKUP(E356,[1]字段!D:E,2,0)),AW356)</f>
        <v/>
      </c>
      <c r="AY356" s="30" t="str">
        <f>IF(AT356="","",VLOOKUP(AT356,[1]字段!H:I,2,0))</f>
        <v/>
      </c>
      <c r="AZ356" s="31">
        <f t="shared" si="38"/>
        <v>0</v>
      </c>
      <c r="BA356" s="31">
        <f t="shared" si="39"/>
        <v>0</v>
      </c>
      <c r="BB356" s="31">
        <f t="shared" si="40"/>
        <v>0</v>
      </c>
      <c r="BC356" s="31">
        <f t="shared" si="42"/>
        <v>0</v>
      </c>
    </row>
    <row r="357" spans="1:55" ht="28.5" customHeight="1">
      <c r="A357" s="32"/>
      <c r="B357" s="32"/>
      <c r="C357" s="33" t="s">
        <v>39</v>
      </c>
      <c r="D357" s="34" t="s">
        <v>40</v>
      </c>
      <c r="E357" s="35"/>
      <c r="F357" s="36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  <c r="AA357" s="29"/>
      <c r="AB357" s="29"/>
      <c r="AC357" s="29"/>
      <c r="AD357" s="29"/>
      <c r="AE357" s="29"/>
      <c r="AJ357"/>
      <c r="AK357"/>
      <c r="AL357"/>
      <c r="AM357"/>
      <c r="AN357"/>
      <c r="AO357"/>
      <c r="AP357"/>
      <c r="AQ357"/>
      <c r="AR357"/>
      <c r="AS357"/>
      <c r="AT357" s="4" t="str">
        <f t="shared" si="41"/>
        <v/>
      </c>
      <c r="AU357" s="4" t="str">
        <f t="shared" si="36"/>
        <v>采购及资产管理部</v>
      </c>
      <c r="AV357" s="4" t="str">
        <f t="shared" si="37"/>
        <v>人力费用</v>
      </c>
      <c r="AW357" s="4" t="str">
        <f>IFERROR(VLOOKUP(AV357,[1]字段!A:B,2,0),"")</f>
        <v>人力费用</v>
      </c>
      <c r="AX357" s="30" t="str">
        <f>IF(AW357="人力费用",IF(E357="","",VLOOKUP(E357,[1]字段!D:E,2,0)),AW357)</f>
        <v/>
      </c>
      <c r="AY357" s="30" t="str">
        <f>IF(AT357="","",VLOOKUP(AT357,[1]字段!H:I,2,0))</f>
        <v/>
      </c>
      <c r="AZ357" s="31">
        <f t="shared" si="38"/>
        <v>0</v>
      </c>
      <c r="BA357" s="31">
        <f t="shared" si="39"/>
        <v>0</v>
      </c>
      <c r="BB357" s="31">
        <f t="shared" si="40"/>
        <v>0</v>
      </c>
      <c r="BC357" s="31">
        <f t="shared" si="42"/>
        <v>0</v>
      </c>
    </row>
    <row r="358" spans="1:55" ht="28.5" customHeight="1">
      <c r="A358" s="32"/>
      <c r="B358" s="32"/>
      <c r="C358" s="37"/>
      <c r="D358" s="38"/>
      <c r="E358" s="39" t="s">
        <v>41</v>
      </c>
      <c r="F358" s="39" t="s">
        <v>42</v>
      </c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  <c r="AA358" s="29"/>
      <c r="AB358" s="29"/>
      <c r="AC358" s="29"/>
      <c r="AD358" s="29"/>
      <c r="AE358" s="29"/>
      <c r="AJ358"/>
      <c r="AK358"/>
      <c r="AL358"/>
      <c r="AM358"/>
      <c r="AN358"/>
      <c r="AO358"/>
      <c r="AP358"/>
      <c r="AQ358"/>
      <c r="AR358"/>
      <c r="AS358"/>
      <c r="AT358" s="4" t="str">
        <f t="shared" si="41"/>
        <v>1.0倍人力基础工资</v>
      </c>
      <c r="AU358" s="4" t="str">
        <f t="shared" si="36"/>
        <v>采购及资产管理部</v>
      </c>
      <c r="AV358" s="4" t="str">
        <f t="shared" si="37"/>
        <v>人力费用</v>
      </c>
      <c r="AW358" s="4" t="str">
        <f>IFERROR(VLOOKUP(AV358,[1]字段!A:B,2,0),"")</f>
        <v>人力费用</v>
      </c>
      <c r="AX358" s="30" t="str">
        <f>IF(AW358="人力费用",IF(E358="","",VLOOKUP(E358,[1]字段!D:E,2,0)),AW358)</f>
        <v>1.0倍人力</v>
      </c>
      <c r="AY358" s="30" t="str">
        <f>IF(AT358="","",VLOOKUP(AT358,[1]字段!H:I,2,0))</f>
        <v>1.0倍人力</v>
      </c>
      <c r="AZ358" s="31">
        <f t="shared" si="38"/>
        <v>0</v>
      </c>
      <c r="BA358" s="31">
        <f t="shared" si="39"/>
        <v>0</v>
      </c>
      <c r="BB358" s="31">
        <f t="shared" si="40"/>
        <v>0</v>
      </c>
      <c r="BC358" s="31">
        <f t="shared" si="42"/>
        <v>0</v>
      </c>
    </row>
    <row r="359" spans="1:55" ht="28.5" customHeight="1">
      <c r="A359" s="32"/>
      <c r="B359" s="32"/>
      <c r="C359" s="32"/>
      <c r="D359" s="40"/>
      <c r="E359" s="39">
        <v>5501010602</v>
      </c>
      <c r="F359" s="3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  <c r="AA359" s="29"/>
      <c r="AB359" s="29"/>
      <c r="AC359" s="29"/>
      <c r="AD359" s="29"/>
      <c r="AE359" s="29"/>
      <c r="AJ359"/>
      <c r="AK359"/>
      <c r="AL359"/>
      <c r="AM359"/>
      <c r="AN359"/>
      <c r="AO359"/>
      <c r="AP359"/>
      <c r="AQ359"/>
      <c r="AR359"/>
      <c r="AS359"/>
      <c r="AT359" s="4" t="str">
        <f t="shared" si="41"/>
        <v>利润分享</v>
      </c>
      <c r="AU359" s="4" t="str">
        <f t="shared" si="36"/>
        <v>采购及资产管理部</v>
      </c>
      <c r="AV359" s="4" t="str">
        <f t="shared" si="37"/>
        <v>人力费用</v>
      </c>
      <c r="AW359" s="4" t="str">
        <f>IFERROR(VLOOKUP(AV359,[1]字段!A:B,2,0),"")</f>
        <v>人力费用</v>
      </c>
      <c r="AX359" s="30" t="str">
        <f>IF(AW359="人力费用",IF(E359="","",VLOOKUP(E359,[1]字段!D:E,2,0)),AW359)</f>
        <v>利润分享</v>
      </c>
      <c r="AY359" s="30" t="str">
        <f>IF(AT359="","",VLOOKUP(AT359,[1]字段!H:I,2,0))</f>
        <v>利润分享</v>
      </c>
      <c r="AZ359" s="31">
        <f t="shared" si="38"/>
        <v>0</v>
      </c>
      <c r="BA359" s="31">
        <f t="shared" si="39"/>
        <v>0</v>
      </c>
      <c r="BB359" s="31">
        <f t="shared" si="40"/>
        <v>0</v>
      </c>
      <c r="BC359" s="31">
        <f t="shared" si="42"/>
        <v>0</v>
      </c>
    </row>
    <row r="360" spans="1:55" ht="28.5" customHeight="1">
      <c r="A360" s="32"/>
      <c r="B360" s="32"/>
      <c r="C360" s="32"/>
      <c r="D360" s="40"/>
      <c r="E360" s="39">
        <v>5501010603</v>
      </c>
      <c r="F360" s="3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  <c r="AA360" s="29"/>
      <c r="AB360" s="29"/>
      <c r="AC360" s="29"/>
      <c r="AD360" s="29"/>
      <c r="AE360" s="29"/>
      <c r="AJ360"/>
      <c r="AK360"/>
      <c r="AL360"/>
      <c r="AM360"/>
      <c r="AN360"/>
      <c r="AO360"/>
      <c r="AP360"/>
      <c r="AQ360"/>
      <c r="AR360"/>
      <c r="AS360"/>
      <c r="AT360" s="4" t="str">
        <f t="shared" si="41"/>
        <v>留任奖励</v>
      </c>
      <c r="AU360" s="4" t="str">
        <f t="shared" si="36"/>
        <v>采购及资产管理部</v>
      </c>
      <c r="AV360" s="4" t="str">
        <f t="shared" si="37"/>
        <v>人力费用</v>
      </c>
      <c r="AW360" s="4" t="str">
        <f>IFERROR(VLOOKUP(AV360,[1]字段!A:B,2,0),"")</f>
        <v>人力费用</v>
      </c>
      <c r="AX360" s="30" t="str">
        <f>IF(AW360="人力费用",IF(E360="","",VLOOKUP(E360,[1]字段!D:E,2,0)),AW360)</f>
        <v>留任奖励</v>
      </c>
      <c r="AY360" s="30" t="str">
        <f>IF(AT360="","",VLOOKUP(AT360,[1]字段!H:I,2,0))</f>
        <v>留任奖励</v>
      </c>
      <c r="AZ360" s="31">
        <f t="shared" si="38"/>
        <v>0</v>
      </c>
      <c r="BA360" s="31">
        <f t="shared" si="39"/>
        <v>0</v>
      </c>
      <c r="BB360" s="31">
        <f t="shared" si="40"/>
        <v>0</v>
      </c>
      <c r="BC360" s="31">
        <f t="shared" si="42"/>
        <v>0</v>
      </c>
    </row>
    <row r="361" spans="1:55" ht="28.5" customHeight="1">
      <c r="A361" s="32"/>
      <c r="B361" s="32"/>
      <c r="C361" s="32"/>
      <c r="D361" s="40"/>
      <c r="E361" s="39">
        <v>5501010604</v>
      </c>
      <c r="F361" s="3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  <c r="AA361" s="29"/>
      <c r="AB361" s="29"/>
      <c r="AC361" s="29"/>
      <c r="AD361" s="29"/>
      <c r="AE361" s="29"/>
      <c r="AJ361"/>
      <c r="AK361"/>
      <c r="AL361"/>
      <c r="AM361"/>
      <c r="AN361"/>
      <c r="AO361"/>
      <c r="AP361"/>
      <c r="AQ361"/>
      <c r="AR361"/>
      <c r="AS361"/>
      <c r="AT361" s="4" t="str">
        <f t="shared" si="41"/>
        <v>1.0倍人力</v>
      </c>
      <c r="AU361" s="4" t="str">
        <f t="shared" si="36"/>
        <v>采购及资产管理部</v>
      </c>
      <c r="AV361" s="4" t="str">
        <f t="shared" si="37"/>
        <v>人力费用</v>
      </c>
      <c r="AW361" s="4" t="str">
        <f>IFERROR(VLOOKUP(AV361,[1]字段!A:B,2,0),"")</f>
        <v>人力费用</v>
      </c>
      <c r="AX361" s="30" t="str">
        <f>IF(AW361="人力费用",IF(E361="","",VLOOKUP(E361,[1]字段!D:E,2,0)),AW361)</f>
        <v>1.0倍人力</v>
      </c>
      <c r="AY361" s="30" t="str">
        <f>IF(AT361="","",VLOOKUP(AT361,[1]字段!H:I,2,0))</f>
        <v>1.0倍人力</v>
      </c>
      <c r="AZ361" s="31">
        <f t="shared" si="38"/>
        <v>0</v>
      </c>
      <c r="BA361" s="31">
        <f t="shared" si="39"/>
        <v>0</v>
      </c>
      <c r="BB361" s="31">
        <f t="shared" si="40"/>
        <v>0</v>
      </c>
      <c r="BC361" s="31">
        <f t="shared" si="42"/>
        <v>0</v>
      </c>
    </row>
    <row r="362" spans="1:55" ht="28.5" customHeight="1">
      <c r="A362" s="32"/>
      <c r="B362" s="32"/>
      <c r="C362" s="32"/>
      <c r="D362" s="40"/>
      <c r="E362" s="39" t="s">
        <v>43</v>
      </c>
      <c r="F362" s="39" t="s">
        <v>44</v>
      </c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  <c r="AA362" s="29"/>
      <c r="AB362" s="29"/>
      <c r="AC362" s="29"/>
      <c r="AD362" s="29"/>
      <c r="AE362" s="29"/>
      <c r="AJ362"/>
      <c r="AK362"/>
      <c r="AL362"/>
      <c r="AM362"/>
      <c r="AN362"/>
      <c r="AO362"/>
      <c r="AP362"/>
      <c r="AQ362"/>
      <c r="AR362"/>
      <c r="AS362"/>
      <c r="AT362" s="4" t="str">
        <f t="shared" si="41"/>
        <v>1.0倍人力团队建设费</v>
      </c>
      <c r="AU362" s="4" t="str">
        <f t="shared" si="36"/>
        <v>采购及资产管理部</v>
      </c>
      <c r="AV362" s="4" t="str">
        <f t="shared" si="37"/>
        <v>人力费用</v>
      </c>
      <c r="AW362" s="4" t="str">
        <f>IFERROR(VLOOKUP(AV362,[1]字段!A:B,2,0),"")</f>
        <v>人力费用</v>
      </c>
      <c r="AX362" s="30" t="str">
        <f>IF(AW362="人力费用",IF(E362="","",VLOOKUP(E362,[1]字段!D:E,2,0)),AW362)</f>
        <v>1.0倍人力</v>
      </c>
      <c r="AY362" s="30" t="str">
        <f>IF(AT362="","",VLOOKUP(AT362,[1]字段!H:I,2,0))</f>
        <v>1.0倍人力</v>
      </c>
      <c r="AZ362" s="31">
        <f t="shared" si="38"/>
        <v>0</v>
      </c>
      <c r="BA362" s="31">
        <f t="shared" si="39"/>
        <v>0</v>
      </c>
      <c r="BB362" s="31">
        <f t="shared" si="40"/>
        <v>0</v>
      </c>
      <c r="BC362" s="31">
        <f t="shared" si="42"/>
        <v>0</v>
      </c>
    </row>
    <row r="363" spans="1:55" ht="28.5" customHeight="1">
      <c r="A363" s="32"/>
      <c r="B363" s="32"/>
      <c r="C363" s="32"/>
      <c r="D363" s="40"/>
      <c r="E363" s="39" t="s">
        <v>45</v>
      </c>
      <c r="F363" s="39" t="s">
        <v>46</v>
      </c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  <c r="AA363" s="29"/>
      <c r="AB363" s="29"/>
      <c r="AC363" s="29"/>
      <c r="AD363" s="29"/>
      <c r="AE363" s="29"/>
      <c r="AJ363"/>
      <c r="AK363"/>
      <c r="AL363"/>
      <c r="AM363"/>
      <c r="AN363"/>
      <c r="AO363"/>
      <c r="AP363"/>
      <c r="AQ363"/>
      <c r="AR363"/>
      <c r="AS363"/>
      <c r="AT363" s="4" t="str">
        <f t="shared" si="41"/>
        <v>1.0倍人力其他职工福利费</v>
      </c>
      <c r="AU363" s="4" t="str">
        <f t="shared" si="36"/>
        <v>采购及资产管理部</v>
      </c>
      <c r="AV363" s="4" t="str">
        <f t="shared" si="37"/>
        <v>人力费用</v>
      </c>
      <c r="AW363" s="4" t="str">
        <f>IFERROR(VLOOKUP(AV363,[1]字段!A:B,2,0),"")</f>
        <v>人力费用</v>
      </c>
      <c r="AX363" s="30" t="str">
        <f>IF(AW363="人力费用",IF(E363="","",VLOOKUP(E363,[1]字段!D:E,2,0)),AW363)</f>
        <v>1.0倍人力</v>
      </c>
      <c r="AY363" s="30" t="str">
        <f>IF(AT363="","",VLOOKUP(AT363,[1]字段!H:I,2,0))</f>
        <v>1.0倍人力</v>
      </c>
      <c r="AZ363" s="31">
        <f t="shared" si="38"/>
        <v>0</v>
      </c>
      <c r="BA363" s="31">
        <f t="shared" si="39"/>
        <v>0</v>
      </c>
      <c r="BB363" s="31">
        <f t="shared" si="40"/>
        <v>0</v>
      </c>
      <c r="BC363" s="31">
        <f t="shared" si="42"/>
        <v>0</v>
      </c>
    </row>
    <row r="364" spans="1:55" ht="28.5" customHeight="1">
      <c r="A364" s="32"/>
      <c r="B364" s="32"/>
      <c r="C364" s="32"/>
      <c r="D364" s="40"/>
      <c r="E364" s="39" t="s">
        <v>47</v>
      </c>
      <c r="F364" s="39" t="s">
        <v>48</v>
      </c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  <c r="AA364" s="29"/>
      <c r="AB364" s="29"/>
      <c r="AC364" s="29"/>
      <c r="AD364" s="29"/>
      <c r="AE364" s="29"/>
      <c r="AJ364"/>
      <c r="AK364"/>
      <c r="AL364"/>
      <c r="AM364"/>
      <c r="AN364"/>
      <c r="AO364"/>
      <c r="AP364"/>
      <c r="AQ364"/>
      <c r="AR364"/>
      <c r="AS364"/>
      <c r="AT364" s="4" t="str">
        <f t="shared" si="41"/>
        <v>1.0倍人力工会经费</v>
      </c>
      <c r="AU364" s="4" t="str">
        <f t="shared" si="36"/>
        <v>采购及资产管理部</v>
      </c>
      <c r="AV364" s="4" t="str">
        <f t="shared" si="37"/>
        <v>人力费用</v>
      </c>
      <c r="AW364" s="4" t="str">
        <f>IFERROR(VLOOKUP(AV364,[1]字段!A:B,2,0),"")</f>
        <v>人力费用</v>
      </c>
      <c r="AX364" s="30" t="str">
        <f>IF(AW364="人力费用",IF(E364="","",VLOOKUP(E364,[1]字段!D:E,2,0)),AW364)</f>
        <v>1.0倍人力</v>
      </c>
      <c r="AY364" s="30" t="str">
        <f>IF(AT364="","",VLOOKUP(AT364,[1]字段!H:I,2,0))</f>
        <v>1.0倍人力</v>
      </c>
      <c r="AZ364" s="31">
        <f t="shared" si="38"/>
        <v>0</v>
      </c>
      <c r="BA364" s="31">
        <f t="shared" si="39"/>
        <v>0</v>
      </c>
      <c r="BB364" s="31">
        <f t="shared" si="40"/>
        <v>0</v>
      </c>
      <c r="BC364" s="31">
        <f t="shared" si="42"/>
        <v>0</v>
      </c>
    </row>
    <row r="365" spans="1:55" ht="28.5" customHeight="1">
      <c r="A365" s="32"/>
      <c r="B365" s="32"/>
      <c r="C365" s="32"/>
      <c r="D365" s="40"/>
      <c r="E365" s="39" t="s">
        <v>49</v>
      </c>
      <c r="F365" s="39" t="s">
        <v>50</v>
      </c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  <c r="AA365" s="29"/>
      <c r="AB365" s="29"/>
      <c r="AC365" s="29"/>
      <c r="AD365" s="29"/>
      <c r="AE365" s="29"/>
      <c r="AJ365"/>
      <c r="AK365"/>
      <c r="AL365"/>
      <c r="AM365"/>
      <c r="AN365"/>
      <c r="AO365"/>
      <c r="AP365"/>
      <c r="AQ365"/>
      <c r="AR365"/>
      <c r="AS365"/>
      <c r="AT365" s="4" t="str">
        <f t="shared" si="41"/>
        <v>1.0倍人力基本养老保险</v>
      </c>
      <c r="AU365" s="4" t="str">
        <f t="shared" si="36"/>
        <v>采购及资产管理部</v>
      </c>
      <c r="AV365" s="4" t="str">
        <f t="shared" si="37"/>
        <v>人力费用</v>
      </c>
      <c r="AW365" s="4" t="str">
        <f>IFERROR(VLOOKUP(AV365,[1]字段!A:B,2,0),"")</f>
        <v>人力费用</v>
      </c>
      <c r="AX365" s="30" t="str">
        <f>IF(AW365="人力费用",IF(E365="","",VLOOKUP(E365,[1]字段!D:E,2,0)),AW365)</f>
        <v>1.0倍人力</v>
      </c>
      <c r="AY365" s="30" t="str">
        <f>IF(AT365="","",VLOOKUP(AT365,[1]字段!H:I,2,0))</f>
        <v>1.0倍人力</v>
      </c>
      <c r="AZ365" s="31">
        <f t="shared" si="38"/>
        <v>0</v>
      </c>
      <c r="BA365" s="31">
        <f t="shared" si="39"/>
        <v>0</v>
      </c>
      <c r="BB365" s="31">
        <f t="shared" si="40"/>
        <v>0</v>
      </c>
      <c r="BC365" s="31">
        <f t="shared" si="42"/>
        <v>0</v>
      </c>
    </row>
    <row r="366" spans="1:55" ht="28.5" customHeight="1">
      <c r="A366" s="32"/>
      <c r="B366" s="32"/>
      <c r="C366" s="32"/>
      <c r="D366" s="40"/>
      <c r="E366" s="39" t="s">
        <v>51</v>
      </c>
      <c r="F366" s="39" t="s">
        <v>52</v>
      </c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  <c r="AA366" s="29"/>
      <c r="AB366" s="29"/>
      <c r="AC366" s="29"/>
      <c r="AD366" s="29"/>
      <c r="AE366" s="29"/>
      <c r="AJ366"/>
      <c r="AK366"/>
      <c r="AL366"/>
      <c r="AM366"/>
      <c r="AN366"/>
      <c r="AO366"/>
      <c r="AP366"/>
      <c r="AQ366"/>
      <c r="AR366"/>
      <c r="AS366"/>
      <c r="AT366" s="4" t="str">
        <f t="shared" si="41"/>
        <v>1.0倍人力基本医疗保险</v>
      </c>
      <c r="AU366" s="4" t="str">
        <f t="shared" si="36"/>
        <v>采购及资产管理部</v>
      </c>
      <c r="AV366" s="4" t="str">
        <f t="shared" si="37"/>
        <v>人力费用</v>
      </c>
      <c r="AW366" s="4" t="str">
        <f>IFERROR(VLOOKUP(AV366,[1]字段!A:B,2,0),"")</f>
        <v>人力费用</v>
      </c>
      <c r="AX366" s="30" t="str">
        <f>IF(AW366="人力费用",IF(E366="","",VLOOKUP(E366,[1]字段!D:E,2,0)),AW366)</f>
        <v>1.0倍人力</v>
      </c>
      <c r="AY366" s="30" t="str">
        <f>IF(AT366="","",VLOOKUP(AT366,[1]字段!H:I,2,0))</f>
        <v>1.0倍人力</v>
      </c>
      <c r="AZ366" s="31">
        <f t="shared" si="38"/>
        <v>0</v>
      </c>
      <c r="BA366" s="31">
        <f t="shared" si="39"/>
        <v>0</v>
      </c>
      <c r="BB366" s="31">
        <f t="shared" si="40"/>
        <v>0</v>
      </c>
      <c r="BC366" s="31">
        <f t="shared" si="42"/>
        <v>0</v>
      </c>
    </row>
    <row r="367" spans="1:55" ht="28.5" customHeight="1">
      <c r="A367" s="32"/>
      <c r="B367" s="32"/>
      <c r="C367" s="32"/>
      <c r="D367" s="40"/>
      <c r="E367" s="39" t="s">
        <v>53</v>
      </c>
      <c r="F367" s="39" t="s">
        <v>54</v>
      </c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  <c r="AA367" s="29"/>
      <c r="AB367" s="29"/>
      <c r="AC367" s="29"/>
      <c r="AD367" s="29"/>
      <c r="AE367" s="29"/>
      <c r="AJ367"/>
      <c r="AK367"/>
      <c r="AL367"/>
      <c r="AM367"/>
      <c r="AN367"/>
      <c r="AO367"/>
      <c r="AP367"/>
      <c r="AQ367"/>
      <c r="AR367"/>
      <c r="AS367"/>
      <c r="AT367" s="4" t="str">
        <f t="shared" si="41"/>
        <v>1.0倍人力工伤保险</v>
      </c>
      <c r="AU367" s="4" t="str">
        <f t="shared" si="36"/>
        <v>采购及资产管理部</v>
      </c>
      <c r="AV367" s="4" t="str">
        <f t="shared" si="37"/>
        <v>人力费用</v>
      </c>
      <c r="AW367" s="4" t="str">
        <f>IFERROR(VLOOKUP(AV367,[1]字段!A:B,2,0),"")</f>
        <v>人力费用</v>
      </c>
      <c r="AX367" s="30" t="str">
        <f>IF(AW367="人力费用",IF(E367="","",VLOOKUP(E367,[1]字段!D:E,2,0)),AW367)</f>
        <v>1.0倍人力</v>
      </c>
      <c r="AY367" s="30" t="str">
        <f>IF(AT367="","",VLOOKUP(AT367,[1]字段!H:I,2,0))</f>
        <v>1.0倍人力</v>
      </c>
      <c r="AZ367" s="31">
        <f t="shared" si="38"/>
        <v>0</v>
      </c>
      <c r="BA367" s="31">
        <f t="shared" si="39"/>
        <v>0</v>
      </c>
      <c r="BB367" s="31">
        <f t="shared" si="40"/>
        <v>0</v>
      </c>
      <c r="BC367" s="31">
        <f t="shared" si="42"/>
        <v>0</v>
      </c>
    </row>
    <row r="368" spans="1:55" ht="28.5" customHeight="1">
      <c r="A368" s="32"/>
      <c r="B368" s="32"/>
      <c r="C368" s="32"/>
      <c r="D368" s="40"/>
      <c r="E368" s="39" t="s">
        <v>55</v>
      </c>
      <c r="F368" s="39" t="s">
        <v>56</v>
      </c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  <c r="AA368" s="29"/>
      <c r="AB368" s="29"/>
      <c r="AC368" s="29"/>
      <c r="AD368" s="29"/>
      <c r="AE368" s="29"/>
      <c r="AJ368"/>
      <c r="AK368"/>
      <c r="AL368"/>
      <c r="AM368"/>
      <c r="AN368"/>
      <c r="AO368"/>
      <c r="AP368"/>
      <c r="AQ368"/>
      <c r="AR368"/>
      <c r="AS368"/>
      <c r="AT368" s="4" t="str">
        <f t="shared" si="41"/>
        <v>1.0倍人力生育保险</v>
      </c>
      <c r="AU368" s="4" t="str">
        <f t="shared" si="36"/>
        <v>采购及资产管理部</v>
      </c>
      <c r="AV368" s="4" t="str">
        <f t="shared" si="37"/>
        <v>人力费用</v>
      </c>
      <c r="AW368" s="4" t="str">
        <f>IFERROR(VLOOKUP(AV368,[1]字段!A:B,2,0),"")</f>
        <v>人力费用</v>
      </c>
      <c r="AX368" s="30" t="str">
        <f>IF(AW368="人力费用",IF(E368="","",VLOOKUP(E368,[1]字段!D:E,2,0)),AW368)</f>
        <v>1.0倍人力</v>
      </c>
      <c r="AY368" s="30" t="str">
        <f>IF(AT368="","",VLOOKUP(AT368,[1]字段!H:I,2,0))</f>
        <v>1.0倍人力</v>
      </c>
      <c r="AZ368" s="31">
        <f t="shared" si="38"/>
        <v>0</v>
      </c>
      <c r="BA368" s="31">
        <f t="shared" si="39"/>
        <v>0</v>
      </c>
      <c r="BB368" s="31">
        <f t="shared" si="40"/>
        <v>0</v>
      </c>
      <c r="BC368" s="31">
        <f t="shared" si="42"/>
        <v>0</v>
      </c>
    </row>
    <row r="369" spans="1:55" ht="28.5" customHeight="1">
      <c r="A369" s="32"/>
      <c r="B369" s="32"/>
      <c r="C369" s="32"/>
      <c r="D369" s="40"/>
      <c r="E369" s="39" t="s">
        <v>57</v>
      </c>
      <c r="F369" s="39" t="s">
        <v>58</v>
      </c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  <c r="AA369" s="29"/>
      <c r="AB369" s="29"/>
      <c r="AC369" s="29"/>
      <c r="AD369" s="29"/>
      <c r="AE369" s="29"/>
      <c r="AJ369"/>
      <c r="AK369"/>
      <c r="AL369"/>
      <c r="AM369"/>
      <c r="AN369"/>
      <c r="AO369"/>
      <c r="AP369"/>
      <c r="AQ369"/>
      <c r="AR369"/>
      <c r="AS369"/>
      <c r="AT369" s="4" t="str">
        <f t="shared" si="41"/>
        <v>1.0倍人力失业保险</v>
      </c>
      <c r="AU369" s="4" t="str">
        <f t="shared" si="36"/>
        <v>采购及资产管理部</v>
      </c>
      <c r="AV369" s="4" t="str">
        <f t="shared" si="37"/>
        <v>人力费用</v>
      </c>
      <c r="AW369" s="4" t="str">
        <f>IFERROR(VLOOKUP(AV369,[1]字段!A:B,2,0),"")</f>
        <v>人力费用</v>
      </c>
      <c r="AX369" s="30" t="str">
        <f>IF(AW369="人力费用",IF(E369="","",VLOOKUP(E369,[1]字段!D:E,2,0)),AW369)</f>
        <v>1.0倍人力</v>
      </c>
      <c r="AY369" s="30" t="str">
        <f>IF(AT369="","",VLOOKUP(AT369,[1]字段!H:I,2,0))</f>
        <v>1.0倍人力</v>
      </c>
      <c r="AZ369" s="31">
        <f t="shared" si="38"/>
        <v>0</v>
      </c>
      <c r="BA369" s="31">
        <f t="shared" si="39"/>
        <v>0</v>
      </c>
      <c r="BB369" s="31">
        <f t="shared" si="40"/>
        <v>0</v>
      </c>
      <c r="BC369" s="31">
        <f t="shared" si="42"/>
        <v>0</v>
      </c>
    </row>
    <row r="370" spans="1:55" ht="28.5" customHeight="1">
      <c r="A370" s="32"/>
      <c r="B370" s="32"/>
      <c r="C370" s="41"/>
      <c r="D370" s="42"/>
      <c r="E370" s="39" t="s">
        <v>59</v>
      </c>
      <c r="F370" s="39" t="s">
        <v>60</v>
      </c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  <c r="AA370" s="29"/>
      <c r="AB370" s="29"/>
      <c r="AC370" s="29"/>
      <c r="AD370" s="29"/>
      <c r="AE370" s="29"/>
      <c r="AJ370"/>
      <c r="AK370"/>
      <c r="AL370"/>
      <c r="AM370"/>
      <c r="AN370"/>
      <c r="AO370"/>
      <c r="AP370"/>
      <c r="AQ370"/>
      <c r="AR370"/>
      <c r="AS370"/>
      <c r="AT370" s="4" t="str">
        <f t="shared" si="41"/>
        <v>1.0倍人力住房公积金</v>
      </c>
      <c r="AU370" s="4" t="str">
        <f t="shared" si="36"/>
        <v>采购及资产管理部</v>
      </c>
      <c r="AV370" s="4" t="str">
        <f t="shared" si="37"/>
        <v>人力费用</v>
      </c>
      <c r="AW370" s="4" t="str">
        <f>IFERROR(VLOOKUP(AV370,[1]字段!A:B,2,0),"")</f>
        <v>人力费用</v>
      </c>
      <c r="AX370" s="30" t="str">
        <f>IF(AW370="人力费用",IF(E370="","",VLOOKUP(E370,[1]字段!D:E,2,0)),AW370)</f>
        <v>1.0倍人力</v>
      </c>
      <c r="AY370" s="30" t="str">
        <f>IF(AT370="","",VLOOKUP(AT370,[1]字段!H:I,2,0))</f>
        <v>1.0倍人力</v>
      </c>
      <c r="AZ370" s="31">
        <f t="shared" si="38"/>
        <v>0</v>
      </c>
      <c r="BA370" s="31">
        <f t="shared" si="39"/>
        <v>0</v>
      </c>
      <c r="BB370" s="31">
        <f t="shared" si="40"/>
        <v>0</v>
      </c>
      <c r="BC370" s="31">
        <f t="shared" si="42"/>
        <v>0</v>
      </c>
    </row>
    <row r="371" spans="1:55" ht="28.5" customHeight="1">
      <c r="C371" s="33" t="s">
        <v>141</v>
      </c>
      <c r="D371" s="34" t="s">
        <v>142</v>
      </c>
      <c r="E371" s="35"/>
      <c r="F371" s="36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  <c r="AA371" s="29"/>
      <c r="AB371" s="29"/>
      <c r="AC371" s="29"/>
      <c r="AD371" s="29"/>
      <c r="AE371" s="29"/>
      <c r="AJ371"/>
      <c r="AK371"/>
      <c r="AL371"/>
      <c r="AM371"/>
      <c r="AN371"/>
      <c r="AO371"/>
      <c r="AP371"/>
      <c r="AQ371"/>
      <c r="AR371"/>
      <c r="AS371"/>
      <c r="AT371" s="4" t="str">
        <f t="shared" si="41"/>
        <v>职场费用</v>
      </c>
      <c r="AU371" s="4" t="str">
        <f t="shared" si="36"/>
        <v>采购及资产管理部</v>
      </c>
      <c r="AV371" s="4" t="str">
        <f t="shared" si="37"/>
        <v>职场费用</v>
      </c>
      <c r="AW371" s="4" t="str">
        <f>IFERROR(VLOOKUP(AV371,[1]字段!A:B,2,0),"")</f>
        <v>职场费用</v>
      </c>
      <c r="AX371" s="30" t="str">
        <f>IF(AW371="人力费用",IF(E371="","",VLOOKUP(E371,[1]字段!D:E,2,0)),AW371)</f>
        <v>职场费用</v>
      </c>
      <c r="AY371" s="30">
        <f>IF(AT371="","",VLOOKUP(AT371,[1]字段!H:I,2,0))</f>
        <v>0</v>
      </c>
      <c r="AZ371" s="31">
        <f t="shared" si="38"/>
        <v>0</v>
      </c>
      <c r="BA371" s="31">
        <f t="shared" si="39"/>
        <v>0</v>
      </c>
      <c r="BB371" s="31">
        <f t="shared" si="40"/>
        <v>0</v>
      </c>
      <c r="BC371" s="31">
        <f t="shared" si="42"/>
        <v>0</v>
      </c>
    </row>
    <row r="372" spans="1:55" ht="28.5" customHeight="1">
      <c r="A372" s="32"/>
      <c r="B372" s="32"/>
      <c r="C372" s="43"/>
      <c r="D372" s="43"/>
      <c r="E372" s="39" t="s">
        <v>117</v>
      </c>
      <c r="F372" s="39" t="s">
        <v>118</v>
      </c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  <c r="AA372" s="29"/>
      <c r="AB372" s="29"/>
      <c r="AC372" s="29"/>
      <c r="AD372" s="29"/>
      <c r="AE372" s="29"/>
      <c r="AJ372"/>
      <c r="AK372"/>
      <c r="AL372"/>
      <c r="AM372"/>
      <c r="AN372"/>
      <c r="AO372"/>
      <c r="AP372"/>
      <c r="AQ372"/>
      <c r="AR372"/>
      <c r="AS372"/>
      <c r="AT372" s="4" t="str">
        <f t="shared" si="41"/>
        <v>职场费用自有房屋及建筑物装修折旧费</v>
      </c>
      <c r="AU372" s="4" t="str">
        <f t="shared" si="36"/>
        <v>采购及资产管理部</v>
      </c>
      <c r="AV372" s="4" t="str">
        <f t="shared" si="37"/>
        <v>职场费用</v>
      </c>
      <c r="AW372" s="4" t="str">
        <f>IFERROR(VLOOKUP(AV372,[1]字段!A:B,2,0),"")</f>
        <v>职场费用</v>
      </c>
      <c r="AX372" s="30" t="str">
        <f>IF(AW372="人力费用",IF(E372="","",VLOOKUP(E372,[1]字段!D:E,2,0)),AW372)</f>
        <v>职场费用</v>
      </c>
      <c r="AY372" s="30" t="str">
        <f>IF(AT372="","",VLOOKUP(AT372,[1]字段!H:I,2,0))</f>
        <v>职场费用</v>
      </c>
      <c r="AZ372" s="31">
        <f t="shared" si="38"/>
        <v>0</v>
      </c>
      <c r="BA372" s="31">
        <f t="shared" si="39"/>
        <v>0</v>
      </c>
      <c r="BB372" s="31">
        <f t="shared" si="40"/>
        <v>0</v>
      </c>
      <c r="BC372" s="31">
        <f t="shared" si="42"/>
        <v>0</v>
      </c>
    </row>
    <row r="373" spans="1:55" ht="28.5" customHeight="1">
      <c r="C373" s="33" t="s">
        <v>93</v>
      </c>
      <c r="D373" s="34" t="s">
        <v>94</v>
      </c>
      <c r="E373" s="35"/>
      <c r="F373" s="36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  <c r="AA373" s="29"/>
      <c r="AB373" s="29"/>
      <c r="AC373" s="29"/>
      <c r="AD373" s="29"/>
      <c r="AE373" s="29"/>
      <c r="AJ373"/>
      <c r="AK373"/>
      <c r="AL373"/>
      <c r="AM373"/>
      <c r="AN373"/>
      <c r="AO373"/>
      <c r="AP373"/>
      <c r="AQ373"/>
      <c r="AR373"/>
      <c r="AS373"/>
      <c r="AT373" s="4" t="str">
        <f t="shared" si="41"/>
        <v>日常费用</v>
      </c>
      <c r="AU373" s="4" t="str">
        <f t="shared" si="36"/>
        <v>采购及资产管理部</v>
      </c>
      <c r="AV373" s="4" t="str">
        <f t="shared" si="37"/>
        <v>日常费用</v>
      </c>
      <c r="AW373" s="4" t="str">
        <f>IFERROR(VLOOKUP(AV373,[1]字段!A:B,2,0),"")</f>
        <v>日常费用</v>
      </c>
      <c r="AX373" s="30" t="str">
        <f>IF(AW373="人力费用",IF(E373="","",VLOOKUP(E373,[1]字段!D:E,2,0)),AW373)</f>
        <v>日常费用</v>
      </c>
      <c r="AY373" s="30">
        <f>IF(AT373="","",VLOOKUP(AT373,[1]字段!H:I,2,0))</f>
        <v>0</v>
      </c>
      <c r="AZ373" s="31">
        <f t="shared" si="38"/>
        <v>0</v>
      </c>
      <c r="BA373" s="31">
        <f t="shared" si="39"/>
        <v>0</v>
      </c>
      <c r="BB373" s="31">
        <f t="shared" si="40"/>
        <v>0</v>
      </c>
      <c r="BC373" s="31">
        <f t="shared" si="42"/>
        <v>0</v>
      </c>
    </row>
    <row r="374" spans="1:55" ht="28.5" customHeight="1">
      <c r="A374" s="32"/>
      <c r="B374" s="32"/>
      <c r="C374" s="37"/>
      <c r="D374" s="38"/>
      <c r="E374" s="39" t="s">
        <v>77</v>
      </c>
      <c r="F374" s="39" t="s">
        <v>78</v>
      </c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  <c r="AA374" s="29"/>
      <c r="AB374" s="29"/>
      <c r="AC374" s="29"/>
      <c r="AD374" s="29"/>
      <c r="AE374" s="29"/>
      <c r="AJ374"/>
      <c r="AK374"/>
      <c r="AL374"/>
      <c r="AM374"/>
      <c r="AN374"/>
      <c r="AO374"/>
      <c r="AP374"/>
      <c r="AQ374"/>
      <c r="AR374"/>
      <c r="AS374"/>
      <c r="AT374" s="4" t="str">
        <f t="shared" si="41"/>
        <v>日常费用咨询费</v>
      </c>
      <c r="AU374" s="4" t="str">
        <f t="shared" si="36"/>
        <v>采购及资产管理部</v>
      </c>
      <c r="AV374" s="4" t="str">
        <f t="shared" si="37"/>
        <v>日常费用</v>
      </c>
      <c r="AW374" s="4" t="str">
        <f>IFERROR(VLOOKUP(AV374,[1]字段!A:B,2,0),"")</f>
        <v>日常费用</v>
      </c>
      <c r="AX374" s="30" t="str">
        <f>IF(AW374="人力费用",IF(E374="","",VLOOKUP(E374,[1]字段!D:E,2,0)),AW374)</f>
        <v>日常费用</v>
      </c>
      <c r="AY374" s="30" t="str">
        <f>IF(AT374="","",VLOOKUP(AT374,[1]字段!H:I,2,0))</f>
        <v>日常费用-咨询费</v>
      </c>
      <c r="AZ374" s="31">
        <f t="shared" si="38"/>
        <v>0</v>
      </c>
      <c r="BA374" s="31">
        <f t="shared" si="39"/>
        <v>0</v>
      </c>
      <c r="BB374" s="31">
        <f t="shared" si="40"/>
        <v>0</v>
      </c>
      <c r="BC374" s="31">
        <f t="shared" si="42"/>
        <v>0</v>
      </c>
    </row>
    <row r="375" spans="1:55" ht="28.5" customHeight="1">
      <c r="A375" s="41"/>
      <c r="B375" s="41"/>
      <c r="C375" s="41"/>
      <c r="D375" s="42"/>
      <c r="E375" s="39" t="s">
        <v>95</v>
      </c>
      <c r="F375" s="39" t="s">
        <v>96</v>
      </c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  <c r="AA375" s="29"/>
      <c r="AB375" s="29"/>
      <c r="AC375" s="29"/>
      <c r="AD375" s="29"/>
      <c r="AE375" s="29"/>
      <c r="AJ375"/>
      <c r="AK375"/>
      <c r="AL375"/>
      <c r="AM375"/>
      <c r="AN375"/>
      <c r="AO375"/>
      <c r="AP375"/>
      <c r="AQ375"/>
      <c r="AR375"/>
      <c r="AS375"/>
      <c r="AT375" s="4" t="str">
        <f t="shared" si="41"/>
        <v>日常费用业务招待费</v>
      </c>
      <c r="AU375" s="4" t="str">
        <f t="shared" si="36"/>
        <v>采购及资产管理部</v>
      </c>
      <c r="AV375" s="4" t="str">
        <f t="shared" si="37"/>
        <v>日常费用</v>
      </c>
      <c r="AW375" s="4" t="str">
        <f>IFERROR(VLOOKUP(AV375,[1]字段!A:B,2,0),"")</f>
        <v>日常费用</v>
      </c>
      <c r="AX375" s="30" t="str">
        <f>IF(AW375="人力费用",IF(E375="","",VLOOKUP(E375,[1]字段!D:E,2,0)),AW375)</f>
        <v>日常费用</v>
      </c>
      <c r="AY375" s="30" t="str">
        <f>IF(AT375="","",VLOOKUP(AT375,[1]字段!H:I,2,0))</f>
        <v>日常费用-其他</v>
      </c>
      <c r="AZ375" s="31">
        <f t="shared" si="38"/>
        <v>0</v>
      </c>
      <c r="BA375" s="31">
        <f t="shared" si="39"/>
        <v>0</v>
      </c>
      <c r="BB375" s="31">
        <f t="shared" si="40"/>
        <v>0</v>
      </c>
      <c r="BC375" s="31">
        <f t="shared" si="42"/>
        <v>0</v>
      </c>
    </row>
    <row r="376" spans="1:55" ht="28.5" customHeight="1">
      <c r="A376" s="25"/>
      <c r="B376" s="26" t="s">
        <v>180</v>
      </c>
      <c r="C376" s="27"/>
      <c r="D376" s="27"/>
      <c r="E376" s="27"/>
      <c r="F376" s="28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  <c r="AA376" s="29"/>
      <c r="AB376" s="29"/>
      <c r="AC376" s="29"/>
      <c r="AD376" s="29"/>
      <c r="AE376" s="29"/>
      <c r="AJ376"/>
      <c r="AK376"/>
      <c r="AL376"/>
      <c r="AM376"/>
      <c r="AN376"/>
      <c r="AO376"/>
      <c r="AP376"/>
      <c r="AQ376"/>
      <c r="AR376"/>
      <c r="AS376"/>
      <c r="AT376" s="4" t="str">
        <f t="shared" si="41"/>
        <v/>
      </c>
      <c r="AU376" s="4" t="str">
        <f t="shared" si="36"/>
        <v>国际发展部</v>
      </c>
      <c r="AV376" s="4" t="str">
        <f t="shared" si="37"/>
        <v/>
      </c>
      <c r="AW376" s="4" t="str">
        <f>IFERROR(VLOOKUP(AV376,[1]字段!A:B,2,0),"")</f>
        <v/>
      </c>
      <c r="AX376" s="30" t="str">
        <f>IF(AW376="人力费用",IF(E376="","",VLOOKUP(E376,[1]字段!D:E,2,0)),AW376)</f>
        <v/>
      </c>
      <c r="AY376" s="30" t="str">
        <f>IF(AT376="","",VLOOKUP(AT376,[1]字段!H:I,2,0))</f>
        <v/>
      </c>
      <c r="AZ376" s="31">
        <f t="shared" si="38"/>
        <v>0</v>
      </c>
      <c r="BA376" s="31">
        <f t="shared" si="39"/>
        <v>0</v>
      </c>
      <c r="BB376" s="31">
        <f t="shared" si="40"/>
        <v>0</v>
      </c>
      <c r="BC376" s="31">
        <f t="shared" si="42"/>
        <v>0</v>
      </c>
    </row>
    <row r="377" spans="1:55" ht="28.5" customHeight="1">
      <c r="A377" s="32"/>
      <c r="B377" s="32"/>
      <c r="C377" s="33" t="s">
        <v>39</v>
      </c>
      <c r="D377" s="34" t="s">
        <v>40</v>
      </c>
      <c r="E377" s="35"/>
      <c r="F377" s="36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  <c r="AA377" s="29"/>
      <c r="AB377" s="29"/>
      <c r="AC377" s="29"/>
      <c r="AD377" s="29"/>
      <c r="AE377" s="29"/>
      <c r="AJ377"/>
      <c r="AK377"/>
      <c r="AL377"/>
      <c r="AM377"/>
      <c r="AN377"/>
      <c r="AO377"/>
      <c r="AP377"/>
      <c r="AQ377"/>
      <c r="AR377"/>
      <c r="AS377"/>
      <c r="AT377" s="4" t="str">
        <f t="shared" si="41"/>
        <v/>
      </c>
      <c r="AU377" s="4" t="str">
        <f t="shared" si="36"/>
        <v>国际发展部</v>
      </c>
      <c r="AV377" s="4" t="str">
        <f t="shared" si="37"/>
        <v>人力费用</v>
      </c>
      <c r="AW377" s="4" t="str">
        <f>IFERROR(VLOOKUP(AV377,[1]字段!A:B,2,0),"")</f>
        <v>人力费用</v>
      </c>
      <c r="AX377" s="30" t="str">
        <f>IF(AW377="人力费用",IF(E377="","",VLOOKUP(E377,[1]字段!D:E,2,0)),AW377)</f>
        <v/>
      </c>
      <c r="AY377" s="30" t="str">
        <f>IF(AT377="","",VLOOKUP(AT377,[1]字段!H:I,2,0))</f>
        <v/>
      </c>
      <c r="AZ377" s="31">
        <f t="shared" si="38"/>
        <v>0</v>
      </c>
      <c r="BA377" s="31">
        <f t="shared" si="39"/>
        <v>0</v>
      </c>
      <c r="BB377" s="31">
        <f t="shared" si="40"/>
        <v>0</v>
      </c>
      <c r="BC377" s="31">
        <f t="shared" si="42"/>
        <v>0</v>
      </c>
    </row>
    <row r="378" spans="1:55" ht="28.5" customHeight="1">
      <c r="A378" s="32"/>
      <c r="B378" s="32"/>
      <c r="C378" s="37"/>
      <c r="D378" s="38"/>
      <c r="E378" s="39" t="s">
        <v>41</v>
      </c>
      <c r="F378" s="39" t="s">
        <v>42</v>
      </c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  <c r="AA378" s="29"/>
      <c r="AB378" s="29"/>
      <c r="AC378" s="29"/>
      <c r="AD378" s="29"/>
      <c r="AE378" s="29"/>
      <c r="AJ378"/>
      <c r="AK378"/>
      <c r="AL378"/>
      <c r="AM378"/>
      <c r="AN378"/>
      <c r="AO378"/>
      <c r="AP378"/>
      <c r="AQ378"/>
      <c r="AR378"/>
      <c r="AS378"/>
      <c r="AT378" s="4" t="str">
        <f t="shared" si="41"/>
        <v>1.0倍人力基础工资</v>
      </c>
      <c r="AU378" s="4" t="str">
        <f t="shared" si="36"/>
        <v>国际发展部</v>
      </c>
      <c r="AV378" s="4" t="str">
        <f t="shared" si="37"/>
        <v>人力费用</v>
      </c>
      <c r="AW378" s="4" t="str">
        <f>IFERROR(VLOOKUP(AV378,[1]字段!A:B,2,0),"")</f>
        <v>人力费用</v>
      </c>
      <c r="AX378" s="30" t="str">
        <f>IF(AW378="人力费用",IF(E378="","",VLOOKUP(E378,[1]字段!D:E,2,0)),AW378)</f>
        <v>1.0倍人力</v>
      </c>
      <c r="AY378" s="30" t="str">
        <f>IF(AT378="","",VLOOKUP(AT378,[1]字段!H:I,2,0))</f>
        <v>1.0倍人力</v>
      </c>
      <c r="AZ378" s="31">
        <f t="shared" si="38"/>
        <v>0</v>
      </c>
      <c r="BA378" s="31">
        <f t="shared" si="39"/>
        <v>0</v>
      </c>
      <c r="BB378" s="31">
        <f t="shared" si="40"/>
        <v>0</v>
      </c>
      <c r="BC378" s="31">
        <f t="shared" si="42"/>
        <v>0</v>
      </c>
    </row>
    <row r="379" spans="1:55" ht="28.5" customHeight="1">
      <c r="A379" s="32"/>
      <c r="B379" s="32"/>
      <c r="C379" s="32"/>
      <c r="D379" s="40"/>
      <c r="E379" s="39">
        <v>5501010602</v>
      </c>
      <c r="F379" s="3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  <c r="AA379" s="29"/>
      <c r="AB379" s="29"/>
      <c r="AC379" s="29"/>
      <c r="AD379" s="29"/>
      <c r="AE379" s="29"/>
      <c r="AJ379"/>
      <c r="AK379"/>
      <c r="AL379"/>
      <c r="AM379"/>
      <c r="AN379"/>
      <c r="AO379"/>
      <c r="AP379"/>
      <c r="AQ379"/>
      <c r="AR379"/>
      <c r="AS379"/>
      <c r="AT379" s="4" t="str">
        <f t="shared" si="41"/>
        <v>利润分享</v>
      </c>
      <c r="AU379" s="4" t="str">
        <f t="shared" si="36"/>
        <v>国际发展部</v>
      </c>
      <c r="AV379" s="4" t="str">
        <f t="shared" si="37"/>
        <v>人力费用</v>
      </c>
      <c r="AW379" s="4" t="str">
        <f>IFERROR(VLOOKUP(AV379,[1]字段!A:B,2,0),"")</f>
        <v>人力费用</v>
      </c>
      <c r="AX379" s="30" t="str">
        <f>IF(AW379="人力费用",IF(E379="","",VLOOKUP(E379,[1]字段!D:E,2,0)),AW379)</f>
        <v>利润分享</v>
      </c>
      <c r="AY379" s="30" t="str">
        <f>IF(AT379="","",VLOOKUP(AT379,[1]字段!H:I,2,0))</f>
        <v>利润分享</v>
      </c>
      <c r="AZ379" s="31">
        <f t="shared" si="38"/>
        <v>0</v>
      </c>
      <c r="BA379" s="31">
        <f t="shared" si="39"/>
        <v>0</v>
      </c>
      <c r="BB379" s="31">
        <f t="shared" si="40"/>
        <v>0</v>
      </c>
      <c r="BC379" s="31">
        <f t="shared" si="42"/>
        <v>0</v>
      </c>
    </row>
    <row r="380" spans="1:55" ht="28.5" customHeight="1">
      <c r="A380" s="32"/>
      <c r="B380" s="32"/>
      <c r="C380" s="32"/>
      <c r="D380" s="40"/>
      <c r="E380" s="39">
        <v>5501010603</v>
      </c>
      <c r="F380" s="3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  <c r="AA380" s="29"/>
      <c r="AB380" s="29"/>
      <c r="AC380" s="29"/>
      <c r="AD380" s="29"/>
      <c r="AE380" s="29"/>
      <c r="AJ380"/>
      <c r="AK380"/>
      <c r="AL380"/>
      <c r="AM380"/>
      <c r="AN380"/>
      <c r="AO380"/>
      <c r="AP380"/>
      <c r="AQ380"/>
      <c r="AR380"/>
      <c r="AS380"/>
      <c r="AT380" s="4" t="str">
        <f t="shared" si="41"/>
        <v>留任奖励</v>
      </c>
      <c r="AU380" s="4" t="str">
        <f t="shared" si="36"/>
        <v>国际发展部</v>
      </c>
      <c r="AV380" s="4" t="str">
        <f t="shared" si="37"/>
        <v>人力费用</v>
      </c>
      <c r="AW380" s="4" t="str">
        <f>IFERROR(VLOOKUP(AV380,[1]字段!A:B,2,0),"")</f>
        <v>人力费用</v>
      </c>
      <c r="AX380" s="30" t="str">
        <f>IF(AW380="人力费用",IF(E380="","",VLOOKUP(E380,[1]字段!D:E,2,0)),AW380)</f>
        <v>留任奖励</v>
      </c>
      <c r="AY380" s="30" t="str">
        <f>IF(AT380="","",VLOOKUP(AT380,[1]字段!H:I,2,0))</f>
        <v>留任奖励</v>
      </c>
      <c r="AZ380" s="31">
        <f t="shared" si="38"/>
        <v>0</v>
      </c>
      <c r="BA380" s="31">
        <f t="shared" si="39"/>
        <v>0</v>
      </c>
      <c r="BB380" s="31">
        <f t="shared" si="40"/>
        <v>0</v>
      </c>
      <c r="BC380" s="31">
        <f t="shared" si="42"/>
        <v>0</v>
      </c>
    </row>
    <row r="381" spans="1:55" ht="28.5" customHeight="1">
      <c r="A381" s="32"/>
      <c r="B381" s="32"/>
      <c r="C381" s="32"/>
      <c r="D381" s="40"/>
      <c r="E381" s="39">
        <v>5501010604</v>
      </c>
      <c r="F381" s="3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  <c r="AA381" s="29"/>
      <c r="AB381" s="29"/>
      <c r="AC381" s="29"/>
      <c r="AD381" s="29"/>
      <c r="AE381" s="29"/>
      <c r="AJ381"/>
      <c r="AK381"/>
      <c r="AL381"/>
      <c r="AM381"/>
      <c r="AN381"/>
      <c r="AO381"/>
      <c r="AP381"/>
      <c r="AQ381"/>
      <c r="AR381"/>
      <c r="AS381"/>
      <c r="AT381" s="4" t="str">
        <f t="shared" si="41"/>
        <v>1.0倍人力</v>
      </c>
      <c r="AU381" s="4" t="str">
        <f t="shared" si="36"/>
        <v>国际发展部</v>
      </c>
      <c r="AV381" s="4" t="str">
        <f t="shared" si="37"/>
        <v>人力费用</v>
      </c>
      <c r="AW381" s="4" t="str">
        <f>IFERROR(VLOOKUP(AV381,[1]字段!A:B,2,0),"")</f>
        <v>人力费用</v>
      </c>
      <c r="AX381" s="30" t="str">
        <f>IF(AW381="人力费用",IF(E381="","",VLOOKUP(E381,[1]字段!D:E,2,0)),AW381)</f>
        <v>1.0倍人力</v>
      </c>
      <c r="AY381" s="30" t="str">
        <f>IF(AT381="","",VLOOKUP(AT381,[1]字段!H:I,2,0))</f>
        <v>1.0倍人力</v>
      </c>
      <c r="AZ381" s="31">
        <f t="shared" si="38"/>
        <v>0</v>
      </c>
      <c r="BA381" s="31">
        <f t="shared" si="39"/>
        <v>0</v>
      </c>
      <c r="BB381" s="31">
        <f t="shared" si="40"/>
        <v>0</v>
      </c>
      <c r="BC381" s="31">
        <f t="shared" si="42"/>
        <v>0</v>
      </c>
    </row>
    <row r="382" spans="1:55" ht="28.5" customHeight="1">
      <c r="A382" s="32"/>
      <c r="B382" s="32"/>
      <c r="C382" s="32"/>
      <c r="D382" s="40"/>
      <c r="E382" s="39" t="s">
        <v>43</v>
      </c>
      <c r="F382" s="39" t="s">
        <v>44</v>
      </c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  <c r="AA382" s="29"/>
      <c r="AB382" s="29"/>
      <c r="AC382" s="29"/>
      <c r="AD382" s="29"/>
      <c r="AE382" s="29"/>
      <c r="AJ382"/>
      <c r="AK382"/>
      <c r="AL382"/>
      <c r="AM382"/>
      <c r="AN382"/>
      <c r="AO382"/>
      <c r="AP382"/>
      <c r="AQ382"/>
      <c r="AR382"/>
      <c r="AS382"/>
      <c r="AT382" s="4" t="str">
        <f t="shared" si="41"/>
        <v>1.0倍人力团队建设费</v>
      </c>
      <c r="AU382" s="4" t="str">
        <f t="shared" si="36"/>
        <v>国际发展部</v>
      </c>
      <c r="AV382" s="4" t="str">
        <f t="shared" si="37"/>
        <v>人力费用</v>
      </c>
      <c r="AW382" s="4" t="str">
        <f>IFERROR(VLOOKUP(AV382,[1]字段!A:B,2,0),"")</f>
        <v>人力费用</v>
      </c>
      <c r="AX382" s="30" t="str">
        <f>IF(AW382="人力费用",IF(E382="","",VLOOKUP(E382,[1]字段!D:E,2,0)),AW382)</f>
        <v>1.0倍人力</v>
      </c>
      <c r="AY382" s="30" t="str">
        <f>IF(AT382="","",VLOOKUP(AT382,[1]字段!H:I,2,0))</f>
        <v>1.0倍人力</v>
      </c>
      <c r="AZ382" s="31">
        <f t="shared" si="38"/>
        <v>0</v>
      </c>
      <c r="BA382" s="31">
        <f t="shared" si="39"/>
        <v>0</v>
      </c>
      <c r="BB382" s="31">
        <f t="shared" si="40"/>
        <v>0</v>
      </c>
      <c r="BC382" s="31">
        <f t="shared" si="42"/>
        <v>0</v>
      </c>
    </row>
    <row r="383" spans="1:55" ht="28.5" customHeight="1">
      <c r="A383" s="32"/>
      <c r="B383" s="32"/>
      <c r="C383" s="32"/>
      <c r="D383" s="40"/>
      <c r="E383" s="39" t="s">
        <v>45</v>
      </c>
      <c r="F383" s="39" t="s">
        <v>46</v>
      </c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  <c r="AA383" s="29"/>
      <c r="AB383" s="29"/>
      <c r="AC383" s="29"/>
      <c r="AD383" s="29"/>
      <c r="AE383" s="29"/>
      <c r="AJ383"/>
      <c r="AK383"/>
      <c r="AL383"/>
      <c r="AM383"/>
      <c r="AN383"/>
      <c r="AO383"/>
      <c r="AP383"/>
      <c r="AQ383"/>
      <c r="AR383"/>
      <c r="AS383"/>
      <c r="AT383" s="4" t="str">
        <f t="shared" si="41"/>
        <v>1.0倍人力其他职工福利费</v>
      </c>
      <c r="AU383" s="4" t="str">
        <f t="shared" si="36"/>
        <v>国际发展部</v>
      </c>
      <c r="AV383" s="4" t="str">
        <f t="shared" si="37"/>
        <v>人力费用</v>
      </c>
      <c r="AW383" s="4" t="str">
        <f>IFERROR(VLOOKUP(AV383,[1]字段!A:B,2,0),"")</f>
        <v>人力费用</v>
      </c>
      <c r="AX383" s="30" t="str">
        <f>IF(AW383="人力费用",IF(E383="","",VLOOKUP(E383,[1]字段!D:E,2,0)),AW383)</f>
        <v>1.0倍人力</v>
      </c>
      <c r="AY383" s="30" t="str">
        <f>IF(AT383="","",VLOOKUP(AT383,[1]字段!H:I,2,0))</f>
        <v>1.0倍人力</v>
      </c>
      <c r="AZ383" s="31">
        <f t="shared" si="38"/>
        <v>0</v>
      </c>
      <c r="BA383" s="31">
        <f t="shared" si="39"/>
        <v>0</v>
      </c>
      <c r="BB383" s="31">
        <f t="shared" si="40"/>
        <v>0</v>
      </c>
      <c r="BC383" s="31">
        <f t="shared" si="42"/>
        <v>0</v>
      </c>
    </row>
    <row r="384" spans="1:55" ht="28.5" customHeight="1">
      <c r="A384" s="32"/>
      <c r="B384" s="32"/>
      <c r="C384" s="32"/>
      <c r="D384" s="40"/>
      <c r="E384" s="39" t="s">
        <v>47</v>
      </c>
      <c r="F384" s="39" t="s">
        <v>48</v>
      </c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  <c r="AA384" s="29"/>
      <c r="AB384" s="29"/>
      <c r="AC384" s="29"/>
      <c r="AD384" s="29"/>
      <c r="AE384" s="29"/>
      <c r="AJ384"/>
      <c r="AK384"/>
      <c r="AL384"/>
      <c r="AM384"/>
      <c r="AN384"/>
      <c r="AO384"/>
      <c r="AP384"/>
      <c r="AQ384"/>
      <c r="AR384"/>
      <c r="AS384"/>
      <c r="AT384" s="4" t="str">
        <f t="shared" si="41"/>
        <v>1.0倍人力工会经费</v>
      </c>
      <c r="AU384" s="4" t="str">
        <f t="shared" si="36"/>
        <v>国际发展部</v>
      </c>
      <c r="AV384" s="4" t="str">
        <f t="shared" si="37"/>
        <v>人力费用</v>
      </c>
      <c r="AW384" s="4" t="str">
        <f>IFERROR(VLOOKUP(AV384,[1]字段!A:B,2,0),"")</f>
        <v>人力费用</v>
      </c>
      <c r="AX384" s="30" t="str">
        <f>IF(AW384="人力费用",IF(E384="","",VLOOKUP(E384,[1]字段!D:E,2,0)),AW384)</f>
        <v>1.0倍人力</v>
      </c>
      <c r="AY384" s="30" t="str">
        <f>IF(AT384="","",VLOOKUP(AT384,[1]字段!H:I,2,0))</f>
        <v>1.0倍人力</v>
      </c>
      <c r="AZ384" s="31">
        <f t="shared" si="38"/>
        <v>0</v>
      </c>
      <c r="BA384" s="31">
        <f t="shared" si="39"/>
        <v>0</v>
      </c>
      <c r="BB384" s="31">
        <f t="shared" si="40"/>
        <v>0</v>
      </c>
      <c r="BC384" s="31">
        <f t="shared" si="42"/>
        <v>0</v>
      </c>
    </row>
    <row r="385" spans="1:55" ht="28.5" customHeight="1">
      <c r="A385" s="32"/>
      <c r="B385" s="32"/>
      <c r="C385" s="32"/>
      <c r="D385" s="40"/>
      <c r="E385" s="39" t="s">
        <v>49</v>
      </c>
      <c r="F385" s="39" t="s">
        <v>50</v>
      </c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  <c r="AA385" s="29"/>
      <c r="AB385" s="29"/>
      <c r="AC385" s="29"/>
      <c r="AD385" s="29"/>
      <c r="AE385" s="29"/>
      <c r="AJ385"/>
      <c r="AK385"/>
      <c r="AL385"/>
      <c r="AM385"/>
      <c r="AN385"/>
      <c r="AO385"/>
      <c r="AP385"/>
      <c r="AQ385"/>
      <c r="AR385"/>
      <c r="AS385"/>
      <c r="AT385" s="4" t="str">
        <f t="shared" si="41"/>
        <v>1.0倍人力基本养老保险</v>
      </c>
      <c r="AU385" s="4" t="str">
        <f t="shared" si="36"/>
        <v>国际发展部</v>
      </c>
      <c r="AV385" s="4" t="str">
        <f t="shared" si="37"/>
        <v>人力费用</v>
      </c>
      <c r="AW385" s="4" t="str">
        <f>IFERROR(VLOOKUP(AV385,[1]字段!A:B,2,0),"")</f>
        <v>人力费用</v>
      </c>
      <c r="AX385" s="30" t="str">
        <f>IF(AW385="人力费用",IF(E385="","",VLOOKUP(E385,[1]字段!D:E,2,0)),AW385)</f>
        <v>1.0倍人力</v>
      </c>
      <c r="AY385" s="30" t="str">
        <f>IF(AT385="","",VLOOKUP(AT385,[1]字段!H:I,2,0))</f>
        <v>1.0倍人力</v>
      </c>
      <c r="AZ385" s="31">
        <f t="shared" si="38"/>
        <v>0</v>
      </c>
      <c r="BA385" s="31">
        <f t="shared" si="39"/>
        <v>0</v>
      </c>
      <c r="BB385" s="31">
        <f t="shared" si="40"/>
        <v>0</v>
      </c>
      <c r="BC385" s="31">
        <f t="shared" si="42"/>
        <v>0</v>
      </c>
    </row>
    <row r="386" spans="1:55" ht="28.5" customHeight="1">
      <c r="A386" s="32"/>
      <c r="B386" s="32"/>
      <c r="C386" s="32"/>
      <c r="D386" s="40"/>
      <c r="E386" s="39" t="s">
        <v>51</v>
      </c>
      <c r="F386" s="39" t="s">
        <v>52</v>
      </c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  <c r="AA386" s="29"/>
      <c r="AB386" s="29"/>
      <c r="AC386" s="29"/>
      <c r="AD386" s="29"/>
      <c r="AE386" s="29"/>
      <c r="AJ386"/>
      <c r="AK386"/>
      <c r="AL386"/>
      <c r="AM386"/>
      <c r="AN386"/>
      <c r="AO386"/>
      <c r="AP386"/>
      <c r="AQ386"/>
      <c r="AR386"/>
      <c r="AS386"/>
      <c r="AT386" s="4" t="str">
        <f t="shared" si="41"/>
        <v>1.0倍人力基本医疗保险</v>
      </c>
      <c r="AU386" s="4" t="str">
        <f t="shared" si="36"/>
        <v>国际发展部</v>
      </c>
      <c r="AV386" s="4" t="str">
        <f t="shared" si="37"/>
        <v>人力费用</v>
      </c>
      <c r="AW386" s="4" t="str">
        <f>IFERROR(VLOOKUP(AV386,[1]字段!A:B,2,0),"")</f>
        <v>人力费用</v>
      </c>
      <c r="AX386" s="30" t="str">
        <f>IF(AW386="人力费用",IF(E386="","",VLOOKUP(E386,[1]字段!D:E,2,0)),AW386)</f>
        <v>1.0倍人力</v>
      </c>
      <c r="AY386" s="30" t="str">
        <f>IF(AT386="","",VLOOKUP(AT386,[1]字段!H:I,2,0))</f>
        <v>1.0倍人力</v>
      </c>
      <c r="AZ386" s="31">
        <f t="shared" si="38"/>
        <v>0</v>
      </c>
      <c r="BA386" s="31">
        <f t="shared" si="39"/>
        <v>0</v>
      </c>
      <c r="BB386" s="31">
        <f t="shared" si="40"/>
        <v>0</v>
      </c>
      <c r="BC386" s="31">
        <f t="shared" si="42"/>
        <v>0</v>
      </c>
    </row>
    <row r="387" spans="1:55" ht="28.5" customHeight="1">
      <c r="A387" s="32"/>
      <c r="B387" s="32"/>
      <c r="C387" s="32"/>
      <c r="D387" s="40"/>
      <c r="E387" s="39" t="s">
        <v>53</v>
      </c>
      <c r="F387" s="39" t="s">
        <v>54</v>
      </c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  <c r="AA387" s="29"/>
      <c r="AB387" s="29"/>
      <c r="AC387" s="29"/>
      <c r="AD387" s="29"/>
      <c r="AE387" s="29"/>
      <c r="AJ387"/>
      <c r="AK387"/>
      <c r="AL387"/>
      <c r="AM387"/>
      <c r="AN387"/>
      <c r="AO387"/>
      <c r="AP387"/>
      <c r="AQ387"/>
      <c r="AR387"/>
      <c r="AS387"/>
      <c r="AT387" s="4" t="str">
        <f t="shared" si="41"/>
        <v>1.0倍人力工伤保险</v>
      </c>
      <c r="AU387" s="4" t="str">
        <f t="shared" si="36"/>
        <v>国际发展部</v>
      </c>
      <c r="AV387" s="4" t="str">
        <f t="shared" si="37"/>
        <v>人力费用</v>
      </c>
      <c r="AW387" s="4" t="str">
        <f>IFERROR(VLOOKUP(AV387,[1]字段!A:B,2,0),"")</f>
        <v>人力费用</v>
      </c>
      <c r="AX387" s="30" t="str">
        <f>IF(AW387="人力费用",IF(E387="","",VLOOKUP(E387,[1]字段!D:E,2,0)),AW387)</f>
        <v>1.0倍人力</v>
      </c>
      <c r="AY387" s="30" t="str">
        <f>IF(AT387="","",VLOOKUP(AT387,[1]字段!H:I,2,0))</f>
        <v>1.0倍人力</v>
      </c>
      <c r="AZ387" s="31">
        <f t="shared" si="38"/>
        <v>0</v>
      </c>
      <c r="BA387" s="31">
        <f t="shared" si="39"/>
        <v>0</v>
      </c>
      <c r="BB387" s="31">
        <f t="shared" si="40"/>
        <v>0</v>
      </c>
      <c r="BC387" s="31">
        <f t="shared" si="42"/>
        <v>0</v>
      </c>
    </row>
    <row r="388" spans="1:55" ht="28.5" customHeight="1">
      <c r="A388" s="32"/>
      <c r="B388" s="32"/>
      <c r="C388" s="32"/>
      <c r="D388" s="40"/>
      <c r="E388" s="39" t="s">
        <v>55</v>
      </c>
      <c r="F388" s="39" t="s">
        <v>56</v>
      </c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  <c r="AA388" s="29"/>
      <c r="AB388" s="29"/>
      <c r="AC388" s="29"/>
      <c r="AD388" s="29"/>
      <c r="AE388" s="29"/>
      <c r="AJ388"/>
      <c r="AK388"/>
      <c r="AL388"/>
      <c r="AM388"/>
      <c r="AN388"/>
      <c r="AO388"/>
      <c r="AP388"/>
      <c r="AQ388"/>
      <c r="AR388"/>
      <c r="AS388"/>
      <c r="AT388" s="4" t="str">
        <f t="shared" si="41"/>
        <v>1.0倍人力生育保险</v>
      </c>
      <c r="AU388" s="4" t="str">
        <f t="shared" si="36"/>
        <v>国际发展部</v>
      </c>
      <c r="AV388" s="4" t="str">
        <f t="shared" si="37"/>
        <v>人力费用</v>
      </c>
      <c r="AW388" s="4" t="str">
        <f>IFERROR(VLOOKUP(AV388,[1]字段!A:B,2,0),"")</f>
        <v>人力费用</v>
      </c>
      <c r="AX388" s="30" t="str">
        <f>IF(AW388="人力费用",IF(E388="","",VLOOKUP(E388,[1]字段!D:E,2,0)),AW388)</f>
        <v>1.0倍人力</v>
      </c>
      <c r="AY388" s="30" t="str">
        <f>IF(AT388="","",VLOOKUP(AT388,[1]字段!H:I,2,0))</f>
        <v>1.0倍人力</v>
      </c>
      <c r="AZ388" s="31">
        <f t="shared" si="38"/>
        <v>0</v>
      </c>
      <c r="BA388" s="31">
        <f t="shared" si="39"/>
        <v>0</v>
      </c>
      <c r="BB388" s="31">
        <f t="shared" si="40"/>
        <v>0</v>
      </c>
      <c r="BC388" s="31">
        <f t="shared" si="42"/>
        <v>0</v>
      </c>
    </row>
    <row r="389" spans="1:55" ht="28.5" customHeight="1">
      <c r="A389" s="32"/>
      <c r="B389" s="32"/>
      <c r="C389" s="32"/>
      <c r="D389" s="40"/>
      <c r="E389" s="39" t="s">
        <v>57</v>
      </c>
      <c r="F389" s="39" t="s">
        <v>58</v>
      </c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  <c r="AA389" s="29"/>
      <c r="AB389" s="29"/>
      <c r="AC389" s="29"/>
      <c r="AD389" s="29"/>
      <c r="AE389" s="29"/>
      <c r="AJ389"/>
      <c r="AK389"/>
      <c r="AL389"/>
      <c r="AM389"/>
      <c r="AN389"/>
      <c r="AO389"/>
      <c r="AP389"/>
      <c r="AQ389"/>
      <c r="AR389"/>
      <c r="AS389"/>
      <c r="AT389" s="4" t="str">
        <f t="shared" si="41"/>
        <v>1.0倍人力失业保险</v>
      </c>
      <c r="AU389" s="4" t="str">
        <f t="shared" ref="AU389:AU452" si="43">IF(B389="",AU388,B389)</f>
        <v>国际发展部</v>
      </c>
      <c r="AV389" s="4" t="str">
        <f t="shared" ref="AV389:AV452" si="44">IF(B389&lt;&gt;"","",IF(D389="",AV388,D389))</f>
        <v>人力费用</v>
      </c>
      <c r="AW389" s="4" t="str">
        <f>IFERROR(VLOOKUP(AV389,[1]字段!A:B,2,0),"")</f>
        <v>人力费用</v>
      </c>
      <c r="AX389" s="30" t="str">
        <f>IF(AW389="人力费用",IF(E389="","",VLOOKUP(E389,[1]字段!D:E,2,0)),AW389)</f>
        <v>1.0倍人力</v>
      </c>
      <c r="AY389" s="30" t="str">
        <f>IF(AT389="","",VLOOKUP(AT389,[1]字段!H:I,2,0))</f>
        <v>1.0倍人力</v>
      </c>
      <c r="AZ389" s="31">
        <f t="shared" ref="AZ389:AZ452" si="45">IF($E389="",0,SUMIF($G$1:$AB$1,AZ$4,$G389:$AB389))</f>
        <v>0</v>
      </c>
      <c r="BA389" s="31">
        <f t="shared" ref="BA389:BA452" si="46">IF($E389="",0,SUMIF($G$1:$AE$1,BA$4,$G389:$AE389))</f>
        <v>0</v>
      </c>
      <c r="BB389" s="31">
        <f t="shared" ref="BB389:BB452" si="47">AZ389+BA389</f>
        <v>0</v>
      </c>
      <c r="BC389" s="31">
        <f t="shared" si="42"/>
        <v>0</v>
      </c>
    </row>
    <row r="390" spans="1:55" ht="28.5" customHeight="1">
      <c r="A390" s="32"/>
      <c r="B390" s="32"/>
      <c r="C390" s="41"/>
      <c r="D390" s="42"/>
      <c r="E390" s="39" t="s">
        <v>59</v>
      </c>
      <c r="F390" s="39" t="s">
        <v>60</v>
      </c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  <c r="AA390" s="29"/>
      <c r="AB390" s="29"/>
      <c r="AC390" s="29"/>
      <c r="AD390" s="29"/>
      <c r="AE390" s="29"/>
      <c r="AJ390"/>
      <c r="AK390"/>
      <c r="AL390"/>
      <c r="AM390"/>
      <c r="AN390"/>
      <c r="AO390"/>
      <c r="AP390"/>
      <c r="AQ390"/>
      <c r="AR390"/>
      <c r="AS390"/>
      <c r="AT390" s="4" t="str">
        <f t="shared" ref="AT390:AT453" si="48">AX390&amp;F390</f>
        <v>1.0倍人力住房公积金</v>
      </c>
      <c r="AU390" s="4" t="str">
        <f t="shared" si="43"/>
        <v>国际发展部</v>
      </c>
      <c r="AV390" s="4" t="str">
        <f t="shared" si="44"/>
        <v>人力费用</v>
      </c>
      <c r="AW390" s="4" t="str">
        <f>IFERROR(VLOOKUP(AV390,[1]字段!A:B,2,0),"")</f>
        <v>人力费用</v>
      </c>
      <c r="AX390" s="30" t="str">
        <f>IF(AW390="人力费用",IF(E390="","",VLOOKUP(E390,[1]字段!D:E,2,0)),AW390)</f>
        <v>1.0倍人力</v>
      </c>
      <c r="AY390" s="30" t="str">
        <f>IF(AT390="","",VLOOKUP(AT390,[1]字段!H:I,2,0))</f>
        <v>1.0倍人力</v>
      </c>
      <c r="AZ390" s="31">
        <f t="shared" si="45"/>
        <v>0</v>
      </c>
      <c r="BA390" s="31">
        <f t="shared" si="46"/>
        <v>0</v>
      </c>
      <c r="BB390" s="31">
        <f t="shared" si="47"/>
        <v>0</v>
      </c>
      <c r="BC390" s="31">
        <f t="shared" ref="BC390:BC453" si="49">IF(E390="",0,SUM(G390:AE390)-AZ390-BA390)</f>
        <v>0</v>
      </c>
    </row>
    <row r="391" spans="1:55" ht="28.5" customHeight="1">
      <c r="C391" s="33" t="s">
        <v>107</v>
      </c>
      <c r="D391" s="34" t="s">
        <v>108</v>
      </c>
      <c r="E391" s="35"/>
      <c r="F391" s="36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  <c r="AA391" s="29"/>
      <c r="AB391" s="29"/>
      <c r="AC391" s="29"/>
      <c r="AD391" s="29"/>
      <c r="AE391" s="29"/>
      <c r="AJ391"/>
      <c r="AK391"/>
      <c r="AL391"/>
      <c r="AM391"/>
      <c r="AN391"/>
      <c r="AO391"/>
      <c r="AP391"/>
      <c r="AQ391"/>
      <c r="AR391"/>
      <c r="AS391"/>
      <c r="AT391" s="4" t="str">
        <f t="shared" si="48"/>
        <v>营销费用</v>
      </c>
      <c r="AU391" s="4" t="str">
        <f t="shared" si="43"/>
        <v>国际发展部</v>
      </c>
      <c r="AV391" s="4" t="str">
        <f t="shared" si="44"/>
        <v>营销费用</v>
      </c>
      <c r="AW391" s="4" t="str">
        <f>IFERROR(VLOOKUP(AV391,[1]字段!A:B,2,0),"")</f>
        <v>营销费用</v>
      </c>
      <c r="AX391" s="30" t="str">
        <f>IF(AW391="人力费用",IF(E391="","",VLOOKUP(E391,[1]字段!D:E,2,0)),AW391)</f>
        <v>营销费用</v>
      </c>
      <c r="AY391" s="30">
        <f>IF(AT391="","",VLOOKUP(AT391,[1]字段!H:I,2,0))</f>
        <v>0</v>
      </c>
      <c r="AZ391" s="31">
        <f t="shared" si="45"/>
        <v>0</v>
      </c>
      <c r="BA391" s="31">
        <f t="shared" si="46"/>
        <v>0</v>
      </c>
      <c r="BB391" s="31">
        <f t="shared" si="47"/>
        <v>0</v>
      </c>
      <c r="BC391" s="31">
        <f t="shared" si="49"/>
        <v>0</v>
      </c>
    </row>
    <row r="392" spans="1:55" ht="28.5" customHeight="1">
      <c r="A392" s="32"/>
      <c r="B392" s="32"/>
      <c r="C392" s="37"/>
      <c r="D392" s="38"/>
      <c r="E392" s="39" t="s">
        <v>181</v>
      </c>
      <c r="F392" s="39" t="s">
        <v>182</v>
      </c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  <c r="AA392" s="29"/>
      <c r="AB392" s="29"/>
      <c r="AC392" s="29"/>
      <c r="AD392" s="29"/>
      <c r="AE392" s="29"/>
      <c r="AJ392"/>
      <c r="AK392"/>
      <c r="AL392"/>
      <c r="AM392"/>
      <c r="AN392"/>
      <c r="AO392"/>
      <c r="AP392"/>
      <c r="AQ392"/>
      <c r="AR392"/>
      <c r="AS392"/>
      <c r="AT392" s="4" t="str">
        <f t="shared" si="48"/>
        <v>营销费用短信费</v>
      </c>
      <c r="AU392" s="4" t="str">
        <f t="shared" si="43"/>
        <v>国际发展部</v>
      </c>
      <c r="AV392" s="4" t="str">
        <f t="shared" si="44"/>
        <v>营销费用</v>
      </c>
      <c r="AW392" s="4" t="str">
        <f>IFERROR(VLOOKUP(AV392,[1]字段!A:B,2,0),"")</f>
        <v>营销费用</v>
      </c>
      <c r="AX392" s="30" t="str">
        <f>IF(AW392="人力费用",IF(E392="","",VLOOKUP(E392,[1]字段!D:E,2,0)),AW392)</f>
        <v>营销费用</v>
      </c>
      <c r="AY392" s="30" t="str">
        <f>IF(AT392="","",VLOOKUP(AT392,[1]字段!H:I,2,0))</f>
        <v>营销费用</v>
      </c>
      <c r="AZ392" s="31">
        <f t="shared" si="45"/>
        <v>0</v>
      </c>
      <c r="BA392" s="31">
        <f t="shared" si="46"/>
        <v>0</v>
      </c>
      <c r="BB392" s="31">
        <f t="shared" si="47"/>
        <v>0</v>
      </c>
      <c r="BC392" s="31">
        <f t="shared" si="49"/>
        <v>0</v>
      </c>
    </row>
    <row r="393" spans="1:55" ht="28.5" customHeight="1">
      <c r="A393" s="32"/>
      <c r="B393" s="32"/>
      <c r="C393" s="41"/>
      <c r="D393" s="42"/>
      <c r="E393" s="39" t="s">
        <v>111</v>
      </c>
      <c r="F393" s="39" t="s">
        <v>112</v>
      </c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  <c r="AA393" s="29"/>
      <c r="AB393" s="29"/>
      <c r="AC393" s="29"/>
      <c r="AD393" s="29"/>
      <c r="AE393" s="29"/>
      <c r="AJ393"/>
      <c r="AK393"/>
      <c r="AL393"/>
      <c r="AM393"/>
      <c r="AN393"/>
      <c r="AO393"/>
      <c r="AP393"/>
      <c r="AQ393"/>
      <c r="AR393"/>
      <c r="AS393"/>
      <c r="AT393" s="4" t="str">
        <f t="shared" si="48"/>
        <v>营销费用业务宣传费</v>
      </c>
      <c r="AU393" s="4" t="str">
        <f t="shared" si="43"/>
        <v>国际发展部</v>
      </c>
      <c r="AV393" s="4" t="str">
        <f t="shared" si="44"/>
        <v>营销费用</v>
      </c>
      <c r="AW393" s="4" t="str">
        <f>IFERROR(VLOOKUP(AV393,[1]字段!A:B,2,0),"")</f>
        <v>营销费用</v>
      </c>
      <c r="AX393" s="30" t="str">
        <f>IF(AW393="人力费用",IF(E393="","",VLOOKUP(E393,[1]字段!D:E,2,0)),AW393)</f>
        <v>营销费用</v>
      </c>
      <c r="AY393" s="30" t="str">
        <f>IF(AT393="","",VLOOKUP(AT393,[1]字段!H:I,2,0))</f>
        <v>营销费用</v>
      </c>
      <c r="AZ393" s="31">
        <f t="shared" si="45"/>
        <v>0</v>
      </c>
      <c r="BA393" s="31">
        <f t="shared" si="46"/>
        <v>0</v>
      </c>
      <c r="BB393" s="31">
        <f t="shared" si="47"/>
        <v>0</v>
      </c>
      <c r="BC393" s="31">
        <f t="shared" si="49"/>
        <v>0</v>
      </c>
    </row>
    <row r="394" spans="1:55" ht="28.5" customHeight="1">
      <c r="C394" s="33" t="s">
        <v>162</v>
      </c>
      <c r="D394" s="34" t="s">
        <v>163</v>
      </c>
      <c r="E394" s="35"/>
      <c r="F394" s="36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  <c r="AA394" s="29"/>
      <c r="AB394" s="29"/>
      <c r="AC394" s="29"/>
      <c r="AD394" s="29"/>
      <c r="AE394" s="29"/>
      <c r="AJ394"/>
      <c r="AK394"/>
      <c r="AL394"/>
      <c r="AM394"/>
      <c r="AN394"/>
      <c r="AO394"/>
      <c r="AP394"/>
      <c r="AQ394"/>
      <c r="AR394"/>
      <c r="AS394"/>
      <c r="AT394" s="4" t="str">
        <f t="shared" si="48"/>
        <v>运营费用</v>
      </c>
      <c r="AU394" s="4" t="str">
        <f t="shared" si="43"/>
        <v>国际发展部</v>
      </c>
      <c r="AV394" s="4" t="str">
        <f t="shared" si="44"/>
        <v>运营费用</v>
      </c>
      <c r="AW394" s="4" t="str">
        <f>IFERROR(VLOOKUP(AV394,[1]字段!A:B,2,0),"")</f>
        <v>运营费用</v>
      </c>
      <c r="AX394" s="30" t="str">
        <f>IF(AW394="人力费用",IF(E394="","",VLOOKUP(E394,[1]字段!D:E,2,0)),AW394)</f>
        <v>运营费用</v>
      </c>
      <c r="AY394" s="30">
        <f>IF(AT394="","",VLOOKUP(AT394,[1]字段!H:I,2,0))</f>
        <v>0</v>
      </c>
      <c r="AZ394" s="31">
        <f t="shared" si="45"/>
        <v>0</v>
      </c>
      <c r="BA394" s="31">
        <f t="shared" si="46"/>
        <v>0</v>
      </c>
      <c r="BB394" s="31">
        <f t="shared" si="47"/>
        <v>0</v>
      </c>
      <c r="BC394" s="31">
        <f t="shared" si="49"/>
        <v>0</v>
      </c>
    </row>
    <row r="395" spans="1:55" ht="28.5" customHeight="1">
      <c r="A395" s="32"/>
      <c r="B395" s="32"/>
      <c r="C395" s="37"/>
      <c r="D395" s="38"/>
      <c r="E395" s="39" t="s">
        <v>170</v>
      </c>
      <c r="F395" s="39" t="s">
        <v>171</v>
      </c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  <c r="AA395" s="29"/>
      <c r="AB395" s="29"/>
      <c r="AC395" s="29"/>
      <c r="AD395" s="29"/>
      <c r="AE395" s="29"/>
      <c r="AJ395"/>
      <c r="AK395"/>
      <c r="AL395"/>
      <c r="AM395"/>
      <c r="AN395"/>
      <c r="AO395"/>
      <c r="AP395"/>
      <c r="AQ395"/>
      <c r="AR395"/>
      <c r="AS395"/>
      <c r="AT395" s="4" t="str">
        <f t="shared" si="48"/>
        <v>运营费用技术服务费</v>
      </c>
      <c r="AU395" s="4" t="str">
        <f t="shared" si="43"/>
        <v>国际发展部</v>
      </c>
      <c r="AV395" s="4" t="str">
        <f t="shared" si="44"/>
        <v>运营费用</v>
      </c>
      <c r="AW395" s="4" t="str">
        <f>IFERROR(VLOOKUP(AV395,[1]字段!A:B,2,0),"")</f>
        <v>运营费用</v>
      </c>
      <c r="AX395" s="30" t="str">
        <f>IF(AW395="人力费用",IF(E395="","",VLOOKUP(E395,[1]字段!D:E,2,0)),AW395)</f>
        <v>运营费用</v>
      </c>
      <c r="AY395" s="30" t="str">
        <f>IF(AT395="","",VLOOKUP(AT395,[1]字段!H:I,2,0))</f>
        <v>运营费用-运营其他</v>
      </c>
      <c r="AZ395" s="31">
        <f t="shared" si="45"/>
        <v>0</v>
      </c>
      <c r="BA395" s="31">
        <f t="shared" si="46"/>
        <v>0</v>
      </c>
      <c r="BB395" s="31">
        <f t="shared" si="47"/>
        <v>0</v>
      </c>
      <c r="BC395" s="31">
        <f t="shared" si="49"/>
        <v>0</v>
      </c>
    </row>
    <row r="396" spans="1:55" ht="28.5" customHeight="1">
      <c r="A396" s="32"/>
      <c r="B396" s="32"/>
      <c r="C396" s="41"/>
      <c r="D396" s="42"/>
      <c r="E396" s="39" t="s">
        <v>83</v>
      </c>
      <c r="F396" s="39" t="s">
        <v>84</v>
      </c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  <c r="AA396" s="29"/>
      <c r="AB396" s="29"/>
      <c r="AC396" s="29"/>
      <c r="AD396" s="29"/>
      <c r="AE396" s="29"/>
      <c r="AJ396"/>
      <c r="AK396"/>
      <c r="AL396"/>
      <c r="AM396"/>
      <c r="AN396"/>
      <c r="AO396"/>
      <c r="AP396"/>
      <c r="AQ396"/>
      <c r="AR396"/>
      <c r="AS396"/>
      <c r="AT396" s="4" t="str">
        <f t="shared" si="48"/>
        <v>运营费用其他外包服务费</v>
      </c>
      <c r="AU396" s="4" t="str">
        <f t="shared" si="43"/>
        <v>国际发展部</v>
      </c>
      <c r="AV396" s="4" t="str">
        <f t="shared" si="44"/>
        <v>运营费用</v>
      </c>
      <c r="AW396" s="4" t="str">
        <f>IFERROR(VLOOKUP(AV396,[1]字段!A:B,2,0),"")</f>
        <v>运营费用</v>
      </c>
      <c r="AX396" s="30" t="str">
        <f>IF(AW396="人力费用",IF(E396="","",VLOOKUP(E396,[1]字段!D:E,2,0)),AW396)</f>
        <v>运营费用</v>
      </c>
      <c r="AY396" s="30" t="str">
        <f>IF(AT396="","",VLOOKUP(AT396,[1]字段!H:I,2,0))</f>
        <v>运营费用-外包服务费</v>
      </c>
      <c r="AZ396" s="31">
        <f t="shared" si="45"/>
        <v>0</v>
      </c>
      <c r="BA396" s="31">
        <f t="shared" si="46"/>
        <v>0</v>
      </c>
      <c r="BB396" s="31">
        <f t="shared" si="47"/>
        <v>0</v>
      </c>
      <c r="BC396" s="31">
        <f t="shared" si="49"/>
        <v>0</v>
      </c>
    </row>
    <row r="397" spans="1:55" ht="28.5" customHeight="1">
      <c r="C397" s="33" t="s">
        <v>65</v>
      </c>
      <c r="D397" s="34" t="s">
        <v>66</v>
      </c>
      <c r="E397" s="35"/>
      <c r="F397" s="36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  <c r="AA397" s="29"/>
      <c r="AB397" s="29"/>
      <c r="AC397" s="29"/>
      <c r="AD397" s="29"/>
      <c r="AE397" s="29"/>
      <c r="AJ397"/>
      <c r="AK397"/>
      <c r="AL397"/>
      <c r="AM397"/>
      <c r="AN397"/>
      <c r="AO397"/>
      <c r="AP397"/>
      <c r="AQ397"/>
      <c r="AR397"/>
      <c r="AS397"/>
      <c r="AT397" s="4" t="str">
        <f t="shared" si="48"/>
        <v>IT费用</v>
      </c>
      <c r="AU397" s="4" t="str">
        <f t="shared" si="43"/>
        <v>国际发展部</v>
      </c>
      <c r="AV397" s="4" t="str">
        <f t="shared" si="44"/>
        <v>IT科技费用</v>
      </c>
      <c r="AW397" s="4" t="str">
        <f>IFERROR(VLOOKUP(AV397,[1]字段!A:B,2,0),"")</f>
        <v>IT费用</v>
      </c>
      <c r="AX397" s="30" t="str">
        <f>IF(AW397="人力费用",IF(E397="","",VLOOKUP(E397,[1]字段!D:E,2,0)),AW397)</f>
        <v>IT费用</v>
      </c>
      <c r="AY397" s="30">
        <f>IF(AT397="","",VLOOKUP(AT397,[1]字段!H:I,2,0))</f>
        <v>0</v>
      </c>
      <c r="AZ397" s="31">
        <f t="shared" si="45"/>
        <v>0</v>
      </c>
      <c r="BA397" s="31">
        <f t="shared" si="46"/>
        <v>0</v>
      </c>
      <c r="BB397" s="31">
        <f t="shared" si="47"/>
        <v>0</v>
      </c>
      <c r="BC397" s="31">
        <f t="shared" si="49"/>
        <v>0</v>
      </c>
    </row>
    <row r="398" spans="1:55" ht="28.5" customHeight="1">
      <c r="A398" s="32"/>
      <c r="B398" s="32"/>
      <c r="C398" s="43"/>
      <c r="D398" s="43"/>
      <c r="E398" s="39" t="s">
        <v>71</v>
      </c>
      <c r="F398" s="39" t="s">
        <v>72</v>
      </c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  <c r="AA398" s="29"/>
      <c r="AB398" s="29"/>
      <c r="AC398" s="29"/>
      <c r="AD398" s="29"/>
      <c r="AE398" s="29"/>
      <c r="AJ398"/>
      <c r="AK398"/>
      <c r="AL398"/>
      <c r="AM398"/>
      <c r="AN398"/>
      <c r="AO398"/>
      <c r="AP398"/>
      <c r="AQ398"/>
      <c r="AR398"/>
      <c r="AS398"/>
      <c r="AT398" s="4" t="str">
        <f t="shared" si="48"/>
        <v>IT费用办公IT设备折旧费</v>
      </c>
      <c r="AU398" s="4" t="str">
        <f t="shared" si="43"/>
        <v>国际发展部</v>
      </c>
      <c r="AV398" s="4" t="str">
        <f t="shared" si="44"/>
        <v>IT科技费用</v>
      </c>
      <c r="AW398" s="4" t="str">
        <f>IFERROR(VLOOKUP(AV398,[1]字段!A:B,2,0),"")</f>
        <v>IT费用</v>
      </c>
      <c r="AX398" s="30" t="str">
        <f>IF(AW398="人力费用",IF(E398="","",VLOOKUP(E398,[1]字段!D:E,2,0)),AW398)</f>
        <v>IT费用</v>
      </c>
      <c r="AY398" s="30" t="str">
        <f>IF(AT398="","",VLOOKUP(AT398,[1]字段!H:I,2,0))</f>
        <v>IT费用</v>
      </c>
      <c r="AZ398" s="31">
        <f t="shared" si="45"/>
        <v>0</v>
      </c>
      <c r="BA398" s="31">
        <f t="shared" si="46"/>
        <v>0</v>
      </c>
      <c r="BB398" s="31">
        <f t="shared" si="47"/>
        <v>0</v>
      </c>
      <c r="BC398" s="31">
        <f t="shared" si="49"/>
        <v>0</v>
      </c>
    </row>
    <row r="399" spans="1:55" ht="28.5" customHeight="1">
      <c r="C399" s="33" t="s">
        <v>93</v>
      </c>
      <c r="D399" s="34" t="s">
        <v>94</v>
      </c>
      <c r="E399" s="35"/>
      <c r="F399" s="36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  <c r="AA399" s="29"/>
      <c r="AB399" s="29"/>
      <c r="AC399" s="29"/>
      <c r="AD399" s="29"/>
      <c r="AE399" s="29"/>
      <c r="AJ399"/>
      <c r="AK399"/>
      <c r="AL399"/>
      <c r="AM399"/>
      <c r="AN399"/>
      <c r="AO399"/>
      <c r="AP399"/>
      <c r="AQ399"/>
      <c r="AR399"/>
      <c r="AS399"/>
      <c r="AT399" s="4" t="str">
        <f t="shared" si="48"/>
        <v>日常费用</v>
      </c>
      <c r="AU399" s="4" t="str">
        <f t="shared" si="43"/>
        <v>国际发展部</v>
      </c>
      <c r="AV399" s="4" t="str">
        <f t="shared" si="44"/>
        <v>日常费用</v>
      </c>
      <c r="AW399" s="4" t="str">
        <f>IFERROR(VLOOKUP(AV399,[1]字段!A:B,2,0),"")</f>
        <v>日常费用</v>
      </c>
      <c r="AX399" s="30" t="str">
        <f>IF(AW399="人力费用",IF(E399="","",VLOOKUP(E399,[1]字段!D:E,2,0)),AW399)</f>
        <v>日常费用</v>
      </c>
      <c r="AY399" s="30">
        <f>IF(AT399="","",VLOOKUP(AT399,[1]字段!H:I,2,0))</f>
        <v>0</v>
      </c>
      <c r="AZ399" s="31">
        <f t="shared" si="45"/>
        <v>0</v>
      </c>
      <c r="BA399" s="31">
        <f t="shared" si="46"/>
        <v>0</v>
      </c>
      <c r="BB399" s="31">
        <f t="shared" si="47"/>
        <v>0</v>
      </c>
      <c r="BC399" s="31">
        <f t="shared" si="49"/>
        <v>0</v>
      </c>
    </row>
    <row r="400" spans="1:55" ht="28.5" customHeight="1">
      <c r="A400" s="32"/>
      <c r="B400" s="32"/>
      <c r="C400" s="37"/>
      <c r="D400" s="38"/>
      <c r="E400" s="39" t="s">
        <v>77</v>
      </c>
      <c r="F400" s="39" t="s">
        <v>78</v>
      </c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  <c r="AA400" s="29"/>
      <c r="AB400" s="29"/>
      <c r="AC400" s="29"/>
      <c r="AD400" s="29"/>
      <c r="AE400" s="29"/>
      <c r="AJ400"/>
      <c r="AK400"/>
      <c r="AL400"/>
      <c r="AM400"/>
      <c r="AN400"/>
      <c r="AO400"/>
      <c r="AP400"/>
      <c r="AQ400"/>
      <c r="AR400"/>
      <c r="AS400"/>
      <c r="AT400" s="4" t="str">
        <f t="shared" si="48"/>
        <v>日常费用咨询费</v>
      </c>
      <c r="AU400" s="4" t="str">
        <f t="shared" si="43"/>
        <v>国际发展部</v>
      </c>
      <c r="AV400" s="4" t="str">
        <f t="shared" si="44"/>
        <v>日常费用</v>
      </c>
      <c r="AW400" s="4" t="str">
        <f>IFERROR(VLOOKUP(AV400,[1]字段!A:B,2,0),"")</f>
        <v>日常费用</v>
      </c>
      <c r="AX400" s="30" t="str">
        <f>IF(AW400="人力费用",IF(E400="","",VLOOKUP(E400,[1]字段!D:E,2,0)),AW400)</f>
        <v>日常费用</v>
      </c>
      <c r="AY400" s="30" t="str">
        <f>IF(AT400="","",VLOOKUP(AT400,[1]字段!H:I,2,0))</f>
        <v>日常费用-咨询费</v>
      </c>
      <c r="AZ400" s="31">
        <f t="shared" si="45"/>
        <v>0</v>
      </c>
      <c r="BA400" s="31">
        <f t="shared" si="46"/>
        <v>0</v>
      </c>
      <c r="BB400" s="31">
        <f t="shared" si="47"/>
        <v>0</v>
      </c>
      <c r="BC400" s="31">
        <f t="shared" si="49"/>
        <v>0</v>
      </c>
    </row>
    <row r="401" spans="1:55" ht="28.5" customHeight="1">
      <c r="A401" s="32"/>
      <c r="B401" s="32"/>
      <c r="C401" s="32"/>
      <c r="D401" s="40"/>
      <c r="E401" s="39" t="s">
        <v>170</v>
      </c>
      <c r="F401" s="39" t="s">
        <v>171</v>
      </c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  <c r="AA401" s="29"/>
      <c r="AB401" s="29"/>
      <c r="AC401" s="29"/>
      <c r="AD401" s="29"/>
      <c r="AE401" s="29"/>
      <c r="AJ401"/>
      <c r="AK401"/>
      <c r="AL401"/>
      <c r="AM401"/>
      <c r="AN401"/>
      <c r="AO401"/>
      <c r="AP401"/>
      <c r="AQ401"/>
      <c r="AR401"/>
      <c r="AS401"/>
      <c r="AT401" s="4" t="str">
        <f t="shared" si="48"/>
        <v>日常费用技术服务费</v>
      </c>
      <c r="AU401" s="4" t="str">
        <f t="shared" si="43"/>
        <v>国际发展部</v>
      </c>
      <c r="AV401" s="4" t="str">
        <f t="shared" si="44"/>
        <v>日常费用</v>
      </c>
      <c r="AW401" s="4" t="str">
        <f>IFERROR(VLOOKUP(AV401,[1]字段!A:B,2,0),"")</f>
        <v>日常费用</v>
      </c>
      <c r="AX401" s="30" t="str">
        <f>IF(AW401="人力费用",IF(E401="","",VLOOKUP(E401,[1]字段!D:E,2,0)),AW401)</f>
        <v>日常费用</v>
      </c>
      <c r="AY401" s="30" t="str">
        <f>IF(AT401="","",VLOOKUP(AT401,[1]字段!H:I,2,0))</f>
        <v>日常费用-其他</v>
      </c>
      <c r="AZ401" s="31">
        <f t="shared" si="45"/>
        <v>0</v>
      </c>
      <c r="BA401" s="31">
        <f t="shared" si="46"/>
        <v>0</v>
      </c>
      <c r="BB401" s="31">
        <f t="shared" si="47"/>
        <v>0</v>
      </c>
      <c r="BC401" s="31">
        <f t="shared" si="49"/>
        <v>0</v>
      </c>
    </row>
    <row r="402" spans="1:55" ht="28.5" customHeight="1">
      <c r="A402" s="32"/>
      <c r="B402" s="32"/>
      <c r="C402" s="32"/>
      <c r="D402" s="40"/>
      <c r="E402" s="39" t="s">
        <v>95</v>
      </c>
      <c r="F402" s="39" t="s">
        <v>96</v>
      </c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  <c r="AA402" s="29"/>
      <c r="AB402" s="29"/>
      <c r="AC402" s="29"/>
      <c r="AD402" s="29"/>
      <c r="AE402" s="29"/>
      <c r="AJ402"/>
      <c r="AK402"/>
      <c r="AL402"/>
      <c r="AM402"/>
      <c r="AN402"/>
      <c r="AO402"/>
      <c r="AP402"/>
      <c r="AQ402"/>
      <c r="AR402"/>
      <c r="AS402"/>
      <c r="AT402" s="4" t="str">
        <f t="shared" si="48"/>
        <v>日常费用业务招待费</v>
      </c>
      <c r="AU402" s="4" t="str">
        <f t="shared" si="43"/>
        <v>国际发展部</v>
      </c>
      <c r="AV402" s="4" t="str">
        <f t="shared" si="44"/>
        <v>日常费用</v>
      </c>
      <c r="AW402" s="4" t="str">
        <f>IFERROR(VLOOKUP(AV402,[1]字段!A:B,2,0),"")</f>
        <v>日常费用</v>
      </c>
      <c r="AX402" s="30" t="str">
        <f>IF(AW402="人力费用",IF(E402="","",VLOOKUP(E402,[1]字段!D:E,2,0)),AW402)</f>
        <v>日常费用</v>
      </c>
      <c r="AY402" s="30" t="str">
        <f>IF(AT402="","",VLOOKUP(AT402,[1]字段!H:I,2,0))</f>
        <v>日常费用-其他</v>
      </c>
      <c r="AZ402" s="31">
        <f t="shared" si="45"/>
        <v>0</v>
      </c>
      <c r="BA402" s="31">
        <f t="shared" si="46"/>
        <v>0</v>
      </c>
      <c r="BB402" s="31">
        <f t="shared" si="47"/>
        <v>0</v>
      </c>
      <c r="BC402" s="31">
        <f t="shared" si="49"/>
        <v>0</v>
      </c>
    </row>
    <row r="403" spans="1:55" ht="28.5" customHeight="1">
      <c r="A403" s="41"/>
      <c r="B403" s="41"/>
      <c r="C403" s="41"/>
      <c r="D403" s="42"/>
      <c r="E403" s="39" t="s">
        <v>139</v>
      </c>
      <c r="F403" s="39" t="s">
        <v>140</v>
      </c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  <c r="AA403" s="29"/>
      <c r="AB403" s="29"/>
      <c r="AC403" s="29"/>
      <c r="AD403" s="29"/>
      <c r="AE403" s="29"/>
      <c r="AJ403"/>
      <c r="AK403"/>
      <c r="AL403"/>
      <c r="AM403"/>
      <c r="AN403"/>
      <c r="AO403"/>
      <c r="AP403"/>
      <c r="AQ403"/>
      <c r="AR403"/>
      <c r="AS403"/>
      <c r="AT403" s="4" t="str">
        <f t="shared" si="48"/>
        <v>日常费用差旅费</v>
      </c>
      <c r="AU403" s="4" t="str">
        <f t="shared" si="43"/>
        <v>国际发展部</v>
      </c>
      <c r="AV403" s="4" t="str">
        <f t="shared" si="44"/>
        <v>日常费用</v>
      </c>
      <c r="AW403" s="4" t="str">
        <f>IFERROR(VLOOKUP(AV403,[1]字段!A:B,2,0),"")</f>
        <v>日常费用</v>
      </c>
      <c r="AX403" s="30" t="str">
        <f>IF(AW403="人力费用",IF(E403="","",VLOOKUP(E403,[1]字段!D:E,2,0)),AW403)</f>
        <v>日常费用</v>
      </c>
      <c r="AY403" s="30" t="str">
        <f>IF(AT403="","",VLOOKUP(AT403,[1]字段!H:I,2,0))</f>
        <v>日常费用-其他</v>
      </c>
      <c r="AZ403" s="31">
        <f t="shared" si="45"/>
        <v>0</v>
      </c>
      <c r="BA403" s="31">
        <f t="shared" si="46"/>
        <v>0</v>
      </c>
      <c r="BB403" s="31">
        <f t="shared" si="47"/>
        <v>0</v>
      </c>
      <c r="BC403" s="31">
        <f t="shared" si="49"/>
        <v>0</v>
      </c>
    </row>
    <row r="404" spans="1:55" ht="28.5" customHeight="1">
      <c r="A404" s="25"/>
      <c r="B404" s="26" t="s">
        <v>183</v>
      </c>
      <c r="C404" s="27"/>
      <c r="D404" s="27"/>
      <c r="E404" s="27"/>
      <c r="F404" s="28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  <c r="AA404" s="29"/>
      <c r="AB404" s="29"/>
      <c r="AC404" s="29"/>
      <c r="AD404" s="29"/>
      <c r="AE404" s="29"/>
      <c r="AJ404"/>
      <c r="AK404"/>
      <c r="AL404"/>
      <c r="AM404"/>
      <c r="AN404"/>
      <c r="AO404"/>
      <c r="AP404"/>
      <c r="AQ404"/>
      <c r="AR404"/>
      <c r="AS404"/>
      <c r="AT404" s="4" t="str">
        <f t="shared" si="48"/>
        <v/>
      </c>
      <c r="AU404" s="4" t="str">
        <f t="shared" si="43"/>
        <v>普惠金融部</v>
      </c>
      <c r="AV404" s="4" t="str">
        <f t="shared" si="44"/>
        <v/>
      </c>
      <c r="AW404" s="4" t="str">
        <f>IFERROR(VLOOKUP(AV404,[1]字段!A:B,2,0),"")</f>
        <v/>
      </c>
      <c r="AX404" s="30" t="str">
        <f>IF(AW404="人力费用",IF(E404="","",VLOOKUP(E404,[1]字段!D:E,2,0)),AW404)</f>
        <v/>
      </c>
      <c r="AY404" s="30" t="str">
        <f>IF(AT404="","",VLOOKUP(AT404,[1]字段!H:I,2,0))</f>
        <v/>
      </c>
      <c r="AZ404" s="31">
        <f t="shared" si="45"/>
        <v>0</v>
      </c>
      <c r="BA404" s="31">
        <f t="shared" si="46"/>
        <v>0</v>
      </c>
      <c r="BB404" s="31">
        <f t="shared" si="47"/>
        <v>0</v>
      </c>
      <c r="BC404" s="31">
        <f t="shared" si="49"/>
        <v>0</v>
      </c>
    </row>
    <row r="405" spans="1:55" ht="28.5" customHeight="1">
      <c r="A405" s="32"/>
      <c r="B405" s="32"/>
      <c r="C405" s="33" t="s">
        <v>39</v>
      </c>
      <c r="D405" s="34" t="s">
        <v>40</v>
      </c>
      <c r="E405" s="35"/>
      <c r="F405" s="36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  <c r="AA405" s="29"/>
      <c r="AB405" s="29"/>
      <c r="AC405" s="29"/>
      <c r="AD405" s="29"/>
      <c r="AE405" s="29"/>
      <c r="AJ405"/>
      <c r="AK405"/>
      <c r="AL405"/>
      <c r="AM405"/>
      <c r="AN405"/>
      <c r="AO405"/>
      <c r="AP405"/>
      <c r="AQ405"/>
      <c r="AR405"/>
      <c r="AS405"/>
      <c r="AT405" s="4" t="str">
        <f t="shared" si="48"/>
        <v/>
      </c>
      <c r="AU405" s="4" t="str">
        <f t="shared" si="43"/>
        <v>普惠金融部</v>
      </c>
      <c r="AV405" s="4" t="str">
        <f t="shared" si="44"/>
        <v>人力费用</v>
      </c>
      <c r="AW405" s="4" t="str">
        <f>IFERROR(VLOOKUP(AV405,[1]字段!A:B,2,0),"")</f>
        <v>人力费用</v>
      </c>
      <c r="AX405" s="30" t="str">
        <f>IF(AW405="人力费用",IF(E405="","",VLOOKUP(E405,[1]字段!D:E,2,0)),AW405)</f>
        <v/>
      </c>
      <c r="AY405" s="30" t="str">
        <f>IF(AT405="","",VLOOKUP(AT405,[1]字段!H:I,2,0))</f>
        <v/>
      </c>
      <c r="AZ405" s="31">
        <f t="shared" si="45"/>
        <v>0</v>
      </c>
      <c r="BA405" s="31">
        <f t="shared" si="46"/>
        <v>0</v>
      </c>
      <c r="BB405" s="31">
        <f t="shared" si="47"/>
        <v>0</v>
      </c>
      <c r="BC405" s="31">
        <f t="shared" si="49"/>
        <v>0</v>
      </c>
    </row>
    <row r="406" spans="1:55" ht="28.5" customHeight="1">
      <c r="A406" s="32"/>
      <c r="B406" s="32"/>
      <c r="C406" s="37"/>
      <c r="D406" s="38"/>
      <c r="E406" s="39" t="s">
        <v>41</v>
      </c>
      <c r="F406" s="39" t="s">
        <v>42</v>
      </c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  <c r="AA406" s="29"/>
      <c r="AB406" s="29"/>
      <c r="AC406" s="29"/>
      <c r="AD406" s="29"/>
      <c r="AE406" s="29"/>
      <c r="AJ406"/>
      <c r="AK406"/>
      <c r="AL406"/>
      <c r="AM406"/>
      <c r="AN406"/>
      <c r="AO406"/>
      <c r="AP406"/>
      <c r="AQ406"/>
      <c r="AR406"/>
      <c r="AS406"/>
      <c r="AT406" s="4" t="str">
        <f t="shared" si="48"/>
        <v>1.0倍人力基础工资</v>
      </c>
      <c r="AU406" s="4" t="str">
        <f t="shared" si="43"/>
        <v>普惠金融部</v>
      </c>
      <c r="AV406" s="4" t="str">
        <f t="shared" si="44"/>
        <v>人力费用</v>
      </c>
      <c r="AW406" s="4" t="str">
        <f>IFERROR(VLOOKUP(AV406,[1]字段!A:B,2,0),"")</f>
        <v>人力费用</v>
      </c>
      <c r="AX406" s="30" t="str">
        <f>IF(AW406="人力费用",IF(E406="","",VLOOKUP(E406,[1]字段!D:E,2,0)),AW406)</f>
        <v>1.0倍人力</v>
      </c>
      <c r="AY406" s="30" t="str">
        <f>IF(AT406="","",VLOOKUP(AT406,[1]字段!H:I,2,0))</f>
        <v>1.0倍人力</v>
      </c>
      <c r="AZ406" s="31">
        <f t="shared" si="45"/>
        <v>0</v>
      </c>
      <c r="BA406" s="31">
        <f t="shared" si="46"/>
        <v>0</v>
      </c>
      <c r="BB406" s="31">
        <f t="shared" si="47"/>
        <v>0</v>
      </c>
      <c r="BC406" s="31">
        <f t="shared" si="49"/>
        <v>0</v>
      </c>
    </row>
    <row r="407" spans="1:55" ht="28.5" customHeight="1">
      <c r="A407" s="32"/>
      <c r="B407" s="32"/>
      <c r="C407" s="32"/>
      <c r="D407" s="40"/>
      <c r="E407" s="39">
        <v>5501010602</v>
      </c>
      <c r="F407" s="3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  <c r="AA407" s="29"/>
      <c r="AB407" s="29"/>
      <c r="AC407" s="29"/>
      <c r="AD407" s="29"/>
      <c r="AE407" s="29"/>
      <c r="AJ407"/>
      <c r="AK407"/>
      <c r="AL407"/>
      <c r="AM407"/>
      <c r="AN407"/>
      <c r="AO407"/>
      <c r="AP407"/>
      <c r="AQ407"/>
      <c r="AR407"/>
      <c r="AS407"/>
      <c r="AT407" s="4" t="str">
        <f t="shared" si="48"/>
        <v>利润分享</v>
      </c>
      <c r="AU407" s="4" t="str">
        <f t="shared" si="43"/>
        <v>普惠金融部</v>
      </c>
      <c r="AV407" s="4" t="str">
        <f t="shared" si="44"/>
        <v>人力费用</v>
      </c>
      <c r="AW407" s="4" t="str">
        <f>IFERROR(VLOOKUP(AV407,[1]字段!A:B,2,0),"")</f>
        <v>人力费用</v>
      </c>
      <c r="AX407" s="30" t="str">
        <f>IF(AW407="人力费用",IF(E407="","",VLOOKUP(E407,[1]字段!D:E,2,0)),AW407)</f>
        <v>利润分享</v>
      </c>
      <c r="AY407" s="30" t="str">
        <f>IF(AT407="","",VLOOKUP(AT407,[1]字段!H:I,2,0))</f>
        <v>利润分享</v>
      </c>
      <c r="AZ407" s="31">
        <f t="shared" si="45"/>
        <v>0</v>
      </c>
      <c r="BA407" s="31">
        <f t="shared" si="46"/>
        <v>0</v>
      </c>
      <c r="BB407" s="31">
        <f t="shared" si="47"/>
        <v>0</v>
      </c>
      <c r="BC407" s="31">
        <f t="shared" si="49"/>
        <v>0</v>
      </c>
    </row>
    <row r="408" spans="1:55" ht="28.5" customHeight="1">
      <c r="A408" s="32"/>
      <c r="B408" s="32"/>
      <c r="C408" s="32"/>
      <c r="D408" s="40"/>
      <c r="E408" s="39">
        <v>5501010603</v>
      </c>
      <c r="F408" s="3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  <c r="AA408" s="29"/>
      <c r="AB408" s="29"/>
      <c r="AC408" s="29"/>
      <c r="AD408" s="29"/>
      <c r="AE408" s="29"/>
      <c r="AJ408"/>
      <c r="AK408"/>
      <c r="AL408"/>
      <c r="AM408"/>
      <c r="AN408"/>
      <c r="AO408"/>
      <c r="AP408"/>
      <c r="AQ408"/>
      <c r="AR408"/>
      <c r="AS408"/>
      <c r="AT408" s="4" t="str">
        <f t="shared" si="48"/>
        <v>留任奖励</v>
      </c>
      <c r="AU408" s="4" t="str">
        <f t="shared" si="43"/>
        <v>普惠金融部</v>
      </c>
      <c r="AV408" s="4" t="str">
        <f t="shared" si="44"/>
        <v>人力费用</v>
      </c>
      <c r="AW408" s="4" t="str">
        <f>IFERROR(VLOOKUP(AV408,[1]字段!A:B,2,0),"")</f>
        <v>人力费用</v>
      </c>
      <c r="AX408" s="30" t="str">
        <f>IF(AW408="人力费用",IF(E408="","",VLOOKUP(E408,[1]字段!D:E,2,0)),AW408)</f>
        <v>留任奖励</v>
      </c>
      <c r="AY408" s="30" t="str">
        <f>IF(AT408="","",VLOOKUP(AT408,[1]字段!H:I,2,0))</f>
        <v>留任奖励</v>
      </c>
      <c r="AZ408" s="31">
        <f t="shared" si="45"/>
        <v>0</v>
      </c>
      <c r="BA408" s="31">
        <f t="shared" si="46"/>
        <v>0</v>
      </c>
      <c r="BB408" s="31">
        <f t="shared" si="47"/>
        <v>0</v>
      </c>
      <c r="BC408" s="31">
        <f t="shared" si="49"/>
        <v>0</v>
      </c>
    </row>
    <row r="409" spans="1:55" ht="28.5" customHeight="1">
      <c r="A409" s="32"/>
      <c r="B409" s="32"/>
      <c r="C409" s="32"/>
      <c r="D409" s="40"/>
      <c r="E409" s="39">
        <v>5501010604</v>
      </c>
      <c r="F409" s="3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  <c r="AA409" s="29"/>
      <c r="AB409" s="29"/>
      <c r="AC409" s="29"/>
      <c r="AD409" s="29"/>
      <c r="AE409" s="29"/>
      <c r="AJ409"/>
      <c r="AK409"/>
      <c r="AL409"/>
      <c r="AM409"/>
      <c r="AN409"/>
      <c r="AO409"/>
      <c r="AP409"/>
      <c r="AQ409"/>
      <c r="AR409"/>
      <c r="AS409"/>
      <c r="AT409" s="4" t="str">
        <f t="shared" si="48"/>
        <v>1.0倍人力</v>
      </c>
      <c r="AU409" s="4" t="str">
        <f t="shared" si="43"/>
        <v>普惠金融部</v>
      </c>
      <c r="AV409" s="4" t="str">
        <f t="shared" si="44"/>
        <v>人力费用</v>
      </c>
      <c r="AW409" s="4" t="str">
        <f>IFERROR(VLOOKUP(AV409,[1]字段!A:B,2,0),"")</f>
        <v>人力费用</v>
      </c>
      <c r="AX409" s="30" t="str">
        <f>IF(AW409="人力费用",IF(E409="","",VLOOKUP(E409,[1]字段!D:E,2,0)),AW409)</f>
        <v>1.0倍人力</v>
      </c>
      <c r="AY409" s="30" t="str">
        <f>IF(AT409="","",VLOOKUP(AT409,[1]字段!H:I,2,0))</f>
        <v>1.0倍人力</v>
      </c>
      <c r="AZ409" s="31">
        <f t="shared" si="45"/>
        <v>0</v>
      </c>
      <c r="BA409" s="31">
        <f t="shared" si="46"/>
        <v>0</v>
      </c>
      <c r="BB409" s="31">
        <f t="shared" si="47"/>
        <v>0</v>
      </c>
      <c r="BC409" s="31">
        <f t="shared" si="49"/>
        <v>0</v>
      </c>
    </row>
    <row r="410" spans="1:55" ht="28.5" customHeight="1">
      <c r="A410" s="32"/>
      <c r="B410" s="32"/>
      <c r="C410" s="32"/>
      <c r="D410" s="40"/>
      <c r="E410" s="39" t="s">
        <v>43</v>
      </c>
      <c r="F410" s="39" t="s">
        <v>44</v>
      </c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  <c r="AA410" s="29"/>
      <c r="AB410" s="29"/>
      <c r="AC410" s="29"/>
      <c r="AD410" s="29"/>
      <c r="AE410" s="29"/>
      <c r="AJ410"/>
      <c r="AK410"/>
      <c r="AL410"/>
      <c r="AM410"/>
      <c r="AN410"/>
      <c r="AO410"/>
      <c r="AP410"/>
      <c r="AQ410"/>
      <c r="AR410"/>
      <c r="AS410"/>
      <c r="AT410" s="4" t="str">
        <f t="shared" si="48"/>
        <v>1.0倍人力团队建设费</v>
      </c>
      <c r="AU410" s="4" t="str">
        <f t="shared" si="43"/>
        <v>普惠金融部</v>
      </c>
      <c r="AV410" s="4" t="str">
        <f t="shared" si="44"/>
        <v>人力费用</v>
      </c>
      <c r="AW410" s="4" t="str">
        <f>IFERROR(VLOOKUP(AV410,[1]字段!A:B,2,0),"")</f>
        <v>人力费用</v>
      </c>
      <c r="AX410" s="30" t="str">
        <f>IF(AW410="人力费用",IF(E410="","",VLOOKUP(E410,[1]字段!D:E,2,0)),AW410)</f>
        <v>1.0倍人力</v>
      </c>
      <c r="AY410" s="30" t="str">
        <f>IF(AT410="","",VLOOKUP(AT410,[1]字段!H:I,2,0))</f>
        <v>1.0倍人力</v>
      </c>
      <c r="AZ410" s="31">
        <f t="shared" si="45"/>
        <v>0</v>
      </c>
      <c r="BA410" s="31">
        <f t="shared" si="46"/>
        <v>0</v>
      </c>
      <c r="BB410" s="31">
        <f t="shared" si="47"/>
        <v>0</v>
      </c>
      <c r="BC410" s="31">
        <f t="shared" si="49"/>
        <v>0</v>
      </c>
    </row>
    <row r="411" spans="1:55" ht="28.5" customHeight="1">
      <c r="A411" s="32"/>
      <c r="B411" s="32"/>
      <c r="C411" s="32"/>
      <c r="D411" s="40"/>
      <c r="E411" s="39" t="s">
        <v>45</v>
      </c>
      <c r="F411" s="39" t="s">
        <v>46</v>
      </c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  <c r="AA411" s="29"/>
      <c r="AB411" s="29"/>
      <c r="AC411" s="29"/>
      <c r="AD411" s="29"/>
      <c r="AE411" s="29"/>
      <c r="AJ411"/>
      <c r="AK411"/>
      <c r="AL411"/>
      <c r="AM411"/>
      <c r="AN411"/>
      <c r="AO411"/>
      <c r="AP411"/>
      <c r="AQ411"/>
      <c r="AR411"/>
      <c r="AS411"/>
      <c r="AT411" s="4" t="str">
        <f t="shared" si="48"/>
        <v>1.0倍人力其他职工福利费</v>
      </c>
      <c r="AU411" s="4" t="str">
        <f t="shared" si="43"/>
        <v>普惠金融部</v>
      </c>
      <c r="AV411" s="4" t="str">
        <f t="shared" si="44"/>
        <v>人力费用</v>
      </c>
      <c r="AW411" s="4" t="str">
        <f>IFERROR(VLOOKUP(AV411,[1]字段!A:B,2,0),"")</f>
        <v>人力费用</v>
      </c>
      <c r="AX411" s="30" t="str">
        <f>IF(AW411="人力费用",IF(E411="","",VLOOKUP(E411,[1]字段!D:E,2,0)),AW411)</f>
        <v>1.0倍人力</v>
      </c>
      <c r="AY411" s="30" t="str">
        <f>IF(AT411="","",VLOOKUP(AT411,[1]字段!H:I,2,0))</f>
        <v>1.0倍人力</v>
      </c>
      <c r="AZ411" s="31">
        <f t="shared" si="45"/>
        <v>0</v>
      </c>
      <c r="BA411" s="31">
        <f t="shared" si="46"/>
        <v>0</v>
      </c>
      <c r="BB411" s="31">
        <f t="shared" si="47"/>
        <v>0</v>
      </c>
      <c r="BC411" s="31">
        <f t="shared" si="49"/>
        <v>0</v>
      </c>
    </row>
    <row r="412" spans="1:55" ht="28.5" customHeight="1">
      <c r="A412" s="32"/>
      <c r="B412" s="32"/>
      <c r="C412" s="32"/>
      <c r="D412" s="40"/>
      <c r="E412" s="39" t="s">
        <v>47</v>
      </c>
      <c r="F412" s="39" t="s">
        <v>48</v>
      </c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  <c r="AA412" s="29"/>
      <c r="AB412" s="29"/>
      <c r="AC412" s="29"/>
      <c r="AD412" s="29"/>
      <c r="AE412" s="29"/>
      <c r="AJ412"/>
      <c r="AK412"/>
      <c r="AL412"/>
      <c r="AM412"/>
      <c r="AN412"/>
      <c r="AO412"/>
      <c r="AP412"/>
      <c r="AQ412"/>
      <c r="AR412"/>
      <c r="AS412"/>
      <c r="AT412" s="4" t="str">
        <f t="shared" si="48"/>
        <v>1.0倍人力工会经费</v>
      </c>
      <c r="AU412" s="4" t="str">
        <f t="shared" si="43"/>
        <v>普惠金融部</v>
      </c>
      <c r="AV412" s="4" t="str">
        <f t="shared" si="44"/>
        <v>人力费用</v>
      </c>
      <c r="AW412" s="4" t="str">
        <f>IFERROR(VLOOKUP(AV412,[1]字段!A:B,2,0),"")</f>
        <v>人力费用</v>
      </c>
      <c r="AX412" s="30" t="str">
        <f>IF(AW412="人力费用",IF(E412="","",VLOOKUP(E412,[1]字段!D:E,2,0)),AW412)</f>
        <v>1.0倍人力</v>
      </c>
      <c r="AY412" s="30" t="str">
        <f>IF(AT412="","",VLOOKUP(AT412,[1]字段!H:I,2,0))</f>
        <v>1.0倍人力</v>
      </c>
      <c r="AZ412" s="31">
        <f t="shared" si="45"/>
        <v>0</v>
      </c>
      <c r="BA412" s="31">
        <f t="shared" si="46"/>
        <v>0</v>
      </c>
      <c r="BB412" s="31">
        <f t="shared" si="47"/>
        <v>0</v>
      </c>
      <c r="BC412" s="31">
        <f t="shared" si="49"/>
        <v>0</v>
      </c>
    </row>
    <row r="413" spans="1:55" ht="28.5" customHeight="1">
      <c r="A413" s="32"/>
      <c r="B413" s="32"/>
      <c r="C413" s="32"/>
      <c r="D413" s="40"/>
      <c r="E413" s="39" t="s">
        <v>49</v>
      </c>
      <c r="F413" s="39" t="s">
        <v>50</v>
      </c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  <c r="AA413" s="29"/>
      <c r="AB413" s="29"/>
      <c r="AC413" s="29"/>
      <c r="AD413" s="29"/>
      <c r="AE413" s="29"/>
      <c r="AJ413"/>
      <c r="AK413"/>
      <c r="AL413"/>
      <c r="AM413"/>
      <c r="AN413"/>
      <c r="AO413"/>
      <c r="AP413"/>
      <c r="AQ413"/>
      <c r="AR413"/>
      <c r="AS413"/>
      <c r="AT413" s="4" t="str">
        <f t="shared" si="48"/>
        <v>1.0倍人力基本养老保险</v>
      </c>
      <c r="AU413" s="4" t="str">
        <f t="shared" si="43"/>
        <v>普惠金融部</v>
      </c>
      <c r="AV413" s="4" t="str">
        <f t="shared" si="44"/>
        <v>人力费用</v>
      </c>
      <c r="AW413" s="4" t="str">
        <f>IFERROR(VLOOKUP(AV413,[1]字段!A:B,2,0),"")</f>
        <v>人力费用</v>
      </c>
      <c r="AX413" s="30" t="str">
        <f>IF(AW413="人力费用",IF(E413="","",VLOOKUP(E413,[1]字段!D:E,2,0)),AW413)</f>
        <v>1.0倍人力</v>
      </c>
      <c r="AY413" s="30" t="str">
        <f>IF(AT413="","",VLOOKUP(AT413,[1]字段!H:I,2,0))</f>
        <v>1.0倍人力</v>
      </c>
      <c r="AZ413" s="31">
        <f t="shared" si="45"/>
        <v>0</v>
      </c>
      <c r="BA413" s="31">
        <f t="shared" si="46"/>
        <v>0</v>
      </c>
      <c r="BB413" s="31">
        <f t="shared" si="47"/>
        <v>0</v>
      </c>
      <c r="BC413" s="31">
        <f t="shared" si="49"/>
        <v>0</v>
      </c>
    </row>
    <row r="414" spans="1:55" ht="28.5" customHeight="1">
      <c r="A414" s="32"/>
      <c r="B414" s="32"/>
      <c r="C414" s="32"/>
      <c r="D414" s="40"/>
      <c r="E414" s="39" t="s">
        <v>51</v>
      </c>
      <c r="F414" s="39" t="s">
        <v>52</v>
      </c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  <c r="AA414" s="29"/>
      <c r="AB414" s="29"/>
      <c r="AC414" s="29"/>
      <c r="AD414" s="29"/>
      <c r="AE414" s="29"/>
      <c r="AJ414"/>
      <c r="AK414"/>
      <c r="AL414"/>
      <c r="AM414"/>
      <c r="AN414"/>
      <c r="AO414"/>
      <c r="AP414"/>
      <c r="AQ414"/>
      <c r="AR414"/>
      <c r="AS414"/>
      <c r="AT414" s="4" t="str">
        <f t="shared" si="48"/>
        <v>1.0倍人力基本医疗保险</v>
      </c>
      <c r="AU414" s="4" t="str">
        <f t="shared" si="43"/>
        <v>普惠金融部</v>
      </c>
      <c r="AV414" s="4" t="str">
        <f t="shared" si="44"/>
        <v>人力费用</v>
      </c>
      <c r="AW414" s="4" t="str">
        <f>IFERROR(VLOOKUP(AV414,[1]字段!A:B,2,0),"")</f>
        <v>人力费用</v>
      </c>
      <c r="AX414" s="30" t="str">
        <f>IF(AW414="人力费用",IF(E414="","",VLOOKUP(E414,[1]字段!D:E,2,0)),AW414)</f>
        <v>1.0倍人力</v>
      </c>
      <c r="AY414" s="30" t="str">
        <f>IF(AT414="","",VLOOKUP(AT414,[1]字段!H:I,2,0))</f>
        <v>1.0倍人力</v>
      </c>
      <c r="AZ414" s="31">
        <f t="shared" si="45"/>
        <v>0</v>
      </c>
      <c r="BA414" s="31">
        <f t="shared" si="46"/>
        <v>0</v>
      </c>
      <c r="BB414" s="31">
        <f t="shared" si="47"/>
        <v>0</v>
      </c>
      <c r="BC414" s="31">
        <f t="shared" si="49"/>
        <v>0</v>
      </c>
    </row>
    <row r="415" spans="1:55" ht="28.5" customHeight="1">
      <c r="A415" s="32"/>
      <c r="B415" s="32"/>
      <c r="C415" s="32"/>
      <c r="D415" s="40"/>
      <c r="E415" s="39" t="s">
        <v>53</v>
      </c>
      <c r="F415" s="39" t="s">
        <v>54</v>
      </c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  <c r="AA415" s="29"/>
      <c r="AB415" s="29"/>
      <c r="AC415" s="29"/>
      <c r="AD415" s="29"/>
      <c r="AE415" s="29"/>
      <c r="AJ415"/>
      <c r="AK415"/>
      <c r="AL415"/>
      <c r="AM415"/>
      <c r="AN415"/>
      <c r="AO415"/>
      <c r="AP415"/>
      <c r="AQ415"/>
      <c r="AR415"/>
      <c r="AS415"/>
      <c r="AT415" s="4" t="str">
        <f t="shared" si="48"/>
        <v>1.0倍人力工伤保险</v>
      </c>
      <c r="AU415" s="4" t="str">
        <f t="shared" si="43"/>
        <v>普惠金融部</v>
      </c>
      <c r="AV415" s="4" t="str">
        <f t="shared" si="44"/>
        <v>人力费用</v>
      </c>
      <c r="AW415" s="4" t="str">
        <f>IFERROR(VLOOKUP(AV415,[1]字段!A:B,2,0),"")</f>
        <v>人力费用</v>
      </c>
      <c r="AX415" s="30" t="str">
        <f>IF(AW415="人力费用",IF(E415="","",VLOOKUP(E415,[1]字段!D:E,2,0)),AW415)</f>
        <v>1.0倍人力</v>
      </c>
      <c r="AY415" s="30" t="str">
        <f>IF(AT415="","",VLOOKUP(AT415,[1]字段!H:I,2,0))</f>
        <v>1.0倍人力</v>
      </c>
      <c r="AZ415" s="31">
        <f t="shared" si="45"/>
        <v>0</v>
      </c>
      <c r="BA415" s="31">
        <f t="shared" si="46"/>
        <v>0</v>
      </c>
      <c r="BB415" s="31">
        <f t="shared" si="47"/>
        <v>0</v>
      </c>
      <c r="BC415" s="31">
        <f t="shared" si="49"/>
        <v>0</v>
      </c>
    </row>
    <row r="416" spans="1:55" ht="28.5" customHeight="1">
      <c r="A416" s="32"/>
      <c r="B416" s="32"/>
      <c r="C416" s="32"/>
      <c r="D416" s="40"/>
      <c r="E416" s="39" t="s">
        <v>55</v>
      </c>
      <c r="F416" s="39" t="s">
        <v>56</v>
      </c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  <c r="AA416" s="29"/>
      <c r="AB416" s="29"/>
      <c r="AC416" s="29"/>
      <c r="AD416" s="29"/>
      <c r="AE416" s="29"/>
      <c r="AJ416"/>
      <c r="AK416"/>
      <c r="AL416"/>
      <c r="AM416"/>
      <c r="AN416"/>
      <c r="AO416"/>
      <c r="AP416"/>
      <c r="AQ416"/>
      <c r="AR416"/>
      <c r="AS416"/>
      <c r="AT416" s="4" t="str">
        <f t="shared" si="48"/>
        <v>1.0倍人力生育保险</v>
      </c>
      <c r="AU416" s="4" t="str">
        <f t="shared" si="43"/>
        <v>普惠金融部</v>
      </c>
      <c r="AV416" s="4" t="str">
        <f t="shared" si="44"/>
        <v>人力费用</v>
      </c>
      <c r="AW416" s="4" t="str">
        <f>IFERROR(VLOOKUP(AV416,[1]字段!A:B,2,0),"")</f>
        <v>人力费用</v>
      </c>
      <c r="AX416" s="30" t="str">
        <f>IF(AW416="人力费用",IF(E416="","",VLOOKUP(E416,[1]字段!D:E,2,0)),AW416)</f>
        <v>1.0倍人力</v>
      </c>
      <c r="AY416" s="30" t="str">
        <f>IF(AT416="","",VLOOKUP(AT416,[1]字段!H:I,2,0))</f>
        <v>1.0倍人力</v>
      </c>
      <c r="AZ416" s="31">
        <f t="shared" si="45"/>
        <v>0</v>
      </c>
      <c r="BA416" s="31">
        <f t="shared" si="46"/>
        <v>0</v>
      </c>
      <c r="BB416" s="31">
        <f t="shared" si="47"/>
        <v>0</v>
      </c>
      <c r="BC416" s="31">
        <f t="shared" si="49"/>
        <v>0</v>
      </c>
    </row>
    <row r="417" spans="1:55" ht="28.5" customHeight="1">
      <c r="A417" s="32"/>
      <c r="B417" s="32"/>
      <c r="C417" s="32"/>
      <c r="D417" s="40"/>
      <c r="E417" s="39" t="s">
        <v>57</v>
      </c>
      <c r="F417" s="39" t="s">
        <v>58</v>
      </c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  <c r="AA417" s="29"/>
      <c r="AB417" s="29"/>
      <c r="AC417" s="29"/>
      <c r="AD417" s="29"/>
      <c r="AE417" s="29"/>
      <c r="AJ417"/>
      <c r="AK417"/>
      <c r="AL417"/>
      <c r="AM417"/>
      <c r="AN417"/>
      <c r="AO417"/>
      <c r="AP417"/>
      <c r="AQ417"/>
      <c r="AR417"/>
      <c r="AS417"/>
      <c r="AT417" s="4" t="str">
        <f t="shared" si="48"/>
        <v>1.0倍人力失业保险</v>
      </c>
      <c r="AU417" s="4" t="str">
        <f t="shared" si="43"/>
        <v>普惠金融部</v>
      </c>
      <c r="AV417" s="4" t="str">
        <f t="shared" si="44"/>
        <v>人力费用</v>
      </c>
      <c r="AW417" s="4" t="str">
        <f>IFERROR(VLOOKUP(AV417,[1]字段!A:B,2,0),"")</f>
        <v>人力费用</v>
      </c>
      <c r="AX417" s="30" t="str">
        <f>IF(AW417="人力费用",IF(E417="","",VLOOKUP(E417,[1]字段!D:E,2,0)),AW417)</f>
        <v>1.0倍人力</v>
      </c>
      <c r="AY417" s="30" t="str">
        <f>IF(AT417="","",VLOOKUP(AT417,[1]字段!H:I,2,0))</f>
        <v>1.0倍人力</v>
      </c>
      <c r="AZ417" s="31">
        <f t="shared" si="45"/>
        <v>0</v>
      </c>
      <c r="BA417" s="31">
        <f t="shared" si="46"/>
        <v>0</v>
      </c>
      <c r="BB417" s="31">
        <f t="shared" si="47"/>
        <v>0</v>
      </c>
      <c r="BC417" s="31">
        <f t="shared" si="49"/>
        <v>0</v>
      </c>
    </row>
    <row r="418" spans="1:55" ht="28.5" customHeight="1">
      <c r="A418" s="32"/>
      <c r="B418" s="32"/>
      <c r="C418" s="32"/>
      <c r="D418" s="40"/>
      <c r="E418" s="39" t="s">
        <v>59</v>
      </c>
      <c r="F418" s="39" t="s">
        <v>60</v>
      </c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  <c r="AA418" s="29"/>
      <c r="AB418" s="29"/>
      <c r="AC418" s="29"/>
      <c r="AD418" s="29"/>
      <c r="AE418" s="29"/>
      <c r="AJ418"/>
      <c r="AK418"/>
      <c r="AL418"/>
      <c r="AM418"/>
      <c r="AN418"/>
      <c r="AO418"/>
      <c r="AP418"/>
      <c r="AQ418"/>
      <c r="AR418"/>
      <c r="AS418"/>
      <c r="AT418" s="4" t="str">
        <f t="shared" si="48"/>
        <v>1.0倍人力住房公积金</v>
      </c>
      <c r="AU418" s="4" t="str">
        <f t="shared" si="43"/>
        <v>普惠金融部</v>
      </c>
      <c r="AV418" s="4" t="str">
        <f t="shared" si="44"/>
        <v>人力费用</v>
      </c>
      <c r="AW418" s="4" t="str">
        <f>IFERROR(VLOOKUP(AV418,[1]字段!A:B,2,0),"")</f>
        <v>人力费用</v>
      </c>
      <c r="AX418" s="30" t="str">
        <f>IF(AW418="人力费用",IF(E418="","",VLOOKUP(E418,[1]字段!D:E,2,0)),AW418)</f>
        <v>1.0倍人力</v>
      </c>
      <c r="AY418" s="30" t="str">
        <f>IF(AT418="","",VLOOKUP(AT418,[1]字段!H:I,2,0))</f>
        <v>1.0倍人力</v>
      </c>
      <c r="AZ418" s="31">
        <f t="shared" si="45"/>
        <v>0</v>
      </c>
      <c r="BA418" s="31">
        <f t="shared" si="46"/>
        <v>0</v>
      </c>
      <c r="BB418" s="31">
        <f t="shared" si="47"/>
        <v>0</v>
      </c>
      <c r="BC418" s="31">
        <f t="shared" si="49"/>
        <v>0</v>
      </c>
    </row>
    <row r="419" spans="1:55" ht="28.5" customHeight="1">
      <c r="A419" s="32"/>
      <c r="B419" s="32"/>
      <c r="C419" s="41"/>
      <c r="D419" s="42"/>
      <c r="E419" s="39" t="s">
        <v>100</v>
      </c>
      <c r="F419" s="39" t="s">
        <v>101</v>
      </c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  <c r="AA419" s="29"/>
      <c r="AB419" s="29"/>
      <c r="AC419" s="29"/>
      <c r="AD419" s="29"/>
      <c r="AE419" s="29"/>
      <c r="AJ419"/>
      <c r="AK419"/>
      <c r="AL419"/>
      <c r="AM419"/>
      <c r="AN419"/>
      <c r="AO419"/>
      <c r="AP419"/>
      <c r="AQ419"/>
      <c r="AR419"/>
      <c r="AS419"/>
      <c r="AT419" s="4" t="str">
        <f t="shared" si="48"/>
        <v>劳务支出劳务支出</v>
      </c>
      <c r="AU419" s="4" t="str">
        <f t="shared" si="43"/>
        <v>普惠金融部</v>
      </c>
      <c r="AV419" s="4" t="str">
        <f t="shared" si="44"/>
        <v>人力费用</v>
      </c>
      <c r="AW419" s="4" t="str">
        <f>IFERROR(VLOOKUP(AV419,[1]字段!A:B,2,0),"")</f>
        <v>人力费用</v>
      </c>
      <c r="AX419" s="30" t="str">
        <f>IF(AW419="人力费用",IF(E419="","",VLOOKUP(E419,[1]字段!D:E,2,0)),AW419)</f>
        <v>劳务支出</v>
      </c>
      <c r="AY419" s="30" t="str">
        <f>IF(AT419="","",VLOOKUP(AT419,[1]字段!H:I,2,0))</f>
        <v>劳务支出</v>
      </c>
      <c r="AZ419" s="31">
        <f t="shared" si="45"/>
        <v>0</v>
      </c>
      <c r="BA419" s="31">
        <f t="shared" si="46"/>
        <v>0</v>
      </c>
      <c r="BB419" s="31">
        <f t="shared" si="47"/>
        <v>0</v>
      </c>
      <c r="BC419" s="31">
        <f t="shared" si="49"/>
        <v>0</v>
      </c>
    </row>
    <row r="420" spans="1:55" ht="28.5" customHeight="1">
      <c r="C420" s="33" t="s">
        <v>107</v>
      </c>
      <c r="D420" s="34" t="s">
        <v>108</v>
      </c>
      <c r="E420" s="35"/>
      <c r="F420" s="36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  <c r="AA420" s="29"/>
      <c r="AB420" s="29"/>
      <c r="AC420" s="29"/>
      <c r="AD420" s="29"/>
      <c r="AE420" s="29"/>
      <c r="AJ420"/>
      <c r="AK420"/>
      <c r="AL420"/>
      <c r="AM420"/>
      <c r="AN420"/>
      <c r="AO420"/>
      <c r="AP420"/>
      <c r="AQ420"/>
      <c r="AR420"/>
      <c r="AS420"/>
      <c r="AT420" s="4" t="str">
        <f t="shared" si="48"/>
        <v>营销费用</v>
      </c>
      <c r="AU420" s="4" t="str">
        <f t="shared" si="43"/>
        <v>普惠金融部</v>
      </c>
      <c r="AV420" s="4" t="str">
        <f t="shared" si="44"/>
        <v>营销费用</v>
      </c>
      <c r="AW420" s="4" t="str">
        <f>IFERROR(VLOOKUP(AV420,[1]字段!A:B,2,0),"")</f>
        <v>营销费用</v>
      </c>
      <c r="AX420" s="30" t="str">
        <f>IF(AW420="人力费用",IF(E420="","",VLOOKUP(E420,[1]字段!D:E,2,0)),AW420)</f>
        <v>营销费用</v>
      </c>
      <c r="AY420" s="30">
        <f>IF(AT420="","",VLOOKUP(AT420,[1]字段!H:I,2,0))</f>
        <v>0</v>
      </c>
      <c r="AZ420" s="31">
        <f t="shared" si="45"/>
        <v>0</v>
      </c>
      <c r="BA420" s="31">
        <f t="shared" si="46"/>
        <v>0</v>
      </c>
      <c r="BB420" s="31">
        <f t="shared" si="47"/>
        <v>0</v>
      </c>
      <c r="BC420" s="31">
        <f t="shared" si="49"/>
        <v>0</v>
      </c>
    </row>
    <row r="421" spans="1:55" ht="28.5" customHeight="1">
      <c r="A421" s="32"/>
      <c r="B421" s="32"/>
      <c r="C421" s="37"/>
      <c r="D421" s="38"/>
      <c r="E421" s="39" t="s">
        <v>109</v>
      </c>
      <c r="F421" s="39" t="s">
        <v>110</v>
      </c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  <c r="AA421" s="29"/>
      <c r="AB421" s="29"/>
      <c r="AC421" s="29"/>
      <c r="AD421" s="29"/>
      <c r="AE421" s="29"/>
      <c r="AJ421"/>
      <c r="AK421"/>
      <c r="AL421"/>
      <c r="AM421"/>
      <c r="AN421"/>
      <c r="AO421"/>
      <c r="AP421"/>
      <c r="AQ421"/>
      <c r="AR421"/>
      <c r="AS421"/>
      <c r="AT421" s="4" t="str">
        <f t="shared" si="48"/>
        <v>营销费用广告费</v>
      </c>
      <c r="AU421" s="4" t="str">
        <f t="shared" si="43"/>
        <v>普惠金融部</v>
      </c>
      <c r="AV421" s="4" t="str">
        <f t="shared" si="44"/>
        <v>营销费用</v>
      </c>
      <c r="AW421" s="4" t="str">
        <f>IFERROR(VLOOKUP(AV421,[1]字段!A:B,2,0),"")</f>
        <v>营销费用</v>
      </c>
      <c r="AX421" s="30" t="str">
        <f>IF(AW421="人力费用",IF(E421="","",VLOOKUP(E421,[1]字段!D:E,2,0)),AW421)</f>
        <v>营销费用</v>
      </c>
      <c r="AY421" s="30" t="str">
        <f>IF(AT421="","",VLOOKUP(AT421,[1]字段!H:I,2,0))</f>
        <v>营销费用</v>
      </c>
      <c r="AZ421" s="31">
        <f t="shared" si="45"/>
        <v>0</v>
      </c>
      <c r="BA421" s="31">
        <f t="shared" si="46"/>
        <v>0</v>
      </c>
      <c r="BB421" s="31">
        <f t="shared" si="47"/>
        <v>0</v>
      </c>
      <c r="BC421" s="31">
        <f t="shared" si="49"/>
        <v>0</v>
      </c>
    </row>
    <row r="422" spans="1:55" ht="28.5" customHeight="1">
      <c r="A422" s="32"/>
      <c r="B422" s="32"/>
      <c r="C422" s="32"/>
      <c r="D422" s="40"/>
      <c r="E422" s="39" t="s">
        <v>91</v>
      </c>
      <c r="F422" s="39" t="s">
        <v>92</v>
      </c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  <c r="AA422" s="29"/>
      <c r="AB422" s="29"/>
      <c r="AC422" s="29"/>
      <c r="AD422" s="29"/>
      <c r="AE422" s="29"/>
      <c r="AJ422"/>
      <c r="AK422"/>
      <c r="AL422"/>
      <c r="AM422"/>
      <c r="AN422"/>
      <c r="AO422"/>
      <c r="AP422"/>
      <c r="AQ422"/>
      <c r="AR422"/>
      <c r="AS422"/>
      <c r="AT422" s="4" t="str">
        <f t="shared" si="48"/>
        <v>营销费用办公费用</v>
      </c>
      <c r="AU422" s="4" t="str">
        <f t="shared" si="43"/>
        <v>普惠金融部</v>
      </c>
      <c r="AV422" s="4" t="str">
        <f t="shared" si="44"/>
        <v>营销费用</v>
      </c>
      <c r="AW422" s="4" t="str">
        <f>IFERROR(VLOOKUP(AV422,[1]字段!A:B,2,0),"")</f>
        <v>营销费用</v>
      </c>
      <c r="AX422" s="30" t="str">
        <f>IF(AW422="人力费用",IF(E422="","",VLOOKUP(E422,[1]字段!D:E,2,0)),AW422)</f>
        <v>营销费用</v>
      </c>
      <c r="AY422" s="30" t="str">
        <f>IF(AT422="","",VLOOKUP(AT422,[1]字段!H:I,2,0))</f>
        <v>营销费用</v>
      </c>
      <c r="AZ422" s="31">
        <f t="shared" si="45"/>
        <v>0</v>
      </c>
      <c r="BA422" s="31">
        <f t="shared" si="46"/>
        <v>0</v>
      </c>
      <c r="BB422" s="31">
        <f t="shared" si="47"/>
        <v>0</v>
      </c>
      <c r="BC422" s="31">
        <f t="shared" si="49"/>
        <v>0</v>
      </c>
    </row>
    <row r="423" spans="1:55" ht="28.5" customHeight="1">
      <c r="A423" s="32"/>
      <c r="B423" s="32"/>
      <c r="C423" s="32"/>
      <c r="D423" s="40"/>
      <c r="E423" s="39" t="s">
        <v>172</v>
      </c>
      <c r="F423" s="39" t="s">
        <v>173</v>
      </c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  <c r="AA423" s="29"/>
      <c r="AB423" s="29"/>
      <c r="AC423" s="29"/>
      <c r="AD423" s="29"/>
      <c r="AE423" s="29"/>
      <c r="AJ423"/>
      <c r="AK423"/>
      <c r="AL423"/>
      <c r="AM423"/>
      <c r="AN423"/>
      <c r="AO423"/>
      <c r="AP423"/>
      <c r="AQ423"/>
      <c r="AR423"/>
      <c r="AS423"/>
      <c r="AT423" s="4" t="str">
        <f t="shared" si="48"/>
        <v>营销费用客服费</v>
      </c>
      <c r="AU423" s="4" t="str">
        <f t="shared" si="43"/>
        <v>普惠金融部</v>
      </c>
      <c r="AV423" s="4" t="str">
        <f t="shared" si="44"/>
        <v>营销费用</v>
      </c>
      <c r="AW423" s="4" t="str">
        <f>IFERROR(VLOOKUP(AV423,[1]字段!A:B,2,0),"")</f>
        <v>营销费用</v>
      </c>
      <c r="AX423" s="30" t="str">
        <f>IF(AW423="人力费用",IF(E423="","",VLOOKUP(E423,[1]字段!D:E,2,0)),AW423)</f>
        <v>营销费用</v>
      </c>
      <c r="AY423" s="30" t="str">
        <f>IF(AT423="","",VLOOKUP(AT423,[1]字段!H:I,2,0))</f>
        <v>营销费用</v>
      </c>
      <c r="AZ423" s="31">
        <f t="shared" si="45"/>
        <v>0</v>
      </c>
      <c r="BA423" s="31">
        <f t="shared" si="46"/>
        <v>0</v>
      </c>
      <c r="BB423" s="31">
        <f t="shared" si="47"/>
        <v>0</v>
      </c>
      <c r="BC423" s="31">
        <f t="shared" si="49"/>
        <v>0</v>
      </c>
    </row>
    <row r="424" spans="1:55" ht="28.5" customHeight="1">
      <c r="A424" s="32"/>
      <c r="B424" s="32"/>
      <c r="C424" s="41"/>
      <c r="D424" s="42"/>
      <c r="E424" s="39" t="s">
        <v>111</v>
      </c>
      <c r="F424" s="39" t="s">
        <v>112</v>
      </c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  <c r="AA424" s="29"/>
      <c r="AB424" s="29"/>
      <c r="AC424" s="29"/>
      <c r="AD424" s="29"/>
      <c r="AE424" s="29"/>
      <c r="AJ424"/>
      <c r="AK424"/>
      <c r="AL424"/>
      <c r="AM424"/>
      <c r="AN424"/>
      <c r="AO424"/>
      <c r="AP424"/>
      <c r="AQ424"/>
      <c r="AR424"/>
      <c r="AS424"/>
      <c r="AT424" s="4" t="str">
        <f t="shared" si="48"/>
        <v>营销费用业务宣传费</v>
      </c>
      <c r="AU424" s="4" t="str">
        <f t="shared" si="43"/>
        <v>普惠金融部</v>
      </c>
      <c r="AV424" s="4" t="str">
        <f t="shared" si="44"/>
        <v>营销费用</v>
      </c>
      <c r="AW424" s="4" t="str">
        <f>IFERROR(VLOOKUP(AV424,[1]字段!A:B,2,0),"")</f>
        <v>营销费用</v>
      </c>
      <c r="AX424" s="30" t="str">
        <f>IF(AW424="人力费用",IF(E424="","",VLOOKUP(E424,[1]字段!D:E,2,0)),AW424)</f>
        <v>营销费用</v>
      </c>
      <c r="AY424" s="30" t="str">
        <f>IF(AT424="","",VLOOKUP(AT424,[1]字段!H:I,2,0))</f>
        <v>营销费用</v>
      </c>
      <c r="AZ424" s="31">
        <f t="shared" si="45"/>
        <v>0</v>
      </c>
      <c r="BA424" s="31">
        <f t="shared" si="46"/>
        <v>0</v>
      </c>
      <c r="BB424" s="31">
        <f t="shared" si="47"/>
        <v>0</v>
      </c>
      <c r="BC424" s="31">
        <f t="shared" si="49"/>
        <v>0</v>
      </c>
    </row>
    <row r="425" spans="1:55" ht="28.5" customHeight="1">
      <c r="C425" s="33" t="s">
        <v>162</v>
      </c>
      <c r="D425" s="34" t="s">
        <v>163</v>
      </c>
      <c r="E425" s="35"/>
      <c r="F425" s="36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  <c r="AA425" s="29"/>
      <c r="AB425" s="29"/>
      <c r="AC425" s="29"/>
      <c r="AD425" s="29"/>
      <c r="AE425" s="29"/>
      <c r="AJ425"/>
      <c r="AK425"/>
      <c r="AL425"/>
      <c r="AM425"/>
      <c r="AN425"/>
      <c r="AO425"/>
      <c r="AP425"/>
      <c r="AQ425"/>
      <c r="AR425"/>
      <c r="AS425"/>
      <c r="AT425" s="4" t="str">
        <f t="shared" si="48"/>
        <v>运营费用</v>
      </c>
      <c r="AU425" s="4" t="str">
        <f t="shared" si="43"/>
        <v>普惠金融部</v>
      </c>
      <c r="AV425" s="4" t="str">
        <f t="shared" si="44"/>
        <v>运营费用</v>
      </c>
      <c r="AW425" s="4" t="str">
        <f>IFERROR(VLOOKUP(AV425,[1]字段!A:B,2,0),"")</f>
        <v>运营费用</v>
      </c>
      <c r="AX425" s="30" t="str">
        <f>IF(AW425="人力费用",IF(E425="","",VLOOKUP(E425,[1]字段!D:E,2,0)),AW425)</f>
        <v>运营费用</v>
      </c>
      <c r="AY425" s="30">
        <f>IF(AT425="","",VLOOKUP(AT425,[1]字段!H:I,2,0))</f>
        <v>0</v>
      </c>
      <c r="AZ425" s="31">
        <f t="shared" si="45"/>
        <v>0</v>
      </c>
      <c r="BA425" s="31">
        <f t="shared" si="46"/>
        <v>0</v>
      </c>
      <c r="BB425" s="31">
        <f t="shared" si="47"/>
        <v>0</v>
      </c>
      <c r="BC425" s="31">
        <f t="shared" si="49"/>
        <v>0</v>
      </c>
    </row>
    <row r="426" spans="1:55" ht="28.5" customHeight="1">
      <c r="A426" s="32"/>
      <c r="B426" s="32"/>
      <c r="C426" s="37"/>
      <c r="D426" s="38"/>
      <c r="E426" s="39" t="s">
        <v>170</v>
      </c>
      <c r="F426" s="39" t="s">
        <v>171</v>
      </c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  <c r="AA426" s="29"/>
      <c r="AB426" s="29"/>
      <c r="AC426" s="29"/>
      <c r="AD426" s="29"/>
      <c r="AE426" s="29"/>
      <c r="AJ426"/>
      <c r="AK426"/>
      <c r="AL426"/>
      <c r="AM426"/>
      <c r="AN426"/>
      <c r="AO426"/>
      <c r="AP426"/>
      <c r="AQ426"/>
      <c r="AR426"/>
      <c r="AS426"/>
      <c r="AT426" s="4" t="str">
        <f t="shared" si="48"/>
        <v>运营费用技术服务费</v>
      </c>
      <c r="AU426" s="4" t="str">
        <f t="shared" si="43"/>
        <v>普惠金融部</v>
      </c>
      <c r="AV426" s="4" t="str">
        <f t="shared" si="44"/>
        <v>运营费用</v>
      </c>
      <c r="AW426" s="4" t="str">
        <f>IFERROR(VLOOKUP(AV426,[1]字段!A:B,2,0),"")</f>
        <v>运营费用</v>
      </c>
      <c r="AX426" s="30" t="str">
        <f>IF(AW426="人力费用",IF(E426="","",VLOOKUP(E426,[1]字段!D:E,2,0)),AW426)</f>
        <v>运营费用</v>
      </c>
      <c r="AY426" s="30" t="str">
        <f>IF(AT426="","",VLOOKUP(AT426,[1]字段!H:I,2,0))</f>
        <v>运营费用-运营其他</v>
      </c>
      <c r="AZ426" s="31">
        <f t="shared" si="45"/>
        <v>0</v>
      </c>
      <c r="BA426" s="31">
        <f t="shared" si="46"/>
        <v>0</v>
      </c>
      <c r="BB426" s="31">
        <f t="shared" si="47"/>
        <v>0</v>
      </c>
      <c r="BC426" s="31">
        <f t="shared" si="49"/>
        <v>0</v>
      </c>
    </row>
    <row r="427" spans="1:55" ht="28.5" customHeight="1">
      <c r="A427" s="32"/>
      <c r="B427" s="32"/>
      <c r="C427" s="41"/>
      <c r="D427" s="42"/>
      <c r="E427" s="39" t="s">
        <v>83</v>
      </c>
      <c r="F427" s="39" t="s">
        <v>84</v>
      </c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  <c r="AA427" s="29"/>
      <c r="AB427" s="29"/>
      <c r="AC427" s="29"/>
      <c r="AD427" s="29"/>
      <c r="AE427" s="29"/>
      <c r="AJ427"/>
      <c r="AK427"/>
      <c r="AL427"/>
      <c r="AM427"/>
      <c r="AN427"/>
      <c r="AO427"/>
      <c r="AP427"/>
      <c r="AQ427"/>
      <c r="AR427"/>
      <c r="AS427"/>
      <c r="AT427" s="4" t="str">
        <f t="shared" si="48"/>
        <v>运营费用其他外包服务费</v>
      </c>
      <c r="AU427" s="4" t="str">
        <f t="shared" si="43"/>
        <v>普惠金融部</v>
      </c>
      <c r="AV427" s="4" t="str">
        <f t="shared" si="44"/>
        <v>运营费用</v>
      </c>
      <c r="AW427" s="4" t="str">
        <f>IFERROR(VLOOKUP(AV427,[1]字段!A:B,2,0),"")</f>
        <v>运营费用</v>
      </c>
      <c r="AX427" s="30" t="str">
        <f>IF(AW427="人力费用",IF(E427="","",VLOOKUP(E427,[1]字段!D:E,2,0)),AW427)</f>
        <v>运营费用</v>
      </c>
      <c r="AY427" s="30" t="str">
        <f>IF(AT427="","",VLOOKUP(AT427,[1]字段!H:I,2,0))</f>
        <v>运营费用-外包服务费</v>
      </c>
      <c r="AZ427" s="31">
        <f t="shared" si="45"/>
        <v>0</v>
      </c>
      <c r="BA427" s="31">
        <f t="shared" si="46"/>
        <v>0</v>
      </c>
      <c r="BB427" s="31">
        <f t="shared" si="47"/>
        <v>0</v>
      </c>
      <c r="BC427" s="31">
        <f t="shared" si="49"/>
        <v>0</v>
      </c>
    </row>
    <row r="428" spans="1:55" ht="28.5" customHeight="1">
      <c r="C428" s="33" t="s">
        <v>65</v>
      </c>
      <c r="D428" s="34" t="s">
        <v>66</v>
      </c>
      <c r="E428" s="35"/>
      <c r="F428" s="36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  <c r="AA428" s="29"/>
      <c r="AB428" s="29"/>
      <c r="AC428" s="29"/>
      <c r="AD428" s="29"/>
      <c r="AE428" s="29"/>
      <c r="AJ428"/>
      <c r="AK428"/>
      <c r="AL428"/>
      <c r="AM428"/>
      <c r="AN428"/>
      <c r="AO428"/>
      <c r="AP428"/>
      <c r="AQ428"/>
      <c r="AR428"/>
      <c r="AS428"/>
      <c r="AT428" s="4" t="str">
        <f t="shared" si="48"/>
        <v>IT费用</v>
      </c>
      <c r="AU428" s="4" t="str">
        <f t="shared" si="43"/>
        <v>普惠金融部</v>
      </c>
      <c r="AV428" s="4" t="str">
        <f t="shared" si="44"/>
        <v>IT科技费用</v>
      </c>
      <c r="AW428" s="4" t="str">
        <f>IFERROR(VLOOKUP(AV428,[1]字段!A:B,2,0),"")</f>
        <v>IT费用</v>
      </c>
      <c r="AX428" s="30" t="str">
        <f>IF(AW428="人力费用",IF(E428="","",VLOOKUP(E428,[1]字段!D:E,2,0)),AW428)</f>
        <v>IT费用</v>
      </c>
      <c r="AY428" s="30">
        <f>IF(AT428="","",VLOOKUP(AT428,[1]字段!H:I,2,0))</f>
        <v>0</v>
      </c>
      <c r="AZ428" s="31">
        <f t="shared" si="45"/>
        <v>0</v>
      </c>
      <c r="BA428" s="31">
        <f t="shared" si="46"/>
        <v>0</v>
      </c>
      <c r="BB428" s="31">
        <f t="shared" si="47"/>
        <v>0</v>
      </c>
      <c r="BC428" s="31">
        <f t="shared" si="49"/>
        <v>0</v>
      </c>
    </row>
    <row r="429" spans="1:55" ht="28.5" customHeight="1">
      <c r="A429" s="32"/>
      <c r="B429" s="32"/>
      <c r="C429" s="43"/>
      <c r="D429" s="43"/>
      <c r="E429" s="39" t="s">
        <v>71</v>
      </c>
      <c r="F429" s="39" t="s">
        <v>72</v>
      </c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  <c r="AA429" s="29"/>
      <c r="AB429" s="29"/>
      <c r="AC429" s="29"/>
      <c r="AD429" s="29"/>
      <c r="AE429" s="29"/>
      <c r="AJ429"/>
      <c r="AK429"/>
      <c r="AL429"/>
      <c r="AM429"/>
      <c r="AN429"/>
      <c r="AO429"/>
      <c r="AP429"/>
      <c r="AQ429"/>
      <c r="AR429"/>
      <c r="AS429"/>
      <c r="AT429" s="4" t="str">
        <f t="shared" si="48"/>
        <v>IT费用办公IT设备折旧费</v>
      </c>
      <c r="AU429" s="4" t="str">
        <f t="shared" si="43"/>
        <v>普惠金融部</v>
      </c>
      <c r="AV429" s="4" t="str">
        <f t="shared" si="44"/>
        <v>IT科技费用</v>
      </c>
      <c r="AW429" s="4" t="str">
        <f>IFERROR(VLOOKUP(AV429,[1]字段!A:B,2,0),"")</f>
        <v>IT费用</v>
      </c>
      <c r="AX429" s="30" t="str">
        <f>IF(AW429="人力费用",IF(E429="","",VLOOKUP(E429,[1]字段!D:E,2,0)),AW429)</f>
        <v>IT费用</v>
      </c>
      <c r="AY429" s="30" t="str">
        <f>IF(AT429="","",VLOOKUP(AT429,[1]字段!H:I,2,0))</f>
        <v>IT费用</v>
      </c>
      <c r="AZ429" s="31">
        <f t="shared" si="45"/>
        <v>0</v>
      </c>
      <c r="BA429" s="31">
        <f t="shared" si="46"/>
        <v>0</v>
      </c>
      <c r="BB429" s="31">
        <f t="shared" si="47"/>
        <v>0</v>
      </c>
      <c r="BC429" s="31">
        <f t="shared" si="49"/>
        <v>0</v>
      </c>
    </row>
    <row r="430" spans="1:55" ht="28.5" customHeight="1">
      <c r="C430" s="33" t="s">
        <v>93</v>
      </c>
      <c r="D430" s="34" t="s">
        <v>94</v>
      </c>
      <c r="E430" s="35"/>
      <c r="F430" s="36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  <c r="AA430" s="29"/>
      <c r="AB430" s="29"/>
      <c r="AC430" s="29"/>
      <c r="AD430" s="29"/>
      <c r="AE430" s="29"/>
      <c r="AJ430"/>
      <c r="AK430"/>
      <c r="AL430"/>
      <c r="AM430"/>
      <c r="AN430"/>
      <c r="AO430"/>
      <c r="AP430"/>
      <c r="AQ430"/>
      <c r="AR430"/>
      <c r="AS430"/>
      <c r="AT430" s="4" t="str">
        <f t="shared" si="48"/>
        <v>日常费用</v>
      </c>
      <c r="AU430" s="4" t="str">
        <f t="shared" si="43"/>
        <v>普惠金融部</v>
      </c>
      <c r="AV430" s="4" t="str">
        <f t="shared" si="44"/>
        <v>日常费用</v>
      </c>
      <c r="AW430" s="4" t="str">
        <f>IFERROR(VLOOKUP(AV430,[1]字段!A:B,2,0),"")</f>
        <v>日常费用</v>
      </c>
      <c r="AX430" s="30" t="str">
        <f>IF(AW430="人力费用",IF(E430="","",VLOOKUP(E430,[1]字段!D:E,2,0)),AW430)</f>
        <v>日常费用</v>
      </c>
      <c r="AY430" s="30">
        <f>IF(AT430="","",VLOOKUP(AT430,[1]字段!H:I,2,0))</f>
        <v>0</v>
      </c>
      <c r="AZ430" s="31">
        <f t="shared" si="45"/>
        <v>0</v>
      </c>
      <c r="BA430" s="31">
        <f t="shared" si="46"/>
        <v>0</v>
      </c>
      <c r="BB430" s="31">
        <f t="shared" si="47"/>
        <v>0</v>
      </c>
      <c r="BC430" s="31">
        <f t="shared" si="49"/>
        <v>0</v>
      </c>
    </row>
    <row r="431" spans="1:55" ht="28.5" customHeight="1">
      <c r="A431" s="32"/>
      <c r="B431" s="32"/>
      <c r="C431" s="37"/>
      <c r="D431" s="38"/>
      <c r="E431" s="39" t="s">
        <v>170</v>
      </c>
      <c r="F431" s="39" t="s">
        <v>171</v>
      </c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  <c r="AA431" s="29"/>
      <c r="AB431" s="29"/>
      <c r="AC431" s="29"/>
      <c r="AD431" s="29"/>
      <c r="AE431" s="29"/>
      <c r="AJ431"/>
      <c r="AK431"/>
      <c r="AL431"/>
      <c r="AM431"/>
      <c r="AN431"/>
      <c r="AO431"/>
      <c r="AP431"/>
      <c r="AQ431"/>
      <c r="AR431"/>
      <c r="AS431"/>
      <c r="AT431" s="4" t="str">
        <f t="shared" si="48"/>
        <v>日常费用技术服务费</v>
      </c>
      <c r="AU431" s="4" t="str">
        <f t="shared" si="43"/>
        <v>普惠金融部</v>
      </c>
      <c r="AV431" s="4" t="str">
        <f t="shared" si="44"/>
        <v>日常费用</v>
      </c>
      <c r="AW431" s="4" t="str">
        <f>IFERROR(VLOOKUP(AV431,[1]字段!A:B,2,0),"")</f>
        <v>日常费用</v>
      </c>
      <c r="AX431" s="30" t="str">
        <f>IF(AW431="人力费用",IF(E431="","",VLOOKUP(E431,[1]字段!D:E,2,0)),AW431)</f>
        <v>日常费用</v>
      </c>
      <c r="AY431" s="30" t="str">
        <f>IF(AT431="","",VLOOKUP(AT431,[1]字段!H:I,2,0))</f>
        <v>日常费用-其他</v>
      </c>
      <c r="AZ431" s="31">
        <f t="shared" si="45"/>
        <v>0</v>
      </c>
      <c r="BA431" s="31">
        <f t="shared" si="46"/>
        <v>0</v>
      </c>
      <c r="BB431" s="31">
        <f t="shared" si="47"/>
        <v>0</v>
      </c>
      <c r="BC431" s="31">
        <f t="shared" si="49"/>
        <v>0</v>
      </c>
    </row>
    <row r="432" spans="1:55" ht="28.5" customHeight="1">
      <c r="A432" s="32"/>
      <c r="B432" s="32"/>
      <c r="C432" s="32"/>
      <c r="D432" s="40"/>
      <c r="E432" s="39" t="s">
        <v>95</v>
      </c>
      <c r="F432" s="39" t="s">
        <v>96</v>
      </c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  <c r="AA432" s="29"/>
      <c r="AB432" s="29"/>
      <c r="AC432" s="29"/>
      <c r="AD432" s="29"/>
      <c r="AE432" s="29"/>
      <c r="AJ432"/>
      <c r="AK432"/>
      <c r="AL432"/>
      <c r="AM432"/>
      <c r="AN432"/>
      <c r="AO432"/>
      <c r="AP432"/>
      <c r="AQ432"/>
      <c r="AR432"/>
      <c r="AS432"/>
      <c r="AT432" s="4" t="str">
        <f t="shared" si="48"/>
        <v>日常费用业务招待费</v>
      </c>
      <c r="AU432" s="4" t="str">
        <f t="shared" si="43"/>
        <v>普惠金融部</v>
      </c>
      <c r="AV432" s="4" t="str">
        <f t="shared" si="44"/>
        <v>日常费用</v>
      </c>
      <c r="AW432" s="4" t="str">
        <f>IFERROR(VLOOKUP(AV432,[1]字段!A:B,2,0),"")</f>
        <v>日常费用</v>
      </c>
      <c r="AX432" s="30" t="str">
        <f>IF(AW432="人力费用",IF(E432="","",VLOOKUP(E432,[1]字段!D:E,2,0)),AW432)</f>
        <v>日常费用</v>
      </c>
      <c r="AY432" s="30" t="str">
        <f>IF(AT432="","",VLOOKUP(AT432,[1]字段!H:I,2,0))</f>
        <v>日常费用-其他</v>
      </c>
      <c r="AZ432" s="31">
        <f t="shared" si="45"/>
        <v>0</v>
      </c>
      <c r="BA432" s="31">
        <f t="shared" si="46"/>
        <v>0</v>
      </c>
      <c r="BB432" s="31">
        <f t="shared" si="47"/>
        <v>0</v>
      </c>
      <c r="BC432" s="31">
        <f t="shared" si="49"/>
        <v>0</v>
      </c>
    </row>
    <row r="433" spans="1:55" ht="28.5" customHeight="1">
      <c r="A433" s="32"/>
      <c r="B433" s="32"/>
      <c r="C433" s="32"/>
      <c r="D433" s="40"/>
      <c r="E433" s="39" t="s">
        <v>139</v>
      </c>
      <c r="F433" s="39" t="s">
        <v>140</v>
      </c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  <c r="AA433" s="29"/>
      <c r="AB433" s="29"/>
      <c r="AC433" s="29"/>
      <c r="AD433" s="29"/>
      <c r="AE433" s="29"/>
      <c r="AJ433"/>
      <c r="AK433"/>
      <c r="AL433"/>
      <c r="AM433"/>
      <c r="AN433"/>
      <c r="AO433"/>
      <c r="AP433"/>
      <c r="AQ433"/>
      <c r="AR433"/>
      <c r="AS433"/>
      <c r="AT433" s="4" t="str">
        <f t="shared" si="48"/>
        <v>日常费用差旅费</v>
      </c>
      <c r="AU433" s="4" t="str">
        <f t="shared" si="43"/>
        <v>普惠金融部</v>
      </c>
      <c r="AV433" s="4" t="str">
        <f t="shared" si="44"/>
        <v>日常费用</v>
      </c>
      <c r="AW433" s="4" t="str">
        <f>IFERROR(VLOOKUP(AV433,[1]字段!A:B,2,0),"")</f>
        <v>日常费用</v>
      </c>
      <c r="AX433" s="30" t="str">
        <f>IF(AW433="人力费用",IF(E433="","",VLOOKUP(E433,[1]字段!D:E,2,0)),AW433)</f>
        <v>日常费用</v>
      </c>
      <c r="AY433" s="30" t="str">
        <f>IF(AT433="","",VLOOKUP(AT433,[1]字段!H:I,2,0))</f>
        <v>日常费用-其他</v>
      </c>
      <c r="AZ433" s="31">
        <f t="shared" si="45"/>
        <v>0</v>
      </c>
      <c r="BA433" s="31">
        <f t="shared" si="46"/>
        <v>0</v>
      </c>
      <c r="BB433" s="31">
        <f t="shared" si="47"/>
        <v>0</v>
      </c>
      <c r="BC433" s="31">
        <f t="shared" si="49"/>
        <v>0</v>
      </c>
    </row>
    <row r="434" spans="1:55" ht="28.5" customHeight="1">
      <c r="A434" s="41"/>
      <c r="B434" s="41"/>
      <c r="C434" s="41"/>
      <c r="D434" s="42"/>
      <c r="E434" s="39" t="s">
        <v>104</v>
      </c>
      <c r="F434" s="39" t="s">
        <v>105</v>
      </c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  <c r="AA434" s="29"/>
      <c r="AB434" s="29"/>
      <c r="AC434" s="29"/>
      <c r="AD434" s="29"/>
      <c r="AE434" s="29"/>
      <c r="AJ434"/>
      <c r="AK434"/>
      <c r="AL434"/>
      <c r="AM434"/>
      <c r="AN434"/>
      <c r="AO434"/>
      <c r="AP434"/>
      <c r="AQ434"/>
      <c r="AR434"/>
      <c r="AS434"/>
      <c r="AT434" s="4" t="str">
        <f t="shared" si="48"/>
        <v>日常费用会议费</v>
      </c>
      <c r="AU434" s="4" t="str">
        <f t="shared" si="43"/>
        <v>普惠金融部</v>
      </c>
      <c r="AV434" s="4" t="str">
        <f t="shared" si="44"/>
        <v>日常费用</v>
      </c>
      <c r="AW434" s="4" t="str">
        <f>IFERROR(VLOOKUP(AV434,[1]字段!A:B,2,0),"")</f>
        <v>日常费用</v>
      </c>
      <c r="AX434" s="30" t="str">
        <f>IF(AW434="人力费用",IF(E434="","",VLOOKUP(E434,[1]字段!D:E,2,0)),AW434)</f>
        <v>日常费用</v>
      </c>
      <c r="AY434" s="30" t="str">
        <f>IF(AT434="","",VLOOKUP(AT434,[1]字段!H:I,2,0))</f>
        <v>日常费用-其他</v>
      </c>
      <c r="AZ434" s="31">
        <f t="shared" si="45"/>
        <v>0</v>
      </c>
      <c r="BA434" s="31">
        <f t="shared" si="46"/>
        <v>0</v>
      </c>
      <c r="BB434" s="31">
        <f t="shared" si="47"/>
        <v>0</v>
      </c>
      <c r="BC434" s="31">
        <f t="shared" si="49"/>
        <v>0</v>
      </c>
    </row>
    <row r="435" spans="1:55" ht="28.5" customHeight="1">
      <c r="A435" s="25"/>
      <c r="B435" s="26" t="s">
        <v>184</v>
      </c>
      <c r="C435" s="27"/>
      <c r="D435" s="27"/>
      <c r="E435" s="27"/>
      <c r="F435" s="28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  <c r="AA435" s="29"/>
      <c r="AB435" s="29"/>
      <c r="AC435" s="29"/>
      <c r="AD435" s="29"/>
      <c r="AE435" s="29"/>
      <c r="AJ435"/>
      <c r="AK435"/>
      <c r="AL435"/>
      <c r="AM435"/>
      <c r="AN435"/>
      <c r="AO435"/>
      <c r="AP435"/>
      <c r="AQ435"/>
      <c r="AR435"/>
      <c r="AS435"/>
      <c r="AT435" s="4" t="str">
        <f t="shared" si="48"/>
        <v/>
      </c>
      <c r="AU435" s="4" t="str">
        <f t="shared" si="43"/>
        <v>产业及绿色金融部</v>
      </c>
      <c r="AV435" s="4" t="str">
        <f t="shared" si="44"/>
        <v/>
      </c>
      <c r="AW435" s="4" t="str">
        <f>IFERROR(VLOOKUP(AV435,[1]字段!A:B,2,0),"")</f>
        <v/>
      </c>
      <c r="AX435" s="30" t="str">
        <f>IF(AW435="人力费用",IF(E435="","",VLOOKUP(E435,[1]字段!D:E,2,0)),AW435)</f>
        <v/>
      </c>
      <c r="AY435" s="30" t="str">
        <f>IF(AT435="","",VLOOKUP(AT435,[1]字段!H:I,2,0))</f>
        <v/>
      </c>
      <c r="AZ435" s="31">
        <f t="shared" si="45"/>
        <v>0</v>
      </c>
      <c r="BA435" s="31">
        <f t="shared" si="46"/>
        <v>0</v>
      </c>
      <c r="BB435" s="31">
        <f t="shared" si="47"/>
        <v>0</v>
      </c>
      <c r="BC435" s="31">
        <f t="shared" si="49"/>
        <v>0</v>
      </c>
    </row>
    <row r="436" spans="1:55" ht="28.5" customHeight="1">
      <c r="A436" s="32"/>
      <c r="B436" s="32"/>
      <c r="C436" s="33" t="s">
        <v>39</v>
      </c>
      <c r="D436" s="34" t="s">
        <v>40</v>
      </c>
      <c r="E436" s="35"/>
      <c r="F436" s="36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  <c r="AA436" s="29"/>
      <c r="AB436" s="29"/>
      <c r="AC436" s="29"/>
      <c r="AD436" s="29"/>
      <c r="AE436" s="29"/>
      <c r="AJ436"/>
      <c r="AK436"/>
      <c r="AL436"/>
      <c r="AM436"/>
      <c r="AN436"/>
      <c r="AO436"/>
      <c r="AP436"/>
      <c r="AQ436"/>
      <c r="AR436"/>
      <c r="AS436"/>
      <c r="AT436" s="4" t="str">
        <f t="shared" si="48"/>
        <v/>
      </c>
      <c r="AU436" s="4" t="str">
        <f t="shared" si="43"/>
        <v>产业及绿色金融部</v>
      </c>
      <c r="AV436" s="4" t="str">
        <f t="shared" si="44"/>
        <v>人力费用</v>
      </c>
      <c r="AW436" s="4" t="str">
        <f>IFERROR(VLOOKUP(AV436,[1]字段!A:B,2,0),"")</f>
        <v>人力费用</v>
      </c>
      <c r="AX436" s="30" t="str">
        <f>IF(AW436="人力费用",IF(E436="","",VLOOKUP(E436,[1]字段!D:E,2,0)),AW436)</f>
        <v/>
      </c>
      <c r="AY436" s="30" t="str">
        <f>IF(AT436="","",VLOOKUP(AT436,[1]字段!H:I,2,0))</f>
        <v/>
      </c>
      <c r="AZ436" s="31">
        <f t="shared" si="45"/>
        <v>0</v>
      </c>
      <c r="BA436" s="31">
        <f t="shared" si="46"/>
        <v>0</v>
      </c>
      <c r="BB436" s="31">
        <f t="shared" si="47"/>
        <v>0</v>
      </c>
      <c r="BC436" s="31">
        <f t="shared" si="49"/>
        <v>0</v>
      </c>
    </row>
    <row r="437" spans="1:55" ht="28.5" customHeight="1">
      <c r="A437" s="32"/>
      <c r="B437" s="32"/>
      <c r="C437" s="43"/>
      <c r="D437" s="43"/>
      <c r="E437" s="39" t="s">
        <v>41</v>
      </c>
      <c r="F437" s="39" t="s">
        <v>42</v>
      </c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  <c r="AA437" s="29"/>
      <c r="AB437" s="29"/>
      <c r="AC437" s="29"/>
      <c r="AD437" s="29"/>
      <c r="AE437" s="29"/>
      <c r="AJ437"/>
      <c r="AK437"/>
      <c r="AL437"/>
      <c r="AM437"/>
      <c r="AN437"/>
      <c r="AO437"/>
      <c r="AP437"/>
      <c r="AQ437"/>
      <c r="AR437"/>
      <c r="AS437"/>
      <c r="AT437" s="4" t="str">
        <f t="shared" si="48"/>
        <v>1.0倍人力基础工资</v>
      </c>
      <c r="AU437" s="4" t="str">
        <f t="shared" si="43"/>
        <v>产业及绿色金融部</v>
      </c>
      <c r="AV437" s="4" t="str">
        <f t="shared" si="44"/>
        <v>人力费用</v>
      </c>
      <c r="AW437" s="4" t="str">
        <f>IFERROR(VLOOKUP(AV437,[1]字段!A:B,2,0),"")</f>
        <v>人力费用</v>
      </c>
      <c r="AX437" s="30" t="str">
        <f>IF(AW437="人力费用",IF(E437="","",VLOOKUP(E437,[1]字段!D:E,2,0)),AW437)</f>
        <v>1.0倍人力</v>
      </c>
      <c r="AY437" s="30" t="str">
        <f>IF(AT437="","",VLOOKUP(AT437,[1]字段!H:I,2,0))</f>
        <v>1.0倍人力</v>
      </c>
      <c r="AZ437" s="31">
        <f t="shared" si="45"/>
        <v>0</v>
      </c>
      <c r="BA437" s="31">
        <f t="shared" si="46"/>
        <v>0</v>
      </c>
      <c r="BB437" s="31">
        <f t="shared" si="47"/>
        <v>0</v>
      </c>
      <c r="BC437" s="31">
        <f t="shared" si="49"/>
        <v>0</v>
      </c>
    </row>
    <row r="438" spans="1:55" ht="28.5" customHeight="1">
      <c r="A438" s="32"/>
      <c r="B438" s="32"/>
      <c r="C438" s="32"/>
      <c r="D438" s="40"/>
      <c r="E438" s="39">
        <v>5501010602</v>
      </c>
      <c r="F438" s="3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  <c r="AA438" s="29"/>
      <c r="AB438" s="29"/>
      <c r="AC438" s="29"/>
      <c r="AD438" s="29"/>
      <c r="AE438" s="29"/>
      <c r="AJ438"/>
      <c r="AK438"/>
      <c r="AL438"/>
      <c r="AM438"/>
      <c r="AN438"/>
      <c r="AO438"/>
      <c r="AP438"/>
      <c r="AQ438"/>
      <c r="AR438"/>
      <c r="AS438"/>
      <c r="AT438" s="4" t="str">
        <f t="shared" si="48"/>
        <v>利润分享</v>
      </c>
      <c r="AU438" s="4" t="str">
        <f t="shared" si="43"/>
        <v>产业及绿色金融部</v>
      </c>
      <c r="AV438" s="4" t="str">
        <f t="shared" si="44"/>
        <v>人力费用</v>
      </c>
      <c r="AW438" s="4" t="str">
        <f>IFERROR(VLOOKUP(AV438,[1]字段!A:B,2,0),"")</f>
        <v>人力费用</v>
      </c>
      <c r="AX438" s="30" t="str">
        <f>IF(AW438="人力费用",IF(E438="","",VLOOKUP(E438,[1]字段!D:E,2,0)),AW438)</f>
        <v>利润分享</v>
      </c>
      <c r="AY438" s="30" t="str">
        <f>IF(AT438="","",VLOOKUP(AT438,[1]字段!H:I,2,0))</f>
        <v>利润分享</v>
      </c>
      <c r="AZ438" s="31">
        <f t="shared" si="45"/>
        <v>0</v>
      </c>
      <c r="BA438" s="31">
        <f t="shared" si="46"/>
        <v>0</v>
      </c>
      <c r="BB438" s="31">
        <f t="shared" si="47"/>
        <v>0</v>
      </c>
      <c r="BC438" s="31">
        <f t="shared" si="49"/>
        <v>0</v>
      </c>
    </row>
    <row r="439" spans="1:55" ht="28.5" customHeight="1">
      <c r="A439" s="32"/>
      <c r="B439" s="32"/>
      <c r="C439" s="32"/>
      <c r="D439" s="40"/>
      <c r="E439" s="39">
        <v>5501010603</v>
      </c>
      <c r="F439" s="3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  <c r="AA439" s="29"/>
      <c r="AB439" s="29"/>
      <c r="AC439" s="29"/>
      <c r="AD439" s="29"/>
      <c r="AE439" s="29"/>
      <c r="AJ439"/>
      <c r="AK439"/>
      <c r="AL439"/>
      <c r="AM439"/>
      <c r="AN439"/>
      <c r="AO439"/>
      <c r="AP439"/>
      <c r="AQ439"/>
      <c r="AR439"/>
      <c r="AS439"/>
      <c r="AT439" s="4" t="str">
        <f t="shared" si="48"/>
        <v>留任奖励</v>
      </c>
      <c r="AU439" s="4" t="str">
        <f t="shared" si="43"/>
        <v>产业及绿色金融部</v>
      </c>
      <c r="AV439" s="4" t="str">
        <f t="shared" si="44"/>
        <v>人力费用</v>
      </c>
      <c r="AW439" s="4" t="str">
        <f>IFERROR(VLOOKUP(AV439,[1]字段!A:B,2,0),"")</f>
        <v>人力费用</v>
      </c>
      <c r="AX439" s="30" t="str">
        <f>IF(AW439="人力费用",IF(E439="","",VLOOKUP(E439,[1]字段!D:E,2,0)),AW439)</f>
        <v>留任奖励</v>
      </c>
      <c r="AY439" s="30" t="str">
        <f>IF(AT439="","",VLOOKUP(AT439,[1]字段!H:I,2,0))</f>
        <v>留任奖励</v>
      </c>
      <c r="AZ439" s="31">
        <f t="shared" si="45"/>
        <v>0</v>
      </c>
      <c r="BA439" s="31">
        <f t="shared" si="46"/>
        <v>0</v>
      </c>
      <c r="BB439" s="31">
        <f t="shared" si="47"/>
        <v>0</v>
      </c>
      <c r="BC439" s="31">
        <f t="shared" si="49"/>
        <v>0</v>
      </c>
    </row>
    <row r="440" spans="1:55" ht="28.5" customHeight="1">
      <c r="A440" s="32"/>
      <c r="B440" s="32"/>
      <c r="C440" s="32"/>
      <c r="D440" s="40"/>
      <c r="E440" s="39">
        <v>5501010604</v>
      </c>
      <c r="F440" s="3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  <c r="AA440" s="29"/>
      <c r="AB440" s="29"/>
      <c r="AC440" s="29"/>
      <c r="AD440" s="29"/>
      <c r="AE440" s="29"/>
      <c r="AJ440"/>
      <c r="AK440"/>
      <c r="AL440"/>
      <c r="AM440"/>
      <c r="AN440"/>
      <c r="AO440"/>
      <c r="AP440"/>
      <c r="AQ440"/>
      <c r="AR440"/>
      <c r="AS440"/>
      <c r="AT440" s="4" t="str">
        <f t="shared" si="48"/>
        <v>1.0倍人力</v>
      </c>
      <c r="AU440" s="4" t="str">
        <f t="shared" si="43"/>
        <v>产业及绿色金融部</v>
      </c>
      <c r="AV440" s="4" t="str">
        <f t="shared" si="44"/>
        <v>人力费用</v>
      </c>
      <c r="AW440" s="4" t="str">
        <f>IFERROR(VLOOKUP(AV440,[1]字段!A:B,2,0),"")</f>
        <v>人力费用</v>
      </c>
      <c r="AX440" s="30" t="str">
        <f>IF(AW440="人力费用",IF(E440="","",VLOOKUP(E440,[1]字段!D:E,2,0)),AW440)</f>
        <v>1.0倍人力</v>
      </c>
      <c r="AY440" s="30" t="str">
        <f>IF(AT440="","",VLOOKUP(AT440,[1]字段!H:I,2,0))</f>
        <v>1.0倍人力</v>
      </c>
      <c r="AZ440" s="31">
        <f t="shared" si="45"/>
        <v>0</v>
      </c>
      <c r="BA440" s="31">
        <f t="shared" si="46"/>
        <v>0</v>
      </c>
      <c r="BB440" s="31">
        <f t="shared" si="47"/>
        <v>0</v>
      </c>
      <c r="BC440" s="31">
        <f t="shared" si="49"/>
        <v>0</v>
      </c>
    </row>
    <row r="441" spans="1:55" ht="28.5" customHeight="1">
      <c r="A441" s="32"/>
      <c r="B441" s="32"/>
      <c r="C441" s="32"/>
      <c r="D441" s="40"/>
      <c r="E441" s="39" t="s">
        <v>43</v>
      </c>
      <c r="F441" s="39" t="s">
        <v>44</v>
      </c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  <c r="AA441" s="29"/>
      <c r="AB441" s="29"/>
      <c r="AC441" s="29"/>
      <c r="AD441" s="29"/>
      <c r="AE441" s="29"/>
      <c r="AJ441"/>
      <c r="AK441"/>
      <c r="AL441"/>
      <c r="AM441"/>
      <c r="AN441"/>
      <c r="AO441"/>
      <c r="AP441"/>
      <c r="AQ441"/>
      <c r="AR441"/>
      <c r="AS441"/>
      <c r="AT441" s="4" t="str">
        <f t="shared" si="48"/>
        <v>1.0倍人力团队建设费</v>
      </c>
      <c r="AU441" s="4" t="str">
        <f t="shared" si="43"/>
        <v>产业及绿色金融部</v>
      </c>
      <c r="AV441" s="4" t="str">
        <f t="shared" si="44"/>
        <v>人力费用</v>
      </c>
      <c r="AW441" s="4" t="str">
        <f>IFERROR(VLOOKUP(AV441,[1]字段!A:B,2,0),"")</f>
        <v>人力费用</v>
      </c>
      <c r="AX441" s="30" t="str">
        <f>IF(AW441="人力费用",IF(E441="","",VLOOKUP(E441,[1]字段!D:E,2,0)),AW441)</f>
        <v>1.0倍人力</v>
      </c>
      <c r="AY441" s="30" t="str">
        <f>IF(AT441="","",VLOOKUP(AT441,[1]字段!H:I,2,0))</f>
        <v>1.0倍人力</v>
      </c>
      <c r="AZ441" s="31">
        <f t="shared" si="45"/>
        <v>0</v>
      </c>
      <c r="BA441" s="31">
        <f t="shared" si="46"/>
        <v>0</v>
      </c>
      <c r="BB441" s="31">
        <f t="shared" si="47"/>
        <v>0</v>
      </c>
      <c r="BC441" s="31">
        <f t="shared" si="49"/>
        <v>0</v>
      </c>
    </row>
    <row r="442" spans="1:55" ht="28.5" customHeight="1">
      <c r="A442" s="32"/>
      <c r="B442" s="32"/>
      <c r="C442" s="32"/>
      <c r="D442" s="40"/>
      <c r="E442" s="39" t="s">
        <v>45</v>
      </c>
      <c r="F442" s="39" t="s">
        <v>46</v>
      </c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  <c r="AA442" s="29"/>
      <c r="AB442" s="29"/>
      <c r="AC442" s="29"/>
      <c r="AD442" s="29"/>
      <c r="AE442" s="29"/>
      <c r="AJ442"/>
      <c r="AK442"/>
      <c r="AL442"/>
      <c r="AM442"/>
      <c r="AN442"/>
      <c r="AO442"/>
      <c r="AP442"/>
      <c r="AQ442"/>
      <c r="AR442"/>
      <c r="AS442"/>
      <c r="AT442" s="4" t="str">
        <f t="shared" si="48"/>
        <v>1.0倍人力其他职工福利费</v>
      </c>
      <c r="AU442" s="4" t="str">
        <f t="shared" si="43"/>
        <v>产业及绿色金融部</v>
      </c>
      <c r="AV442" s="4" t="str">
        <f t="shared" si="44"/>
        <v>人力费用</v>
      </c>
      <c r="AW442" s="4" t="str">
        <f>IFERROR(VLOOKUP(AV442,[1]字段!A:B,2,0),"")</f>
        <v>人力费用</v>
      </c>
      <c r="AX442" s="30" t="str">
        <f>IF(AW442="人力费用",IF(E442="","",VLOOKUP(E442,[1]字段!D:E,2,0)),AW442)</f>
        <v>1.0倍人力</v>
      </c>
      <c r="AY442" s="30" t="str">
        <f>IF(AT442="","",VLOOKUP(AT442,[1]字段!H:I,2,0))</f>
        <v>1.0倍人力</v>
      </c>
      <c r="AZ442" s="31">
        <f t="shared" si="45"/>
        <v>0</v>
      </c>
      <c r="BA442" s="31">
        <f t="shared" si="46"/>
        <v>0</v>
      </c>
      <c r="BB442" s="31">
        <f t="shared" si="47"/>
        <v>0</v>
      </c>
      <c r="BC442" s="31">
        <f t="shared" si="49"/>
        <v>0</v>
      </c>
    </row>
    <row r="443" spans="1:55" ht="28.5" customHeight="1">
      <c r="A443" s="32"/>
      <c r="B443" s="32"/>
      <c r="C443" s="32"/>
      <c r="D443" s="40"/>
      <c r="E443" s="39" t="s">
        <v>47</v>
      </c>
      <c r="F443" s="39" t="s">
        <v>48</v>
      </c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  <c r="AA443" s="29"/>
      <c r="AB443" s="29"/>
      <c r="AC443" s="29"/>
      <c r="AD443" s="29"/>
      <c r="AE443" s="29"/>
      <c r="AJ443"/>
      <c r="AK443"/>
      <c r="AL443"/>
      <c r="AM443"/>
      <c r="AN443"/>
      <c r="AO443"/>
      <c r="AP443"/>
      <c r="AQ443"/>
      <c r="AR443"/>
      <c r="AS443"/>
      <c r="AT443" s="4" t="str">
        <f t="shared" si="48"/>
        <v>1.0倍人力工会经费</v>
      </c>
      <c r="AU443" s="4" t="str">
        <f t="shared" si="43"/>
        <v>产业及绿色金融部</v>
      </c>
      <c r="AV443" s="4" t="str">
        <f t="shared" si="44"/>
        <v>人力费用</v>
      </c>
      <c r="AW443" s="4" t="str">
        <f>IFERROR(VLOOKUP(AV443,[1]字段!A:B,2,0),"")</f>
        <v>人力费用</v>
      </c>
      <c r="AX443" s="30" t="str">
        <f>IF(AW443="人力费用",IF(E443="","",VLOOKUP(E443,[1]字段!D:E,2,0)),AW443)</f>
        <v>1.0倍人力</v>
      </c>
      <c r="AY443" s="30" t="str">
        <f>IF(AT443="","",VLOOKUP(AT443,[1]字段!H:I,2,0))</f>
        <v>1.0倍人力</v>
      </c>
      <c r="AZ443" s="31">
        <f t="shared" si="45"/>
        <v>0</v>
      </c>
      <c r="BA443" s="31">
        <f t="shared" si="46"/>
        <v>0</v>
      </c>
      <c r="BB443" s="31">
        <f t="shared" si="47"/>
        <v>0</v>
      </c>
      <c r="BC443" s="31">
        <f t="shared" si="49"/>
        <v>0</v>
      </c>
    </row>
    <row r="444" spans="1:55" ht="28.5" customHeight="1">
      <c r="A444" s="32"/>
      <c r="B444" s="32"/>
      <c r="C444" s="32"/>
      <c r="D444" s="40"/>
      <c r="E444" s="39" t="s">
        <v>49</v>
      </c>
      <c r="F444" s="39" t="s">
        <v>50</v>
      </c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  <c r="AA444" s="29"/>
      <c r="AB444" s="29"/>
      <c r="AC444" s="29"/>
      <c r="AD444" s="29"/>
      <c r="AE444" s="29"/>
      <c r="AJ444"/>
      <c r="AK444"/>
      <c r="AL444"/>
      <c r="AM444"/>
      <c r="AN444"/>
      <c r="AO444"/>
      <c r="AP444"/>
      <c r="AQ444"/>
      <c r="AR444"/>
      <c r="AS444"/>
      <c r="AT444" s="4" t="str">
        <f t="shared" si="48"/>
        <v>1.0倍人力基本养老保险</v>
      </c>
      <c r="AU444" s="4" t="str">
        <f t="shared" si="43"/>
        <v>产业及绿色金融部</v>
      </c>
      <c r="AV444" s="4" t="str">
        <f t="shared" si="44"/>
        <v>人力费用</v>
      </c>
      <c r="AW444" s="4" t="str">
        <f>IFERROR(VLOOKUP(AV444,[1]字段!A:B,2,0),"")</f>
        <v>人力费用</v>
      </c>
      <c r="AX444" s="30" t="str">
        <f>IF(AW444="人力费用",IF(E444="","",VLOOKUP(E444,[1]字段!D:E,2,0)),AW444)</f>
        <v>1.0倍人力</v>
      </c>
      <c r="AY444" s="30" t="str">
        <f>IF(AT444="","",VLOOKUP(AT444,[1]字段!H:I,2,0))</f>
        <v>1.0倍人力</v>
      </c>
      <c r="AZ444" s="31">
        <f t="shared" si="45"/>
        <v>0</v>
      </c>
      <c r="BA444" s="31">
        <f t="shared" si="46"/>
        <v>0</v>
      </c>
      <c r="BB444" s="31">
        <f t="shared" si="47"/>
        <v>0</v>
      </c>
      <c r="BC444" s="31">
        <f t="shared" si="49"/>
        <v>0</v>
      </c>
    </row>
    <row r="445" spans="1:55" ht="28.5" customHeight="1">
      <c r="A445" s="32"/>
      <c r="B445" s="32"/>
      <c r="C445" s="32"/>
      <c r="D445" s="40"/>
      <c r="E445" s="39" t="s">
        <v>51</v>
      </c>
      <c r="F445" s="39" t="s">
        <v>52</v>
      </c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  <c r="AA445" s="29"/>
      <c r="AB445" s="29"/>
      <c r="AC445" s="29"/>
      <c r="AD445" s="29"/>
      <c r="AE445" s="29"/>
      <c r="AJ445"/>
      <c r="AK445"/>
      <c r="AL445"/>
      <c r="AM445"/>
      <c r="AN445"/>
      <c r="AO445"/>
      <c r="AP445"/>
      <c r="AQ445"/>
      <c r="AR445"/>
      <c r="AS445"/>
      <c r="AT445" s="4" t="str">
        <f t="shared" si="48"/>
        <v>1.0倍人力基本医疗保险</v>
      </c>
      <c r="AU445" s="4" t="str">
        <f t="shared" si="43"/>
        <v>产业及绿色金融部</v>
      </c>
      <c r="AV445" s="4" t="str">
        <f t="shared" si="44"/>
        <v>人力费用</v>
      </c>
      <c r="AW445" s="4" t="str">
        <f>IFERROR(VLOOKUP(AV445,[1]字段!A:B,2,0),"")</f>
        <v>人力费用</v>
      </c>
      <c r="AX445" s="30" t="str">
        <f>IF(AW445="人力费用",IF(E445="","",VLOOKUP(E445,[1]字段!D:E,2,0)),AW445)</f>
        <v>1.0倍人力</v>
      </c>
      <c r="AY445" s="30" t="str">
        <f>IF(AT445="","",VLOOKUP(AT445,[1]字段!H:I,2,0))</f>
        <v>1.0倍人力</v>
      </c>
      <c r="AZ445" s="31">
        <f t="shared" si="45"/>
        <v>0</v>
      </c>
      <c r="BA445" s="31">
        <f t="shared" si="46"/>
        <v>0</v>
      </c>
      <c r="BB445" s="31">
        <f t="shared" si="47"/>
        <v>0</v>
      </c>
      <c r="BC445" s="31">
        <f t="shared" si="49"/>
        <v>0</v>
      </c>
    </row>
    <row r="446" spans="1:55" ht="28.5" customHeight="1">
      <c r="A446" s="32"/>
      <c r="B446" s="32"/>
      <c r="C446" s="32"/>
      <c r="D446" s="40"/>
      <c r="E446" s="39" t="s">
        <v>53</v>
      </c>
      <c r="F446" s="39" t="s">
        <v>54</v>
      </c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  <c r="AA446" s="29"/>
      <c r="AB446" s="29"/>
      <c r="AC446" s="29"/>
      <c r="AD446" s="29"/>
      <c r="AE446" s="29"/>
      <c r="AJ446"/>
      <c r="AK446"/>
      <c r="AL446"/>
      <c r="AM446"/>
      <c r="AN446"/>
      <c r="AO446"/>
      <c r="AP446"/>
      <c r="AQ446"/>
      <c r="AR446"/>
      <c r="AS446"/>
      <c r="AT446" s="4" t="str">
        <f t="shared" si="48"/>
        <v>1.0倍人力工伤保险</v>
      </c>
      <c r="AU446" s="4" t="str">
        <f t="shared" si="43"/>
        <v>产业及绿色金融部</v>
      </c>
      <c r="AV446" s="4" t="str">
        <f t="shared" si="44"/>
        <v>人力费用</v>
      </c>
      <c r="AW446" s="4" t="str">
        <f>IFERROR(VLOOKUP(AV446,[1]字段!A:B,2,0),"")</f>
        <v>人力费用</v>
      </c>
      <c r="AX446" s="30" t="str">
        <f>IF(AW446="人力费用",IF(E446="","",VLOOKUP(E446,[1]字段!D:E,2,0)),AW446)</f>
        <v>1.0倍人力</v>
      </c>
      <c r="AY446" s="30" t="str">
        <f>IF(AT446="","",VLOOKUP(AT446,[1]字段!H:I,2,0))</f>
        <v>1.0倍人力</v>
      </c>
      <c r="AZ446" s="31">
        <f t="shared" si="45"/>
        <v>0</v>
      </c>
      <c r="BA446" s="31">
        <f t="shared" si="46"/>
        <v>0</v>
      </c>
      <c r="BB446" s="31">
        <f t="shared" si="47"/>
        <v>0</v>
      </c>
      <c r="BC446" s="31">
        <f t="shared" si="49"/>
        <v>0</v>
      </c>
    </row>
    <row r="447" spans="1:55" ht="28.5" customHeight="1">
      <c r="A447" s="32"/>
      <c r="B447" s="32"/>
      <c r="C447" s="32"/>
      <c r="D447" s="40"/>
      <c r="E447" s="39" t="s">
        <v>55</v>
      </c>
      <c r="F447" s="39" t="s">
        <v>56</v>
      </c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  <c r="AA447" s="29"/>
      <c r="AB447" s="29"/>
      <c r="AC447" s="29"/>
      <c r="AD447" s="29"/>
      <c r="AE447" s="29"/>
      <c r="AJ447"/>
      <c r="AK447"/>
      <c r="AL447"/>
      <c r="AM447"/>
      <c r="AN447"/>
      <c r="AO447"/>
      <c r="AP447"/>
      <c r="AQ447"/>
      <c r="AR447"/>
      <c r="AS447"/>
      <c r="AT447" s="4" t="str">
        <f t="shared" si="48"/>
        <v>1.0倍人力生育保险</v>
      </c>
      <c r="AU447" s="4" t="str">
        <f t="shared" si="43"/>
        <v>产业及绿色金融部</v>
      </c>
      <c r="AV447" s="4" t="str">
        <f t="shared" si="44"/>
        <v>人力费用</v>
      </c>
      <c r="AW447" s="4" t="str">
        <f>IFERROR(VLOOKUP(AV447,[1]字段!A:B,2,0),"")</f>
        <v>人力费用</v>
      </c>
      <c r="AX447" s="30" t="str">
        <f>IF(AW447="人力费用",IF(E447="","",VLOOKUP(E447,[1]字段!D:E,2,0)),AW447)</f>
        <v>1.0倍人力</v>
      </c>
      <c r="AY447" s="30" t="str">
        <f>IF(AT447="","",VLOOKUP(AT447,[1]字段!H:I,2,0))</f>
        <v>1.0倍人力</v>
      </c>
      <c r="AZ447" s="31">
        <f t="shared" si="45"/>
        <v>0</v>
      </c>
      <c r="BA447" s="31">
        <f t="shared" si="46"/>
        <v>0</v>
      </c>
      <c r="BB447" s="31">
        <f t="shared" si="47"/>
        <v>0</v>
      </c>
      <c r="BC447" s="31">
        <f t="shared" si="49"/>
        <v>0</v>
      </c>
    </row>
    <row r="448" spans="1:55" ht="28.5" customHeight="1">
      <c r="A448" s="32"/>
      <c r="B448" s="32"/>
      <c r="C448" s="32"/>
      <c r="D448" s="40"/>
      <c r="E448" s="39" t="s">
        <v>57</v>
      </c>
      <c r="F448" s="39" t="s">
        <v>58</v>
      </c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  <c r="AA448" s="29"/>
      <c r="AB448" s="29"/>
      <c r="AC448" s="29"/>
      <c r="AD448" s="29"/>
      <c r="AE448" s="29"/>
      <c r="AJ448"/>
      <c r="AK448"/>
      <c r="AL448"/>
      <c r="AM448"/>
      <c r="AN448"/>
      <c r="AO448"/>
      <c r="AP448"/>
      <c r="AQ448"/>
      <c r="AR448"/>
      <c r="AS448"/>
      <c r="AT448" s="4" t="str">
        <f t="shared" si="48"/>
        <v>1.0倍人力失业保险</v>
      </c>
      <c r="AU448" s="4" t="str">
        <f t="shared" si="43"/>
        <v>产业及绿色金融部</v>
      </c>
      <c r="AV448" s="4" t="str">
        <f t="shared" si="44"/>
        <v>人力费用</v>
      </c>
      <c r="AW448" s="4" t="str">
        <f>IFERROR(VLOOKUP(AV448,[1]字段!A:B,2,0),"")</f>
        <v>人力费用</v>
      </c>
      <c r="AX448" s="30" t="str">
        <f>IF(AW448="人力费用",IF(E448="","",VLOOKUP(E448,[1]字段!D:E,2,0)),AW448)</f>
        <v>1.0倍人力</v>
      </c>
      <c r="AY448" s="30" t="str">
        <f>IF(AT448="","",VLOOKUP(AT448,[1]字段!H:I,2,0))</f>
        <v>1.0倍人力</v>
      </c>
      <c r="AZ448" s="31">
        <f t="shared" si="45"/>
        <v>0</v>
      </c>
      <c r="BA448" s="31">
        <f t="shared" si="46"/>
        <v>0</v>
      </c>
      <c r="BB448" s="31">
        <f t="shared" si="47"/>
        <v>0</v>
      </c>
      <c r="BC448" s="31">
        <f t="shared" si="49"/>
        <v>0</v>
      </c>
    </row>
    <row r="449" spans="1:55" ht="28.5" customHeight="1">
      <c r="A449" s="32"/>
      <c r="B449" s="32"/>
      <c r="C449" s="32"/>
      <c r="D449" s="40"/>
      <c r="E449" s="39" t="s">
        <v>59</v>
      </c>
      <c r="F449" s="39" t="s">
        <v>60</v>
      </c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  <c r="AA449" s="29"/>
      <c r="AB449" s="29"/>
      <c r="AC449" s="29"/>
      <c r="AD449" s="29"/>
      <c r="AE449" s="29"/>
      <c r="AJ449"/>
      <c r="AK449"/>
      <c r="AL449"/>
      <c r="AM449"/>
      <c r="AN449"/>
      <c r="AO449"/>
      <c r="AP449"/>
      <c r="AQ449"/>
      <c r="AR449"/>
      <c r="AS449"/>
      <c r="AT449" s="4" t="str">
        <f t="shared" si="48"/>
        <v>1.0倍人力住房公积金</v>
      </c>
      <c r="AU449" s="4" t="str">
        <f t="shared" si="43"/>
        <v>产业及绿色金融部</v>
      </c>
      <c r="AV449" s="4" t="str">
        <f t="shared" si="44"/>
        <v>人力费用</v>
      </c>
      <c r="AW449" s="4" t="str">
        <f>IFERROR(VLOOKUP(AV449,[1]字段!A:B,2,0),"")</f>
        <v>人力费用</v>
      </c>
      <c r="AX449" s="30" t="str">
        <f>IF(AW449="人力费用",IF(E449="","",VLOOKUP(E449,[1]字段!D:E,2,0)),AW449)</f>
        <v>1.0倍人力</v>
      </c>
      <c r="AY449" s="30" t="str">
        <f>IF(AT449="","",VLOOKUP(AT449,[1]字段!H:I,2,0))</f>
        <v>1.0倍人力</v>
      </c>
      <c r="AZ449" s="31">
        <f t="shared" si="45"/>
        <v>0</v>
      </c>
      <c r="BA449" s="31">
        <f t="shared" si="46"/>
        <v>0</v>
      </c>
      <c r="BB449" s="31">
        <f t="shared" si="47"/>
        <v>0</v>
      </c>
      <c r="BC449" s="31">
        <f t="shared" si="49"/>
        <v>0</v>
      </c>
    </row>
    <row r="450" spans="1:55" ht="28.5" customHeight="1">
      <c r="A450" s="32"/>
      <c r="B450" s="32"/>
      <c r="C450" s="41"/>
      <c r="D450" s="42"/>
      <c r="E450" s="39" t="s">
        <v>100</v>
      </c>
      <c r="F450" s="39" t="s">
        <v>101</v>
      </c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  <c r="AA450" s="29"/>
      <c r="AB450" s="29"/>
      <c r="AC450" s="29"/>
      <c r="AD450" s="29"/>
      <c r="AE450" s="29"/>
      <c r="AJ450"/>
      <c r="AK450"/>
      <c r="AL450"/>
      <c r="AM450"/>
      <c r="AN450"/>
      <c r="AO450"/>
      <c r="AP450"/>
      <c r="AQ450"/>
      <c r="AR450"/>
      <c r="AS450"/>
      <c r="AT450" s="4" t="str">
        <f t="shared" si="48"/>
        <v>劳务支出劳务支出</v>
      </c>
      <c r="AU450" s="4" t="str">
        <f t="shared" si="43"/>
        <v>产业及绿色金融部</v>
      </c>
      <c r="AV450" s="4" t="str">
        <f t="shared" si="44"/>
        <v>人力费用</v>
      </c>
      <c r="AW450" s="4" t="str">
        <f>IFERROR(VLOOKUP(AV450,[1]字段!A:B,2,0),"")</f>
        <v>人力费用</v>
      </c>
      <c r="AX450" s="30" t="str">
        <f>IF(AW450="人力费用",IF(E450="","",VLOOKUP(E450,[1]字段!D:E,2,0)),AW450)</f>
        <v>劳务支出</v>
      </c>
      <c r="AY450" s="30" t="str">
        <f>IF(AT450="","",VLOOKUP(AT450,[1]字段!H:I,2,0))</f>
        <v>劳务支出</v>
      </c>
      <c r="AZ450" s="31">
        <f t="shared" si="45"/>
        <v>0</v>
      </c>
      <c r="BA450" s="31">
        <f t="shared" si="46"/>
        <v>0</v>
      </c>
      <c r="BB450" s="31">
        <f t="shared" si="47"/>
        <v>0</v>
      </c>
      <c r="BC450" s="31">
        <f t="shared" si="49"/>
        <v>0</v>
      </c>
    </row>
    <row r="451" spans="1:55" ht="28.5" customHeight="1">
      <c r="C451" s="33" t="s">
        <v>107</v>
      </c>
      <c r="D451" s="34" t="s">
        <v>108</v>
      </c>
      <c r="E451" s="35"/>
      <c r="F451" s="36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  <c r="AA451" s="29"/>
      <c r="AB451" s="29"/>
      <c r="AC451" s="29"/>
      <c r="AD451" s="29"/>
      <c r="AE451" s="29"/>
      <c r="AJ451"/>
      <c r="AK451"/>
      <c r="AL451"/>
      <c r="AM451"/>
      <c r="AN451"/>
      <c r="AO451"/>
      <c r="AP451"/>
      <c r="AQ451"/>
      <c r="AR451"/>
      <c r="AS451"/>
      <c r="AT451" s="4" t="str">
        <f t="shared" si="48"/>
        <v>营销费用</v>
      </c>
      <c r="AU451" s="4" t="str">
        <f t="shared" si="43"/>
        <v>产业及绿色金融部</v>
      </c>
      <c r="AV451" s="4" t="str">
        <f t="shared" si="44"/>
        <v>营销费用</v>
      </c>
      <c r="AW451" s="4" t="str">
        <f>IFERROR(VLOOKUP(AV451,[1]字段!A:B,2,0),"")</f>
        <v>营销费用</v>
      </c>
      <c r="AX451" s="30" t="str">
        <f>IF(AW451="人力费用",IF(E451="","",VLOOKUP(E451,[1]字段!D:E,2,0)),AW451)</f>
        <v>营销费用</v>
      </c>
      <c r="AY451" s="30">
        <f>IF(AT451="","",VLOOKUP(AT451,[1]字段!H:I,2,0))</f>
        <v>0</v>
      </c>
      <c r="AZ451" s="31">
        <f t="shared" si="45"/>
        <v>0</v>
      </c>
      <c r="BA451" s="31">
        <f t="shared" si="46"/>
        <v>0</v>
      </c>
      <c r="BB451" s="31">
        <f t="shared" si="47"/>
        <v>0</v>
      </c>
      <c r="BC451" s="31">
        <f t="shared" si="49"/>
        <v>0</v>
      </c>
    </row>
    <row r="452" spans="1:55" ht="28.5" customHeight="1">
      <c r="A452" s="32"/>
      <c r="B452" s="32"/>
      <c r="C452" s="37"/>
      <c r="D452" s="38"/>
      <c r="E452" s="39" t="s">
        <v>172</v>
      </c>
      <c r="F452" s="39" t="s">
        <v>173</v>
      </c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  <c r="AA452" s="29"/>
      <c r="AB452" s="29"/>
      <c r="AC452" s="29"/>
      <c r="AD452" s="29"/>
      <c r="AE452" s="29"/>
      <c r="AJ452"/>
      <c r="AK452"/>
      <c r="AL452"/>
      <c r="AM452"/>
      <c r="AN452"/>
      <c r="AO452"/>
      <c r="AP452"/>
      <c r="AQ452"/>
      <c r="AR452"/>
      <c r="AS452"/>
      <c r="AT452" s="4" t="str">
        <f t="shared" si="48"/>
        <v>营销费用客服费</v>
      </c>
      <c r="AU452" s="4" t="str">
        <f t="shared" si="43"/>
        <v>产业及绿色金融部</v>
      </c>
      <c r="AV452" s="4" t="str">
        <f t="shared" si="44"/>
        <v>营销费用</v>
      </c>
      <c r="AW452" s="4" t="str">
        <f>IFERROR(VLOOKUP(AV452,[1]字段!A:B,2,0),"")</f>
        <v>营销费用</v>
      </c>
      <c r="AX452" s="30" t="str">
        <f>IF(AW452="人力费用",IF(E452="","",VLOOKUP(E452,[1]字段!D:E,2,0)),AW452)</f>
        <v>营销费用</v>
      </c>
      <c r="AY452" s="30" t="str">
        <f>IF(AT452="","",VLOOKUP(AT452,[1]字段!H:I,2,0))</f>
        <v>营销费用</v>
      </c>
      <c r="AZ452" s="31">
        <f t="shared" si="45"/>
        <v>0</v>
      </c>
      <c r="BA452" s="31">
        <f t="shared" si="46"/>
        <v>0</v>
      </c>
      <c r="BB452" s="31">
        <f t="shared" si="47"/>
        <v>0</v>
      </c>
      <c r="BC452" s="31">
        <f t="shared" si="49"/>
        <v>0</v>
      </c>
    </row>
    <row r="453" spans="1:55" ht="28.5" customHeight="1">
      <c r="A453" s="32"/>
      <c r="B453" s="32"/>
      <c r="C453" s="41"/>
      <c r="D453" s="42"/>
      <c r="E453" s="39" t="s">
        <v>111</v>
      </c>
      <c r="F453" s="39" t="s">
        <v>112</v>
      </c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  <c r="AA453" s="29"/>
      <c r="AB453" s="29"/>
      <c r="AC453" s="29"/>
      <c r="AD453" s="29"/>
      <c r="AE453" s="29"/>
      <c r="AJ453"/>
      <c r="AK453"/>
      <c r="AL453"/>
      <c r="AM453"/>
      <c r="AN453"/>
      <c r="AO453"/>
      <c r="AP453"/>
      <c r="AQ453"/>
      <c r="AR453"/>
      <c r="AS453"/>
      <c r="AT453" s="4" t="str">
        <f t="shared" si="48"/>
        <v>营销费用业务宣传费</v>
      </c>
      <c r="AU453" s="4" t="str">
        <f t="shared" ref="AU453:AU516" si="50">IF(B453="",AU452,B453)</f>
        <v>产业及绿色金融部</v>
      </c>
      <c r="AV453" s="4" t="str">
        <f t="shared" ref="AV453:AV516" si="51">IF(B453&lt;&gt;"","",IF(D453="",AV452,D453))</f>
        <v>营销费用</v>
      </c>
      <c r="AW453" s="4" t="str">
        <f>IFERROR(VLOOKUP(AV453,[1]字段!A:B,2,0),"")</f>
        <v>营销费用</v>
      </c>
      <c r="AX453" s="30" t="str">
        <f>IF(AW453="人力费用",IF(E453="","",VLOOKUP(E453,[1]字段!D:E,2,0)),AW453)</f>
        <v>营销费用</v>
      </c>
      <c r="AY453" s="30" t="str">
        <f>IF(AT453="","",VLOOKUP(AT453,[1]字段!H:I,2,0))</f>
        <v>营销费用</v>
      </c>
      <c r="AZ453" s="31">
        <f t="shared" ref="AZ453:AZ516" si="52">IF($E453="",0,SUMIF($G$1:$AB$1,AZ$4,$G453:$AB453))</f>
        <v>0</v>
      </c>
      <c r="BA453" s="31">
        <f t="shared" ref="BA453:BA516" si="53">IF($E453="",0,SUMIF($G$1:$AE$1,BA$4,$G453:$AE453))</f>
        <v>0</v>
      </c>
      <c r="BB453" s="31">
        <f t="shared" ref="BB453:BB516" si="54">AZ453+BA453</f>
        <v>0</v>
      </c>
      <c r="BC453" s="31">
        <f t="shared" si="49"/>
        <v>0</v>
      </c>
    </row>
    <row r="454" spans="1:55" ht="28.5" customHeight="1">
      <c r="C454" s="33" t="s">
        <v>162</v>
      </c>
      <c r="D454" s="34" t="s">
        <v>163</v>
      </c>
      <c r="E454" s="35"/>
      <c r="F454" s="36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  <c r="AA454" s="29"/>
      <c r="AB454" s="29"/>
      <c r="AC454" s="29"/>
      <c r="AD454" s="29"/>
      <c r="AE454" s="29"/>
      <c r="AJ454"/>
      <c r="AK454"/>
      <c r="AL454"/>
      <c r="AM454"/>
      <c r="AN454"/>
      <c r="AO454"/>
      <c r="AP454"/>
      <c r="AQ454"/>
      <c r="AR454"/>
      <c r="AS454"/>
      <c r="AT454" s="4" t="str">
        <f t="shared" ref="AT454:AT517" si="55">AX454&amp;F454</f>
        <v>运营费用</v>
      </c>
      <c r="AU454" s="4" t="str">
        <f t="shared" si="50"/>
        <v>产业及绿色金融部</v>
      </c>
      <c r="AV454" s="4" t="str">
        <f t="shared" si="51"/>
        <v>运营费用</v>
      </c>
      <c r="AW454" s="4" t="str">
        <f>IFERROR(VLOOKUP(AV454,[1]字段!A:B,2,0),"")</f>
        <v>运营费用</v>
      </c>
      <c r="AX454" s="30" t="str">
        <f>IF(AW454="人力费用",IF(E454="","",VLOOKUP(E454,[1]字段!D:E,2,0)),AW454)</f>
        <v>运营费用</v>
      </c>
      <c r="AY454" s="30">
        <f>IF(AT454="","",VLOOKUP(AT454,[1]字段!H:I,2,0))</f>
        <v>0</v>
      </c>
      <c r="AZ454" s="31">
        <f t="shared" si="52"/>
        <v>0</v>
      </c>
      <c r="BA454" s="31">
        <f t="shared" si="53"/>
        <v>0</v>
      </c>
      <c r="BB454" s="31">
        <f t="shared" si="54"/>
        <v>0</v>
      </c>
      <c r="BC454" s="31">
        <f t="shared" ref="BC454:BC517" si="56">IF(E454="",0,SUM(G454:AE454)-AZ454-BA454)</f>
        <v>0</v>
      </c>
    </row>
    <row r="455" spans="1:55" ht="28.5" customHeight="1">
      <c r="A455" s="32"/>
      <c r="B455" s="32"/>
      <c r="C455" s="43"/>
      <c r="D455" s="43"/>
      <c r="E455" s="39" t="s">
        <v>83</v>
      </c>
      <c r="F455" s="39" t="s">
        <v>84</v>
      </c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  <c r="AA455" s="29"/>
      <c r="AB455" s="29"/>
      <c r="AC455" s="29"/>
      <c r="AD455" s="29"/>
      <c r="AE455" s="29"/>
      <c r="AJ455"/>
      <c r="AK455"/>
      <c r="AL455"/>
      <c r="AM455"/>
      <c r="AN455"/>
      <c r="AO455"/>
      <c r="AP455"/>
      <c r="AQ455"/>
      <c r="AR455"/>
      <c r="AS455"/>
      <c r="AT455" s="4" t="str">
        <f t="shared" si="55"/>
        <v>运营费用其他外包服务费</v>
      </c>
      <c r="AU455" s="4" t="str">
        <f t="shared" si="50"/>
        <v>产业及绿色金融部</v>
      </c>
      <c r="AV455" s="4" t="str">
        <f t="shared" si="51"/>
        <v>运营费用</v>
      </c>
      <c r="AW455" s="4" t="str">
        <f>IFERROR(VLOOKUP(AV455,[1]字段!A:B,2,0),"")</f>
        <v>运营费用</v>
      </c>
      <c r="AX455" s="30" t="str">
        <f>IF(AW455="人力费用",IF(E455="","",VLOOKUP(E455,[1]字段!D:E,2,0)),AW455)</f>
        <v>运营费用</v>
      </c>
      <c r="AY455" s="30" t="str">
        <f>IF(AT455="","",VLOOKUP(AT455,[1]字段!H:I,2,0))</f>
        <v>运营费用-外包服务费</v>
      </c>
      <c r="AZ455" s="31">
        <f t="shared" si="52"/>
        <v>0</v>
      </c>
      <c r="BA455" s="31">
        <f t="shared" si="53"/>
        <v>0</v>
      </c>
      <c r="BB455" s="31">
        <f t="shared" si="54"/>
        <v>0</v>
      </c>
      <c r="BC455" s="31">
        <f t="shared" si="56"/>
        <v>0</v>
      </c>
    </row>
    <row r="456" spans="1:55" ht="28.5" customHeight="1">
      <c r="C456" s="33" t="s">
        <v>65</v>
      </c>
      <c r="D456" s="34" t="s">
        <v>66</v>
      </c>
      <c r="E456" s="35"/>
      <c r="F456" s="36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  <c r="AA456" s="29"/>
      <c r="AB456" s="29"/>
      <c r="AC456" s="29"/>
      <c r="AD456" s="29"/>
      <c r="AE456" s="29"/>
      <c r="AJ456"/>
      <c r="AK456"/>
      <c r="AL456"/>
      <c r="AM456"/>
      <c r="AN456"/>
      <c r="AO456"/>
      <c r="AP456"/>
      <c r="AQ456"/>
      <c r="AR456"/>
      <c r="AS456"/>
      <c r="AT456" s="4" t="str">
        <f t="shared" si="55"/>
        <v>IT费用</v>
      </c>
      <c r="AU456" s="4" t="str">
        <f t="shared" si="50"/>
        <v>产业及绿色金融部</v>
      </c>
      <c r="AV456" s="4" t="str">
        <f t="shared" si="51"/>
        <v>IT科技费用</v>
      </c>
      <c r="AW456" s="4" t="str">
        <f>IFERROR(VLOOKUP(AV456,[1]字段!A:B,2,0),"")</f>
        <v>IT费用</v>
      </c>
      <c r="AX456" s="30" t="str">
        <f>IF(AW456="人力费用",IF(E456="","",VLOOKUP(E456,[1]字段!D:E,2,0)),AW456)</f>
        <v>IT费用</v>
      </c>
      <c r="AY456" s="30">
        <f>IF(AT456="","",VLOOKUP(AT456,[1]字段!H:I,2,0))</f>
        <v>0</v>
      </c>
      <c r="AZ456" s="31">
        <f t="shared" si="52"/>
        <v>0</v>
      </c>
      <c r="BA456" s="31">
        <f t="shared" si="53"/>
        <v>0</v>
      </c>
      <c r="BB456" s="31">
        <f t="shared" si="54"/>
        <v>0</v>
      </c>
      <c r="BC456" s="31">
        <f t="shared" si="56"/>
        <v>0</v>
      </c>
    </row>
    <row r="457" spans="1:55" ht="28.5" customHeight="1">
      <c r="A457" s="32"/>
      <c r="B457" s="32"/>
      <c r="C457" s="43"/>
      <c r="D457" s="43"/>
      <c r="E457" s="39" t="s">
        <v>71</v>
      </c>
      <c r="F457" s="39" t="s">
        <v>72</v>
      </c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  <c r="AA457" s="29"/>
      <c r="AB457" s="29"/>
      <c r="AC457" s="29"/>
      <c r="AD457" s="29"/>
      <c r="AE457" s="29"/>
      <c r="AJ457"/>
      <c r="AK457"/>
      <c r="AL457"/>
      <c r="AM457"/>
      <c r="AN457"/>
      <c r="AO457"/>
      <c r="AP457"/>
      <c r="AQ457"/>
      <c r="AR457"/>
      <c r="AS457"/>
      <c r="AT457" s="4" t="str">
        <f t="shared" si="55"/>
        <v>IT费用办公IT设备折旧费</v>
      </c>
      <c r="AU457" s="4" t="str">
        <f t="shared" si="50"/>
        <v>产业及绿色金融部</v>
      </c>
      <c r="AV457" s="4" t="str">
        <f t="shared" si="51"/>
        <v>IT科技费用</v>
      </c>
      <c r="AW457" s="4" t="str">
        <f>IFERROR(VLOOKUP(AV457,[1]字段!A:B,2,0),"")</f>
        <v>IT费用</v>
      </c>
      <c r="AX457" s="30" t="str">
        <f>IF(AW457="人力费用",IF(E457="","",VLOOKUP(E457,[1]字段!D:E,2,0)),AW457)</f>
        <v>IT费用</v>
      </c>
      <c r="AY457" s="30" t="str">
        <f>IF(AT457="","",VLOOKUP(AT457,[1]字段!H:I,2,0))</f>
        <v>IT费用</v>
      </c>
      <c r="AZ457" s="31">
        <f t="shared" si="52"/>
        <v>0</v>
      </c>
      <c r="BA457" s="31">
        <f t="shared" si="53"/>
        <v>0</v>
      </c>
      <c r="BB457" s="31">
        <f t="shared" si="54"/>
        <v>0</v>
      </c>
      <c r="BC457" s="31">
        <f t="shared" si="56"/>
        <v>0</v>
      </c>
    </row>
    <row r="458" spans="1:55" ht="28.5" customHeight="1">
      <c r="C458" s="33" t="s">
        <v>93</v>
      </c>
      <c r="D458" s="34" t="s">
        <v>94</v>
      </c>
      <c r="E458" s="35"/>
      <c r="F458" s="36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  <c r="AA458" s="29"/>
      <c r="AB458" s="29"/>
      <c r="AC458" s="29"/>
      <c r="AD458" s="29"/>
      <c r="AE458" s="29"/>
      <c r="AJ458"/>
      <c r="AK458"/>
      <c r="AL458"/>
      <c r="AM458"/>
      <c r="AN458"/>
      <c r="AO458"/>
      <c r="AP458"/>
      <c r="AQ458"/>
      <c r="AR458"/>
      <c r="AS458"/>
      <c r="AT458" s="4" t="str">
        <f t="shared" si="55"/>
        <v>日常费用</v>
      </c>
      <c r="AU458" s="4" t="str">
        <f t="shared" si="50"/>
        <v>产业及绿色金融部</v>
      </c>
      <c r="AV458" s="4" t="str">
        <f t="shared" si="51"/>
        <v>日常费用</v>
      </c>
      <c r="AW458" s="4" t="str">
        <f>IFERROR(VLOOKUP(AV458,[1]字段!A:B,2,0),"")</f>
        <v>日常费用</v>
      </c>
      <c r="AX458" s="30" t="str">
        <f>IF(AW458="人力费用",IF(E458="","",VLOOKUP(E458,[1]字段!D:E,2,0)),AW458)</f>
        <v>日常费用</v>
      </c>
      <c r="AY458" s="30">
        <f>IF(AT458="","",VLOOKUP(AT458,[1]字段!H:I,2,0))</f>
        <v>0</v>
      </c>
      <c r="AZ458" s="31">
        <f t="shared" si="52"/>
        <v>0</v>
      </c>
      <c r="BA458" s="31">
        <f t="shared" si="53"/>
        <v>0</v>
      </c>
      <c r="BB458" s="31">
        <f t="shared" si="54"/>
        <v>0</v>
      </c>
      <c r="BC458" s="31">
        <f t="shared" si="56"/>
        <v>0</v>
      </c>
    </row>
    <row r="459" spans="1:55" ht="28.5" customHeight="1">
      <c r="A459" s="32"/>
      <c r="B459" s="32"/>
      <c r="C459" s="37"/>
      <c r="D459" s="38"/>
      <c r="E459" s="39" t="s">
        <v>95</v>
      </c>
      <c r="F459" s="39" t="s">
        <v>96</v>
      </c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  <c r="AA459" s="29"/>
      <c r="AB459" s="29"/>
      <c r="AC459" s="29"/>
      <c r="AD459" s="29"/>
      <c r="AE459" s="29"/>
      <c r="AJ459"/>
      <c r="AK459"/>
      <c r="AL459"/>
      <c r="AM459"/>
      <c r="AN459"/>
      <c r="AO459"/>
      <c r="AP459"/>
      <c r="AQ459"/>
      <c r="AR459"/>
      <c r="AS459"/>
      <c r="AT459" s="4" t="str">
        <f t="shared" si="55"/>
        <v>日常费用业务招待费</v>
      </c>
      <c r="AU459" s="4" t="str">
        <f t="shared" si="50"/>
        <v>产业及绿色金融部</v>
      </c>
      <c r="AV459" s="4" t="str">
        <f t="shared" si="51"/>
        <v>日常费用</v>
      </c>
      <c r="AW459" s="4" t="str">
        <f>IFERROR(VLOOKUP(AV459,[1]字段!A:B,2,0),"")</f>
        <v>日常费用</v>
      </c>
      <c r="AX459" s="30" t="str">
        <f>IF(AW459="人力费用",IF(E459="","",VLOOKUP(E459,[1]字段!D:E,2,0)),AW459)</f>
        <v>日常费用</v>
      </c>
      <c r="AY459" s="30" t="str">
        <f>IF(AT459="","",VLOOKUP(AT459,[1]字段!H:I,2,0))</f>
        <v>日常费用-其他</v>
      </c>
      <c r="AZ459" s="31">
        <f t="shared" si="52"/>
        <v>0</v>
      </c>
      <c r="BA459" s="31">
        <f t="shared" si="53"/>
        <v>0</v>
      </c>
      <c r="BB459" s="31">
        <f t="shared" si="54"/>
        <v>0</v>
      </c>
      <c r="BC459" s="31">
        <f t="shared" si="56"/>
        <v>0</v>
      </c>
    </row>
    <row r="460" spans="1:55" ht="28.5" customHeight="1">
      <c r="A460" s="41"/>
      <c r="B460" s="41"/>
      <c r="C460" s="41"/>
      <c r="D460" s="42"/>
      <c r="E460" s="39" t="s">
        <v>139</v>
      </c>
      <c r="F460" s="39" t="s">
        <v>140</v>
      </c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  <c r="AA460" s="29"/>
      <c r="AB460" s="29"/>
      <c r="AC460" s="29"/>
      <c r="AD460" s="29"/>
      <c r="AE460" s="29"/>
      <c r="AJ460"/>
      <c r="AK460"/>
      <c r="AL460"/>
      <c r="AM460"/>
      <c r="AN460"/>
      <c r="AO460"/>
      <c r="AP460"/>
      <c r="AQ460"/>
      <c r="AR460"/>
      <c r="AS460"/>
      <c r="AT460" s="4" t="str">
        <f t="shared" si="55"/>
        <v>日常费用差旅费</v>
      </c>
      <c r="AU460" s="4" t="str">
        <f t="shared" si="50"/>
        <v>产业及绿色金融部</v>
      </c>
      <c r="AV460" s="4" t="str">
        <f t="shared" si="51"/>
        <v>日常费用</v>
      </c>
      <c r="AW460" s="4" t="str">
        <f>IFERROR(VLOOKUP(AV460,[1]字段!A:B,2,0),"")</f>
        <v>日常费用</v>
      </c>
      <c r="AX460" s="30" t="str">
        <f>IF(AW460="人力费用",IF(E460="","",VLOOKUP(E460,[1]字段!D:E,2,0)),AW460)</f>
        <v>日常费用</v>
      </c>
      <c r="AY460" s="30" t="str">
        <f>IF(AT460="","",VLOOKUP(AT460,[1]字段!H:I,2,0))</f>
        <v>日常费用-其他</v>
      </c>
      <c r="AZ460" s="31">
        <f t="shared" si="52"/>
        <v>0</v>
      </c>
      <c r="BA460" s="31">
        <f t="shared" si="53"/>
        <v>0</v>
      </c>
      <c r="BB460" s="31">
        <f t="shared" si="54"/>
        <v>0</v>
      </c>
      <c r="BC460" s="31">
        <f t="shared" si="56"/>
        <v>0</v>
      </c>
    </row>
    <row r="461" spans="1:55" ht="28.5" customHeight="1">
      <c r="A461" s="25"/>
      <c r="B461" s="26" t="s">
        <v>185</v>
      </c>
      <c r="C461" s="27"/>
      <c r="D461" s="27"/>
      <c r="E461" s="27"/>
      <c r="F461" s="28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  <c r="AA461" s="29"/>
      <c r="AB461" s="29"/>
      <c r="AC461" s="29"/>
      <c r="AD461" s="29"/>
      <c r="AE461" s="29"/>
      <c r="AJ461"/>
      <c r="AK461"/>
      <c r="AL461"/>
      <c r="AM461"/>
      <c r="AN461"/>
      <c r="AO461"/>
      <c r="AP461"/>
      <c r="AQ461"/>
      <c r="AR461"/>
      <c r="AS461"/>
      <c r="AT461" s="4" t="str">
        <f t="shared" si="55"/>
        <v/>
      </c>
      <c r="AU461" s="4" t="str">
        <f t="shared" si="50"/>
        <v>企业产品部</v>
      </c>
      <c r="AV461" s="4" t="str">
        <f t="shared" si="51"/>
        <v/>
      </c>
      <c r="AW461" s="4" t="str">
        <f>IFERROR(VLOOKUP(AV461,[1]字段!A:B,2,0),"")</f>
        <v/>
      </c>
      <c r="AX461" s="30" t="str">
        <f>IF(AW461="人力费用",IF(E461="","",VLOOKUP(E461,[1]字段!D:E,2,0)),AW461)</f>
        <v/>
      </c>
      <c r="AY461" s="30" t="str">
        <f>IF(AT461="","",VLOOKUP(AT461,[1]字段!H:I,2,0))</f>
        <v/>
      </c>
      <c r="AZ461" s="31">
        <f t="shared" si="52"/>
        <v>0</v>
      </c>
      <c r="BA461" s="31">
        <f t="shared" si="53"/>
        <v>0</v>
      </c>
      <c r="BB461" s="31">
        <f t="shared" si="54"/>
        <v>0</v>
      </c>
      <c r="BC461" s="31">
        <f t="shared" si="56"/>
        <v>0</v>
      </c>
    </row>
    <row r="462" spans="1:55" ht="28.5" customHeight="1">
      <c r="A462" s="32"/>
      <c r="B462" s="32"/>
      <c r="C462" s="33" t="s">
        <v>39</v>
      </c>
      <c r="D462" s="34" t="s">
        <v>40</v>
      </c>
      <c r="E462" s="35"/>
      <c r="F462" s="36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  <c r="AA462" s="29"/>
      <c r="AB462" s="29"/>
      <c r="AC462" s="29"/>
      <c r="AD462" s="29"/>
      <c r="AE462" s="29"/>
      <c r="AJ462"/>
      <c r="AK462"/>
      <c r="AL462"/>
      <c r="AM462"/>
      <c r="AN462"/>
      <c r="AO462"/>
      <c r="AP462"/>
      <c r="AQ462"/>
      <c r="AR462"/>
      <c r="AS462"/>
      <c r="AT462" s="4" t="str">
        <f t="shared" si="55"/>
        <v/>
      </c>
      <c r="AU462" s="4" t="str">
        <f t="shared" si="50"/>
        <v>企业产品部</v>
      </c>
      <c r="AV462" s="4" t="str">
        <f t="shared" si="51"/>
        <v>人力费用</v>
      </c>
      <c r="AW462" s="4" t="str">
        <f>IFERROR(VLOOKUP(AV462,[1]字段!A:B,2,0),"")</f>
        <v>人力费用</v>
      </c>
      <c r="AX462" s="30" t="str">
        <f>IF(AW462="人力费用",IF(E462="","",VLOOKUP(E462,[1]字段!D:E,2,0)),AW462)</f>
        <v/>
      </c>
      <c r="AY462" s="30" t="str">
        <f>IF(AT462="","",VLOOKUP(AT462,[1]字段!H:I,2,0))</f>
        <v/>
      </c>
      <c r="AZ462" s="31">
        <f t="shared" si="52"/>
        <v>0</v>
      </c>
      <c r="BA462" s="31">
        <f t="shared" si="53"/>
        <v>0</v>
      </c>
      <c r="BB462" s="31">
        <f t="shared" si="54"/>
        <v>0</v>
      </c>
      <c r="BC462" s="31">
        <f t="shared" si="56"/>
        <v>0</v>
      </c>
    </row>
    <row r="463" spans="1:55" ht="28.5" customHeight="1">
      <c r="A463" s="32"/>
      <c r="B463" s="32"/>
      <c r="C463" s="37"/>
      <c r="D463" s="38"/>
      <c r="E463" s="39" t="s">
        <v>41</v>
      </c>
      <c r="F463" s="39" t="s">
        <v>42</v>
      </c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  <c r="AA463" s="29"/>
      <c r="AB463" s="29"/>
      <c r="AC463" s="29"/>
      <c r="AD463" s="29"/>
      <c r="AE463" s="29"/>
      <c r="AJ463"/>
      <c r="AK463"/>
      <c r="AL463"/>
      <c r="AM463"/>
      <c r="AN463"/>
      <c r="AO463"/>
      <c r="AP463"/>
      <c r="AQ463"/>
      <c r="AR463"/>
      <c r="AS463"/>
      <c r="AT463" s="4" t="str">
        <f t="shared" si="55"/>
        <v>1.0倍人力基础工资</v>
      </c>
      <c r="AU463" s="4" t="str">
        <f t="shared" si="50"/>
        <v>企业产品部</v>
      </c>
      <c r="AV463" s="4" t="str">
        <f t="shared" si="51"/>
        <v>人力费用</v>
      </c>
      <c r="AW463" s="4" t="str">
        <f>IFERROR(VLOOKUP(AV463,[1]字段!A:B,2,0),"")</f>
        <v>人力费用</v>
      </c>
      <c r="AX463" s="30" t="str">
        <f>IF(AW463="人力费用",IF(E463="","",VLOOKUP(E463,[1]字段!D:E,2,0)),AW463)</f>
        <v>1.0倍人力</v>
      </c>
      <c r="AY463" s="30" t="str">
        <f>IF(AT463="","",VLOOKUP(AT463,[1]字段!H:I,2,0))</f>
        <v>1.0倍人力</v>
      </c>
      <c r="AZ463" s="31">
        <f t="shared" si="52"/>
        <v>0</v>
      </c>
      <c r="BA463" s="31">
        <f t="shared" si="53"/>
        <v>0</v>
      </c>
      <c r="BB463" s="31">
        <f t="shared" si="54"/>
        <v>0</v>
      </c>
      <c r="BC463" s="31">
        <f t="shared" si="56"/>
        <v>0</v>
      </c>
    </row>
    <row r="464" spans="1:55" ht="28.5" customHeight="1">
      <c r="A464" s="32"/>
      <c r="B464" s="32"/>
      <c r="C464" s="32"/>
      <c r="D464" s="40"/>
      <c r="E464" s="39">
        <v>5501010602</v>
      </c>
      <c r="F464" s="3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  <c r="AA464" s="29"/>
      <c r="AB464" s="29"/>
      <c r="AC464" s="29"/>
      <c r="AD464" s="29"/>
      <c r="AE464" s="29"/>
      <c r="AJ464"/>
      <c r="AK464"/>
      <c r="AL464"/>
      <c r="AM464"/>
      <c r="AN464"/>
      <c r="AO464"/>
      <c r="AP464"/>
      <c r="AQ464"/>
      <c r="AR464"/>
      <c r="AS464"/>
      <c r="AT464" s="4" t="str">
        <f t="shared" si="55"/>
        <v>利润分享</v>
      </c>
      <c r="AU464" s="4" t="str">
        <f t="shared" si="50"/>
        <v>企业产品部</v>
      </c>
      <c r="AV464" s="4" t="str">
        <f t="shared" si="51"/>
        <v>人力费用</v>
      </c>
      <c r="AW464" s="4" t="str">
        <f>IFERROR(VLOOKUP(AV464,[1]字段!A:B,2,0),"")</f>
        <v>人力费用</v>
      </c>
      <c r="AX464" s="30" t="str">
        <f>IF(AW464="人力费用",IF(E464="","",VLOOKUP(E464,[1]字段!D:E,2,0)),AW464)</f>
        <v>利润分享</v>
      </c>
      <c r="AY464" s="30" t="str">
        <f>IF(AT464="","",VLOOKUP(AT464,[1]字段!H:I,2,0))</f>
        <v>利润分享</v>
      </c>
      <c r="AZ464" s="31">
        <f t="shared" si="52"/>
        <v>0</v>
      </c>
      <c r="BA464" s="31">
        <f t="shared" si="53"/>
        <v>0</v>
      </c>
      <c r="BB464" s="31">
        <f t="shared" si="54"/>
        <v>0</v>
      </c>
      <c r="BC464" s="31">
        <f t="shared" si="56"/>
        <v>0</v>
      </c>
    </row>
    <row r="465" spans="1:55" ht="28.5" customHeight="1">
      <c r="A465" s="32"/>
      <c r="B465" s="32"/>
      <c r="C465" s="32"/>
      <c r="D465" s="40"/>
      <c r="E465" s="39">
        <v>5501010603</v>
      </c>
      <c r="F465" s="3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  <c r="AA465" s="29"/>
      <c r="AB465" s="29"/>
      <c r="AC465" s="29"/>
      <c r="AD465" s="29"/>
      <c r="AE465" s="29"/>
      <c r="AJ465"/>
      <c r="AK465"/>
      <c r="AL465"/>
      <c r="AM465"/>
      <c r="AN465"/>
      <c r="AO465"/>
      <c r="AP465"/>
      <c r="AQ465"/>
      <c r="AR465"/>
      <c r="AS465"/>
      <c r="AT465" s="4" t="str">
        <f t="shared" si="55"/>
        <v>留任奖励</v>
      </c>
      <c r="AU465" s="4" t="str">
        <f t="shared" si="50"/>
        <v>企业产品部</v>
      </c>
      <c r="AV465" s="4" t="str">
        <f t="shared" si="51"/>
        <v>人力费用</v>
      </c>
      <c r="AW465" s="4" t="str">
        <f>IFERROR(VLOOKUP(AV465,[1]字段!A:B,2,0),"")</f>
        <v>人力费用</v>
      </c>
      <c r="AX465" s="30" t="str">
        <f>IF(AW465="人力费用",IF(E465="","",VLOOKUP(E465,[1]字段!D:E,2,0)),AW465)</f>
        <v>留任奖励</v>
      </c>
      <c r="AY465" s="30" t="str">
        <f>IF(AT465="","",VLOOKUP(AT465,[1]字段!H:I,2,0))</f>
        <v>留任奖励</v>
      </c>
      <c r="AZ465" s="31">
        <f t="shared" si="52"/>
        <v>0</v>
      </c>
      <c r="BA465" s="31">
        <f t="shared" si="53"/>
        <v>0</v>
      </c>
      <c r="BB465" s="31">
        <f t="shared" si="54"/>
        <v>0</v>
      </c>
      <c r="BC465" s="31">
        <f t="shared" si="56"/>
        <v>0</v>
      </c>
    </row>
    <row r="466" spans="1:55" ht="28.5" customHeight="1">
      <c r="A466" s="32"/>
      <c r="B466" s="32"/>
      <c r="C466" s="32"/>
      <c r="D466" s="40"/>
      <c r="E466" s="39">
        <v>5501010604</v>
      </c>
      <c r="F466" s="3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  <c r="AA466" s="29"/>
      <c r="AB466" s="29"/>
      <c r="AC466" s="29"/>
      <c r="AD466" s="29"/>
      <c r="AE466" s="29"/>
      <c r="AJ466"/>
      <c r="AK466"/>
      <c r="AL466"/>
      <c r="AM466"/>
      <c r="AN466"/>
      <c r="AO466"/>
      <c r="AP466"/>
      <c r="AQ466"/>
      <c r="AR466"/>
      <c r="AS466"/>
      <c r="AT466" s="4" t="str">
        <f t="shared" si="55"/>
        <v>1.0倍人力</v>
      </c>
      <c r="AU466" s="4" t="str">
        <f t="shared" si="50"/>
        <v>企业产品部</v>
      </c>
      <c r="AV466" s="4" t="str">
        <f t="shared" si="51"/>
        <v>人力费用</v>
      </c>
      <c r="AW466" s="4" t="str">
        <f>IFERROR(VLOOKUP(AV466,[1]字段!A:B,2,0),"")</f>
        <v>人力费用</v>
      </c>
      <c r="AX466" s="30" t="str">
        <f>IF(AW466="人力费用",IF(E466="","",VLOOKUP(E466,[1]字段!D:E,2,0)),AW466)</f>
        <v>1.0倍人力</v>
      </c>
      <c r="AY466" s="30" t="str">
        <f>IF(AT466="","",VLOOKUP(AT466,[1]字段!H:I,2,0))</f>
        <v>1.0倍人力</v>
      </c>
      <c r="AZ466" s="31">
        <f t="shared" si="52"/>
        <v>0</v>
      </c>
      <c r="BA466" s="31">
        <f t="shared" si="53"/>
        <v>0</v>
      </c>
      <c r="BB466" s="31">
        <f t="shared" si="54"/>
        <v>0</v>
      </c>
      <c r="BC466" s="31">
        <f t="shared" si="56"/>
        <v>0</v>
      </c>
    </row>
    <row r="467" spans="1:55" ht="28.5" customHeight="1">
      <c r="A467" s="32"/>
      <c r="B467" s="32"/>
      <c r="C467" s="32"/>
      <c r="D467" s="40"/>
      <c r="E467" s="39" t="s">
        <v>43</v>
      </c>
      <c r="F467" s="39" t="s">
        <v>44</v>
      </c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  <c r="AA467" s="29"/>
      <c r="AB467" s="29"/>
      <c r="AC467" s="29"/>
      <c r="AD467" s="29"/>
      <c r="AE467" s="29"/>
      <c r="AJ467"/>
      <c r="AK467"/>
      <c r="AL467"/>
      <c r="AM467"/>
      <c r="AN467"/>
      <c r="AO467"/>
      <c r="AP467"/>
      <c r="AQ467"/>
      <c r="AR467"/>
      <c r="AS467"/>
      <c r="AT467" s="4" t="str">
        <f t="shared" si="55"/>
        <v>1.0倍人力团队建设费</v>
      </c>
      <c r="AU467" s="4" t="str">
        <f t="shared" si="50"/>
        <v>企业产品部</v>
      </c>
      <c r="AV467" s="4" t="str">
        <f t="shared" si="51"/>
        <v>人力费用</v>
      </c>
      <c r="AW467" s="4" t="str">
        <f>IFERROR(VLOOKUP(AV467,[1]字段!A:B,2,0),"")</f>
        <v>人力费用</v>
      </c>
      <c r="AX467" s="30" t="str">
        <f>IF(AW467="人力费用",IF(E467="","",VLOOKUP(E467,[1]字段!D:E,2,0)),AW467)</f>
        <v>1.0倍人力</v>
      </c>
      <c r="AY467" s="30" t="str">
        <f>IF(AT467="","",VLOOKUP(AT467,[1]字段!H:I,2,0))</f>
        <v>1.0倍人力</v>
      </c>
      <c r="AZ467" s="31">
        <f t="shared" si="52"/>
        <v>0</v>
      </c>
      <c r="BA467" s="31">
        <f t="shared" si="53"/>
        <v>0</v>
      </c>
      <c r="BB467" s="31">
        <f t="shared" si="54"/>
        <v>0</v>
      </c>
      <c r="BC467" s="31">
        <f t="shared" si="56"/>
        <v>0</v>
      </c>
    </row>
    <row r="468" spans="1:55" ht="28.5" customHeight="1">
      <c r="A468" s="32"/>
      <c r="B468" s="32"/>
      <c r="C468" s="32"/>
      <c r="D468" s="40"/>
      <c r="E468" s="39" t="s">
        <v>45</v>
      </c>
      <c r="F468" s="39" t="s">
        <v>46</v>
      </c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  <c r="AA468" s="29"/>
      <c r="AB468" s="29"/>
      <c r="AC468" s="29"/>
      <c r="AD468" s="29"/>
      <c r="AE468" s="29"/>
      <c r="AJ468"/>
      <c r="AK468"/>
      <c r="AL468"/>
      <c r="AM468"/>
      <c r="AN468"/>
      <c r="AO468"/>
      <c r="AP468"/>
      <c r="AQ468"/>
      <c r="AR468"/>
      <c r="AS468"/>
      <c r="AT468" s="4" t="str">
        <f t="shared" si="55"/>
        <v>1.0倍人力其他职工福利费</v>
      </c>
      <c r="AU468" s="4" t="str">
        <f t="shared" si="50"/>
        <v>企业产品部</v>
      </c>
      <c r="AV468" s="4" t="str">
        <f t="shared" si="51"/>
        <v>人力费用</v>
      </c>
      <c r="AW468" s="4" t="str">
        <f>IFERROR(VLOOKUP(AV468,[1]字段!A:B,2,0),"")</f>
        <v>人力费用</v>
      </c>
      <c r="AX468" s="30" t="str">
        <f>IF(AW468="人力费用",IF(E468="","",VLOOKUP(E468,[1]字段!D:E,2,0)),AW468)</f>
        <v>1.0倍人力</v>
      </c>
      <c r="AY468" s="30" t="str">
        <f>IF(AT468="","",VLOOKUP(AT468,[1]字段!H:I,2,0))</f>
        <v>1.0倍人力</v>
      </c>
      <c r="AZ468" s="31">
        <f t="shared" si="52"/>
        <v>0</v>
      </c>
      <c r="BA468" s="31">
        <f t="shared" si="53"/>
        <v>0</v>
      </c>
      <c r="BB468" s="31">
        <f t="shared" si="54"/>
        <v>0</v>
      </c>
      <c r="BC468" s="31">
        <f t="shared" si="56"/>
        <v>0</v>
      </c>
    </row>
    <row r="469" spans="1:55" ht="28.5" customHeight="1">
      <c r="A469" s="32"/>
      <c r="B469" s="32"/>
      <c r="C469" s="32"/>
      <c r="D469" s="40"/>
      <c r="E469" s="39" t="s">
        <v>47</v>
      </c>
      <c r="F469" s="39" t="s">
        <v>48</v>
      </c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  <c r="AA469" s="29"/>
      <c r="AB469" s="29"/>
      <c r="AC469" s="29"/>
      <c r="AD469" s="29"/>
      <c r="AE469" s="29"/>
      <c r="AJ469"/>
      <c r="AK469"/>
      <c r="AL469"/>
      <c r="AM469"/>
      <c r="AN469"/>
      <c r="AO469"/>
      <c r="AP469"/>
      <c r="AQ469"/>
      <c r="AR469"/>
      <c r="AS469"/>
      <c r="AT469" s="4" t="str">
        <f t="shared" si="55"/>
        <v>1.0倍人力工会经费</v>
      </c>
      <c r="AU469" s="4" t="str">
        <f t="shared" si="50"/>
        <v>企业产品部</v>
      </c>
      <c r="AV469" s="4" t="str">
        <f t="shared" si="51"/>
        <v>人力费用</v>
      </c>
      <c r="AW469" s="4" t="str">
        <f>IFERROR(VLOOKUP(AV469,[1]字段!A:B,2,0),"")</f>
        <v>人力费用</v>
      </c>
      <c r="AX469" s="30" t="str">
        <f>IF(AW469="人力费用",IF(E469="","",VLOOKUP(E469,[1]字段!D:E,2,0)),AW469)</f>
        <v>1.0倍人力</v>
      </c>
      <c r="AY469" s="30" t="str">
        <f>IF(AT469="","",VLOOKUP(AT469,[1]字段!H:I,2,0))</f>
        <v>1.0倍人力</v>
      </c>
      <c r="AZ469" s="31">
        <f t="shared" si="52"/>
        <v>0</v>
      </c>
      <c r="BA469" s="31">
        <f t="shared" si="53"/>
        <v>0</v>
      </c>
      <c r="BB469" s="31">
        <f t="shared" si="54"/>
        <v>0</v>
      </c>
      <c r="BC469" s="31">
        <f t="shared" si="56"/>
        <v>0</v>
      </c>
    </row>
    <row r="470" spans="1:55" ht="28.5" customHeight="1">
      <c r="A470" s="32"/>
      <c r="B470" s="32"/>
      <c r="C470" s="32"/>
      <c r="D470" s="40"/>
      <c r="E470" s="39" t="s">
        <v>49</v>
      </c>
      <c r="F470" s="39" t="s">
        <v>50</v>
      </c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  <c r="AA470" s="29"/>
      <c r="AB470" s="29"/>
      <c r="AC470" s="29"/>
      <c r="AD470" s="29"/>
      <c r="AE470" s="29"/>
      <c r="AJ470"/>
      <c r="AK470"/>
      <c r="AL470"/>
      <c r="AM470"/>
      <c r="AN470"/>
      <c r="AO470"/>
      <c r="AP470"/>
      <c r="AQ470"/>
      <c r="AR470"/>
      <c r="AS470"/>
      <c r="AT470" s="4" t="str">
        <f t="shared" si="55"/>
        <v>1.0倍人力基本养老保险</v>
      </c>
      <c r="AU470" s="4" t="str">
        <f t="shared" si="50"/>
        <v>企业产品部</v>
      </c>
      <c r="AV470" s="4" t="str">
        <f t="shared" si="51"/>
        <v>人力费用</v>
      </c>
      <c r="AW470" s="4" t="str">
        <f>IFERROR(VLOOKUP(AV470,[1]字段!A:B,2,0),"")</f>
        <v>人力费用</v>
      </c>
      <c r="AX470" s="30" t="str">
        <f>IF(AW470="人力费用",IF(E470="","",VLOOKUP(E470,[1]字段!D:E,2,0)),AW470)</f>
        <v>1.0倍人力</v>
      </c>
      <c r="AY470" s="30" t="str">
        <f>IF(AT470="","",VLOOKUP(AT470,[1]字段!H:I,2,0))</f>
        <v>1.0倍人力</v>
      </c>
      <c r="AZ470" s="31">
        <f t="shared" si="52"/>
        <v>0</v>
      </c>
      <c r="BA470" s="31">
        <f t="shared" si="53"/>
        <v>0</v>
      </c>
      <c r="BB470" s="31">
        <f t="shared" si="54"/>
        <v>0</v>
      </c>
      <c r="BC470" s="31">
        <f t="shared" si="56"/>
        <v>0</v>
      </c>
    </row>
    <row r="471" spans="1:55" ht="28.5" customHeight="1">
      <c r="A471" s="32"/>
      <c r="B471" s="32"/>
      <c r="C471" s="32"/>
      <c r="D471" s="40"/>
      <c r="E471" s="39" t="s">
        <v>51</v>
      </c>
      <c r="F471" s="39" t="s">
        <v>52</v>
      </c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  <c r="AA471" s="29"/>
      <c r="AB471" s="29"/>
      <c r="AC471" s="29"/>
      <c r="AD471" s="29"/>
      <c r="AE471" s="29"/>
      <c r="AJ471"/>
      <c r="AK471"/>
      <c r="AL471"/>
      <c r="AM471"/>
      <c r="AN471"/>
      <c r="AO471"/>
      <c r="AP471"/>
      <c r="AQ471"/>
      <c r="AR471"/>
      <c r="AS471"/>
      <c r="AT471" s="4" t="str">
        <f t="shared" si="55"/>
        <v>1.0倍人力基本医疗保险</v>
      </c>
      <c r="AU471" s="4" t="str">
        <f t="shared" si="50"/>
        <v>企业产品部</v>
      </c>
      <c r="AV471" s="4" t="str">
        <f t="shared" si="51"/>
        <v>人力费用</v>
      </c>
      <c r="AW471" s="4" t="str">
        <f>IFERROR(VLOOKUP(AV471,[1]字段!A:B,2,0),"")</f>
        <v>人力费用</v>
      </c>
      <c r="AX471" s="30" t="str">
        <f>IF(AW471="人力费用",IF(E471="","",VLOOKUP(E471,[1]字段!D:E,2,0)),AW471)</f>
        <v>1.0倍人力</v>
      </c>
      <c r="AY471" s="30" t="str">
        <f>IF(AT471="","",VLOOKUP(AT471,[1]字段!H:I,2,0))</f>
        <v>1.0倍人力</v>
      </c>
      <c r="AZ471" s="31">
        <f t="shared" si="52"/>
        <v>0</v>
      </c>
      <c r="BA471" s="31">
        <f t="shared" si="53"/>
        <v>0</v>
      </c>
      <c r="BB471" s="31">
        <f t="shared" si="54"/>
        <v>0</v>
      </c>
      <c r="BC471" s="31">
        <f t="shared" si="56"/>
        <v>0</v>
      </c>
    </row>
    <row r="472" spans="1:55" ht="28.5" customHeight="1">
      <c r="A472" s="32"/>
      <c r="B472" s="32"/>
      <c r="C472" s="32"/>
      <c r="D472" s="40"/>
      <c r="E472" s="39" t="s">
        <v>53</v>
      </c>
      <c r="F472" s="39" t="s">
        <v>54</v>
      </c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  <c r="AA472" s="29"/>
      <c r="AB472" s="29"/>
      <c r="AC472" s="29"/>
      <c r="AD472" s="29"/>
      <c r="AE472" s="29"/>
      <c r="AJ472"/>
      <c r="AK472"/>
      <c r="AL472"/>
      <c r="AM472"/>
      <c r="AN472"/>
      <c r="AO472"/>
      <c r="AP472"/>
      <c r="AQ472"/>
      <c r="AR472"/>
      <c r="AS472"/>
      <c r="AT472" s="4" t="str">
        <f t="shared" si="55"/>
        <v>1.0倍人力工伤保险</v>
      </c>
      <c r="AU472" s="4" t="str">
        <f t="shared" si="50"/>
        <v>企业产品部</v>
      </c>
      <c r="AV472" s="4" t="str">
        <f t="shared" si="51"/>
        <v>人力费用</v>
      </c>
      <c r="AW472" s="4" t="str">
        <f>IFERROR(VLOOKUP(AV472,[1]字段!A:B,2,0),"")</f>
        <v>人力费用</v>
      </c>
      <c r="AX472" s="30" t="str">
        <f>IF(AW472="人力费用",IF(E472="","",VLOOKUP(E472,[1]字段!D:E,2,0)),AW472)</f>
        <v>1.0倍人力</v>
      </c>
      <c r="AY472" s="30" t="str">
        <f>IF(AT472="","",VLOOKUP(AT472,[1]字段!H:I,2,0))</f>
        <v>1.0倍人力</v>
      </c>
      <c r="AZ472" s="31">
        <f t="shared" si="52"/>
        <v>0</v>
      </c>
      <c r="BA472" s="31">
        <f t="shared" si="53"/>
        <v>0</v>
      </c>
      <c r="BB472" s="31">
        <f t="shared" si="54"/>
        <v>0</v>
      </c>
      <c r="BC472" s="31">
        <f t="shared" si="56"/>
        <v>0</v>
      </c>
    </row>
    <row r="473" spans="1:55" ht="28.5" customHeight="1">
      <c r="A473" s="32"/>
      <c r="B473" s="32"/>
      <c r="C473" s="32"/>
      <c r="D473" s="40"/>
      <c r="E473" s="39" t="s">
        <v>55</v>
      </c>
      <c r="F473" s="39" t="s">
        <v>56</v>
      </c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  <c r="AA473" s="29"/>
      <c r="AB473" s="29"/>
      <c r="AC473" s="29"/>
      <c r="AD473" s="29"/>
      <c r="AE473" s="29"/>
      <c r="AJ473"/>
      <c r="AK473"/>
      <c r="AL473"/>
      <c r="AM473"/>
      <c r="AN473"/>
      <c r="AO473"/>
      <c r="AP473"/>
      <c r="AQ473"/>
      <c r="AR473"/>
      <c r="AS473"/>
      <c r="AT473" s="4" t="str">
        <f t="shared" si="55"/>
        <v>1.0倍人力生育保险</v>
      </c>
      <c r="AU473" s="4" t="str">
        <f t="shared" si="50"/>
        <v>企业产品部</v>
      </c>
      <c r="AV473" s="4" t="str">
        <f t="shared" si="51"/>
        <v>人力费用</v>
      </c>
      <c r="AW473" s="4" t="str">
        <f>IFERROR(VLOOKUP(AV473,[1]字段!A:B,2,0),"")</f>
        <v>人力费用</v>
      </c>
      <c r="AX473" s="30" t="str">
        <f>IF(AW473="人力费用",IF(E473="","",VLOOKUP(E473,[1]字段!D:E,2,0)),AW473)</f>
        <v>1.0倍人力</v>
      </c>
      <c r="AY473" s="30" t="str">
        <f>IF(AT473="","",VLOOKUP(AT473,[1]字段!H:I,2,0))</f>
        <v>1.0倍人力</v>
      </c>
      <c r="AZ473" s="31">
        <f t="shared" si="52"/>
        <v>0</v>
      </c>
      <c r="BA473" s="31">
        <f t="shared" si="53"/>
        <v>0</v>
      </c>
      <c r="BB473" s="31">
        <f t="shared" si="54"/>
        <v>0</v>
      </c>
      <c r="BC473" s="31">
        <f t="shared" si="56"/>
        <v>0</v>
      </c>
    </row>
    <row r="474" spans="1:55" ht="28.5" customHeight="1">
      <c r="A474" s="32"/>
      <c r="B474" s="32"/>
      <c r="C474" s="32"/>
      <c r="D474" s="40"/>
      <c r="E474" s="39" t="s">
        <v>57</v>
      </c>
      <c r="F474" s="39" t="s">
        <v>58</v>
      </c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  <c r="AA474" s="29"/>
      <c r="AB474" s="29"/>
      <c r="AC474" s="29"/>
      <c r="AD474" s="29"/>
      <c r="AE474" s="29"/>
      <c r="AJ474"/>
      <c r="AK474"/>
      <c r="AL474"/>
      <c r="AM474"/>
      <c r="AN474"/>
      <c r="AO474"/>
      <c r="AP474"/>
      <c r="AQ474"/>
      <c r="AR474"/>
      <c r="AS474"/>
      <c r="AT474" s="4" t="str">
        <f t="shared" si="55"/>
        <v>1.0倍人力失业保险</v>
      </c>
      <c r="AU474" s="4" t="str">
        <f t="shared" si="50"/>
        <v>企业产品部</v>
      </c>
      <c r="AV474" s="4" t="str">
        <f t="shared" si="51"/>
        <v>人力费用</v>
      </c>
      <c r="AW474" s="4" t="str">
        <f>IFERROR(VLOOKUP(AV474,[1]字段!A:B,2,0),"")</f>
        <v>人力费用</v>
      </c>
      <c r="AX474" s="30" t="str">
        <f>IF(AW474="人力费用",IF(E474="","",VLOOKUP(E474,[1]字段!D:E,2,0)),AW474)</f>
        <v>1.0倍人力</v>
      </c>
      <c r="AY474" s="30" t="str">
        <f>IF(AT474="","",VLOOKUP(AT474,[1]字段!H:I,2,0))</f>
        <v>1.0倍人力</v>
      </c>
      <c r="AZ474" s="31">
        <f t="shared" si="52"/>
        <v>0</v>
      </c>
      <c r="BA474" s="31">
        <f t="shared" si="53"/>
        <v>0</v>
      </c>
      <c r="BB474" s="31">
        <f t="shared" si="54"/>
        <v>0</v>
      </c>
      <c r="BC474" s="31">
        <f t="shared" si="56"/>
        <v>0</v>
      </c>
    </row>
    <row r="475" spans="1:55" ht="28.5" customHeight="1">
      <c r="A475" s="32"/>
      <c r="B475" s="32"/>
      <c r="C475" s="32"/>
      <c r="D475" s="40"/>
      <c r="E475" s="39" t="s">
        <v>59</v>
      </c>
      <c r="F475" s="39" t="s">
        <v>60</v>
      </c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  <c r="AA475" s="29"/>
      <c r="AB475" s="29"/>
      <c r="AC475" s="29"/>
      <c r="AD475" s="29"/>
      <c r="AE475" s="29"/>
      <c r="AJ475"/>
      <c r="AK475"/>
      <c r="AL475"/>
      <c r="AM475"/>
      <c r="AN475"/>
      <c r="AO475"/>
      <c r="AP475"/>
      <c r="AQ475"/>
      <c r="AR475"/>
      <c r="AS475"/>
      <c r="AT475" s="4" t="str">
        <f t="shared" si="55"/>
        <v>1.0倍人力住房公积金</v>
      </c>
      <c r="AU475" s="4" t="str">
        <f t="shared" si="50"/>
        <v>企业产品部</v>
      </c>
      <c r="AV475" s="4" t="str">
        <f t="shared" si="51"/>
        <v>人力费用</v>
      </c>
      <c r="AW475" s="4" t="str">
        <f>IFERROR(VLOOKUP(AV475,[1]字段!A:B,2,0),"")</f>
        <v>人力费用</v>
      </c>
      <c r="AX475" s="30" t="str">
        <f>IF(AW475="人力费用",IF(E475="","",VLOOKUP(E475,[1]字段!D:E,2,0)),AW475)</f>
        <v>1.0倍人力</v>
      </c>
      <c r="AY475" s="30" t="str">
        <f>IF(AT475="","",VLOOKUP(AT475,[1]字段!H:I,2,0))</f>
        <v>1.0倍人力</v>
      </c>
      <c r="AZ475" s="31">
        <f t="shared" si="52"/>
        <v>0</v>
      </c>
      <c r="BA475" s="31">
        <f t="shared" si="53"/>
        <v>0</v>
      </c>
      <c r="BB475" s="31">
        <f t="shared" si="54"/>
        <v>0</v>
      </c>
      <c r="BC475" s="31">
        <f t="shared" si="56"/>
        <v>0</v>
      </c>
    </row>
    <row r="476" spans="1:55" ht="28.5" customHeight="1">
      <c r="A476" s="32"/>
      <c r="B476" s="32"/>
      <c r="C476" s="41"/>
      <c r="D476" s="42"/>
      <c r="E476" s="39" t="s">
        <v>100</v>
      </c>
      <c r="F476" s="39" t="s">
        <v>101</v>
      </c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  <c r="AA476" s="29"/>
      <c r="AB476" s="29"/>
      <c r="AC476" s="29"/>
      <c r="AD476" s="29"/>
      <c r="AE476" s="29"/>
      <c r="AJ476"/>
      <c r="AK476"/>
      <c r="AL476"/>
      <c r="AM476"/>
      <c r="AN476"/>
      <c r="AO476"/>
      <c r="AP476"/>
      <c r="AQ476"/>
      <c r="AR476"/>
      <c r="AS476"/>
      <c r="AT476" s="4" t="str">
        <f t="shared" si="55"/>
        <v>劳务支出劳务支出</v>
      </c>
      <c r="AU476" s="4" t="str">
        <f t="shared" si="50"/>
        <v>企业产品部</v>
      </c>
      <c r="AV476" s="4" t="str">
        <f t="shared" si="51"/>
        <v>人力费用</v>
      </c>
      <c r="AW476" s="4" t="str">
        <f>IFERROR(VLOOKUP(AV476,[1]字段!A:B,2,0),"")</f>
        <v>人力费用</v>
      </c>
      <c r="AX476" s="30" t="str">
        <f>IF(AW476="人力费用",IF(E476="","",VLOOKUP(E476,[1]字段!D:E,2,0)),AW476)</f>
        <v>劳务支出</v>
      </c>
      <c r="AY476" s="30" t="str">
        <f>IF(AT476="","",VLOOKUP(AT476,[1]字段!H:I,2,0))</f>
        <v>劳务支出</v>
      </c>
      <c r="AZ476" s="31">
        <f t="shared" si="52"/>
        <v>0</v>
      </c>
      <c r="BA476" s="31">
        <f t="shared" si="53"/>
        <v>0</v>
      </c>
      <c r="BB476" s="31">
        <f t="shared" si="54"/>
        <v>0</v>
      </c>
      <c r="BC476" s="31">
        <f t="shared" si="56"/>
        <v>0</v>
      </c>
    </row>
    <row r="477" spans="1:55" ht="28.5" customHeight="1">
      <c r="C477" s="33" t="s">
        <v>162</v>
      </c>
      <c r="D477" s="34" t="s">
        <v>163</v>
      </c>
      <c r="E477" s="35"/>
      <c r="F477" s="36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  <c r="AA477" s="29"/>
      <c r="AB477" s="29"/>
      <c r="AC477" s="29"/>
      <c r="AD477" s="29"/>
      <c r="AE477" s="29"/>
      <c r="AJ477"/>
      <c r="AK477"/>
      <c r="AL477"/>
      <c r="AM477"/>
      <c r="AN477"/>
      <c r="AO477"/>
      <c r="AP477"/>
      <c r="AQ477"/>
      <c r="AR477"/>
      <c r="AS477"/>
      <c r="AT477" s="4" t="str">
        <f t="shared" si="55"/>
        <v>运营费用</v>
      </c>
      <c r="AU477" s="4" t="str">
        <f t="shared" si="50"/>
        <v>企业产品部</v>
      </c>
      <c r="AV477" s="4" t="str">
        <f t="shared" si="51"/>
        <v>运营费用</v>
      </c>
      <c r="AW477" s="4" t="str">
        <f>IFERROR(VLOOKUP(AV477,[1]字段!A:B,2,0),"")</f>
        <v>运营费用</v>
      </c>
      <c r="AX477" s="30" t="str">
        <f>IF(AW477="人力费用",IF(E477="","",VLOOKUP(E477,[1]字段!D:E,2,0)),AW477)</f>
        <v>运营费用</v>
      </c>
      <c r="AY477" s="30">
        <f>IF(AT477="","",VLOOKUP(AT477,[1]字段!H:I,2,0))</f>
        <v>0</v>
      </c>
      <c r="AZ477" s="31">
        <f t="shared" si="52"/>
        <v>0</v>
      </c>
      <c r="BA477" s="31">
        <f t="shared" si="53"/>
        <v>0</v>
      </c>
      <c r="BB477" s="31">
        <f t="shared" si="54"/>
        <v>0</v>
      </c>
      <c r="BC477" s="31">
        <f t="shared" si="56"/>
        <v>0</v>
      </c>
    </row>
    <row r="478" spans="1:55" ht="28.5" customHeight="1">
      <c r="A478" s="32"/>
      <c r="B478" s="32"/>
      <c r="C478" s="37"/>
      <c r="D478" s="38"/>
      <c r="E478" s="39" t="s">
        <v>91</v>
      </c>
      <c r="F478" s="39" t="s">
        <v>92</v>
      </c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  <c r="AA478" s="29"/>
      <c r="AB478" s="29"/>
      <c r="AC478" s="29"/>
      <c r="AD478" s="29"/>
      <c r="AE478" s="29"/>
      <c r="AJ478"/>
      <c r="AK478"/>
      <c r="AL478"/>
      <c r="AM478"/>
      <c r="AN478"/>
      <c r="AO478"/>
      <c r="AP478"/>
      <c r="AQ478"/>
      <c r="AR478"/>
      <c r="AS478"/>
      <c r="AT478" s="4" t="str">
        <f t="shared" si="55"/>
        <v>运营费用办公费用</v>
      </c>
      <c r="AU478" s="4" t="str">
        <f t="shared" si="50"/>
        <v>企业产品部</v>
      </c>
      <c r="AV478" s="4" t="str">
        <f t="shared" si="51"/>
        <v>运营费用</v>
      </c>
      <c r="AW478" s="4" t="str">
        <f>IFERROR(VLOOKUP(AV478,[1]字段!A:B,2,0),"")</f>
        <v>运营费用</v>
      </c>
      <c r="AX478" s="30" t="str">
        <f>IF(AW478="人力费用",IF(E478="","",VLOOKUP(E478,[1]字段!D:E,2,0)),AW478)</f>
        <v>运营费用</v>
      </c>
      <c r="AY478" s="30" t="str">
        <f>IF(AT478="","",VLOOKUP(AT478,[1]字段!H:I,2,0))</f>
        <v>运营费用-运营其他</v>
      </c>
      <c r="AZ478" s="31">
        <f t="shared" si="52"/>
        <v>0</v>
      </c>
      <c r="BA478" s="31">
        <f t="shared" si="53"/>
        <v>0</v>
      </c>
      <c r="BB478" s="31">
        <f t="shared" si="54"/>
        <v>0</v>
      </c>
      <c r="BC478" s="31">
        <f t="shared" si="56"/>
        <v>0</v>
      </c>
    </row>
    <row r="479" spans="1:55" ht="28.5" customHeight="1">
      <c r="A479" s="32"/>
      <c r="B479" s="32"/>
      <c r="C479" s="32"/>
      <c r="D479" s="40"/>
      <c r="E479" s="39" t="s">
        <v>170</v>
      </c>
      <c r="F479" s="39" t="s">
        <v>171</v>
      </c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  <c r="AA479" s="29"/>
      <c r="AB479" s="29"/>
      <c r="AC479" s="29"/>
      <c r="AD479" s="29"/>
      <c r="AE479" s="29"/>
      <c r="AJ479"/>
      <c r="AK479"/>
      <c r="AL479"/>
      <c r="AM479"/>
      <c r="AN479"/>
      <c r="AO479"/>
      <c r="AP479"/>
      <c r="AQ479"/>
      <c r="AR479"/>
      <c r="AS479"/>
      <c r="AT479" s="4" t="str">
        <f t="shared" si="55"/>
        <v>运营费用技术服务费</v>
      </c>
      <c r="AU479" s="4" t="str">
        <f t="shared" si="50"/>
        <v>企业产品部</v>
      </c>
      <c r="AV479" s="4" t="str">
        <f t="shared" si="51"/>
        <v>运营费用</v>
      </c>
      <c r="AW479" s="4" t="str">
        <f>IFERROR(VLOOKUP(AV479,[1]字段!A:B,2,0),"")</f>
        <v>运营费用</v>
      </c>
      <c r="AX479" s="30" t="str">
        <f>IF(AW479="人力费用",IF(E479="","",VLOOKUP(E479,[1]字段!D:E,2,0)),AW479)</f>
        <v>运营费用</v>
      </c>
      <c r="AY479" s="30" t="str">
        <f>IF(AT479="","",VLOOKUP(AT479,[1]字段!H:I,2,0))</f>
        <v>运营费用-运营其他</v>
      </c>
      <c r="AZ479" s="31">
        <f t="shared" si="52"/>
        <v>0</v>
      </c>
      <c r="BA479" s="31">
        <f t="shared" si="53"/>
        <v>0</v>
      </c>
      <c r="BB479" s="31">
        <f t="shared" si="54"/>
        <v>0</v>
      </c>
      <c r="BC479" s="31">
        <f t="shared" si="56"/>
        <v>0</v>
      </c>
    </row>
    <row r="480" spans="1:55" ht="28.5" customHeight="1">
      <c r="A480" s="32"/>
      <c r="B480" s="32"/>
      <c r="C480" s="41"/>
      <c r="D480" s="42"/>
      <c r="E480" s="39" t="s">
        <v>83</v>
      </c>
      <c r="F480" s="39" t="s">
        <v>84</v>
      </c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  <c r="AA480" s="29"/>
      <c r="AB480" s="29"/>
      <c r="AC480" s="29"/>
      <c r="AD480" s="29"/>
      <c r="AE480" s="29"/>
      <c r="AJ480"/>
      <c r="AK480"/>
      <c r="AL480"/>
      <c r="AM480"/>
      <c r="AN480"/>
      <c r="AO480"/>
      <c r="AP480"/>
      <c r="AQ480"/>
      <c r="AR480"/>
      <c r="AS480"/>
      <c r="AT480" s="4" t="str">
        <f t="shared" si="55"/>
        <v>运营费用其他外包服务费</v>
      </c>
      <c r="AU480" s="4" t="str">
        <f t="shared" si="50"/>
        <v>企业产品部</v>
      </c>
      <c r="AV480" s="4" t="str">
        <f t="shared" si="51"/>
        <v>运营费用</v>
      </c>
      <c r="AW480" s="4" t="str">
        <f>IFERROR(VLOOKUP(AV480,[1]字段!A:B,2,0),"")</f>
        <v>运营费用</v>
      </c>
      <c r="AX480" s="30" t="str">
        <f>IF(AW480="人力费用",IF(E480="","",VLOOKUP(E480,[1]字段!D:E,2,0)),AW480)</f>
        <v>运营费用</v>
      </c>
      <c r="AY480" s="30" t="str">
        <f>IF(AT480="","",VLOOKUP(AT480,[1]字段!H:I,2,0))</f>
        <v>运营费用-外包服务费</v>
      </c>
      <c r="AZ480" s="31">
        <f t="shared" si="52"/>
        <v>0</v>
      </c>
      <c r="BA480" s="31">
        <f t="shared" si="53"/>
        <v>0</v>
      </c>
      <c r="BB480" s="31">
        <f t="shared" si="54"/>
        <v>0</v>
      </c>
      <c r="BC480" s="31">
        <f t="shared" si="56"/>
        <v>0</v>
      </c>
    </row>
    <row r="481" spans="1:55" ht="28.5" customHeight="1">
      <c r="C481" s="33" t="s">
        <v>61</v>
      </c>
      <c r="D481" s="34" t="s">
        <v>62</v>
      </c>
      <c r="E481" s="35"/>
      <c r="F481" s="36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  <c r="AA481" s="29"/>
      <c r="AB481" s="29"/>
      <c r="AC481" s="29"/>
      <c r="AD481" s="29"/>
      <c r="AE481" s="29"/>
      <c r="AJ481"/>
      <c r="AK481"/>
      <c r="AL481"/>
      <c r="AM481"/>
      <c r="AN481"/>
      <c r="AO481"/>
      <c r="AP481"/>
      <c r="AQ481"/>
      <c r="AR481"/>
      <c r="AS481"/>
      <c r="AT481" s="4" t="str">
        <f t="shared" si="55"/>
        <v>运营费用</v>
      </c>
      <c r="AU481" s="4" t="str">
        <f t="shared" si="50"/>
        <v>企业产品部</v>
      </c>
      <c r="AV481" s="4" t="str">
        <f t="shared" si="51"/>
        <v>IT运营费用</v>
      </c>
      <c r="AW481" s="4" t="str">
        <f>IFERROR(VLOOKUP(AV481,[1]字段!A:B,2,0),"")</f>
        <v>运营费用</v>
      </c>
      <c r="AX481" s="30" t="str">
        <f>IF(AW481="人力费用",IF(E481="","",VLOOKUP(E481,[1]字段!D:E,2,0)),AW481)</f>
        <v>运营费用</v>
      </c>
      <c r="AY481" s="30">
        <f>IF(AT481="","",VLOOKUP(AT481,[1]字段!H:I,2,0))</f>
        <v>0</v>
      </c>
      <c r="AZ481" s="31">
        <f t="shared" si="52"/>
        <v>0</v>
      </c>
      <c r="BA481" s="31">
        <f t="shared" si="53"/>
        <v>0</v>
      </c>
      <c r="BB481" s="31">
        <f t="shared" si="54"/>
        <v>0</v>
      </c>
      <c r="BC481" s="31">
        <f t="shared" si="56"/>
        <v>0</v>
      </c>
    </row>
    <row r="482" spans="1:55" ht="28.5" customHeight="1">
      <c r="A482" s="32"/>
      <c r="B482" s="32"/>
      <c r="C482" s="43"/>
      <c r="D482" s="43"/>
      <c r="E482" s="39" t="s">
        <v>63</v>
      </c>
      <c r="F482" s="39" t="s">
        <v>64</v>
      </c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  <c r="AA482" s="29"/>
      <c r="AB482" s="29"/>
      <c r="AC482" s="29"/>
      <c r="AD482" s="29"/>
      <c r="AE482" s="29"/>
      <c r="AJ482"/>
      <c r="AK482"/>
      <c r="AL482"/>
      <c r="AM482"/>
      <c r="AN482"/>
      <c r="AO482"/>
      <c r="AP482"/>
      <c r="AQ482"/>
      <c r="AR482"/>
      <c r="AS482"/>
      <c r="AT482" s="4" t="str">
        <f t="shared" si="55"/>
        <v>运营费用信息资料费</v>
      </c>
      <c r="AU482" s="4" t="str">
        <f t="shared" si="50"/>
        <v>企业产品部</v>
      </c>
      <c r="AV482" s="4" t="str">
        <f t="shared" si="51"/>
        <v>IT运营费用</v>
      </c>
      <c r="AW482" s="4" t="str">
        <f>IFERROR(VLOOKUP(AV482,[1]字段!A:B,2,0),"")</f>
        <v>运营费用</v>
      </c>
      <c r="AX482" s="30" t="str">
        <f>IF(AW482="人力费用",IF(E482="","",VLOOKUP(E482,[1]字段!D:E,2,0)),AW482)</f>
        <v>运营费用</v>
      </c>
      <c r="AY482" s="30" t="str">
        <f>IF(AT482="","",VLOOKUP(AT482,[1]字段!H:I,2,0))</f>
        <v>运营费用-运营其他</v>
      </c>
      <c r="AZ482" s="31">
        <f t="shared" si="52"/>
        <v>0</v>
      </c>
      <c r="BA482" s="31">
        <f t="shared" si="53"/>
        <v>0</v>
      </c>
      <c r="BB482" s="31">
        <f t="shared" si="54"/>
        <v>0</v>
      </c>
      <c r="BC482" s="31">
        <f t="shared" si="56"/>
        <v>0</v>
      </c>
    </row>
    <row r="483" spans="1:55" ht="28.5" customHeight="1">
      <c r="C483" s="33" t="s">
        <v>65</v>
      </c>
      <c r="D483" s="34" t="s">
        <v>66</v>
      </c>
      <c r="E483" s="35"/>
      <c r="F483" s="36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  <c r="AA483" s="29"/>
      <c r="AB483" s="29"/>
      <c r="AC483" s="29"/>
      <c r="AD483" s="29"/>
      <c r="AE483" s="29"/>
      <c r="AJ483"/>
      <c r="AK483"/>
      <c r="AL483"/>
      <c r="AM483"/>
      <c r="AN483"/>
      <c r="AO483"/>
      <c r="AP483"/>
      <c r="AQ483"/>
      <c r="AR483"/>
      <c r="AS483"/>
      <c r="AT483" s="4" t="str">
        <f t="shared" si="55"/>
        <v>IT费用</v>
      </c>
      <c r="AU483" s="4" t="str">
        <f t="shared" si="50"/>
        <v>企业产品部</v>
      </c>
      <c r="AV483" s="4" t="str">
        <f t="shared" si="51"/>
        <v>IT科技费用</v>
      </c>
      <c r="AW483" s="4" t="str">
        <f>IFERROR(VLOOKUP(AV483,[1]字段!A:B,2,0),"")</f>
        <v>IT费用</v>
      </c>
      <c r="AX483" s="30" t="str">
        <f>IF(AW483="人力费用",IF(E483="","",VLOOKUP(E483,[1]字段!D:E,2,0)),AW483)</f>
        <v>IT费用</v>
      </c>
      <c r="AY483" s="30">
        <f>IF(AT483="","",VLOOKUP(AT483,[1]字段!H:I,2,0))</f>
        <v>0</v>
      </c>
      <c r="AZ483" s="31">
        <f t="shared" si="52"/>
        <v>0</v>
      </c>
      <c r="BA483" s="31">
        <f t="shared" si="53"/>
        <v>0</v>
      </c>
      <c r="BB483" s="31">
        <f t="shared" si="54"/>
        <v>0</v>
      </c>
      <c r="BC483" s="31">
        <f t="shared" si="56"/>
        <v>0</v>
      </c>
    </row>
    <row r="484" spans="1:55" ht="28.5" customHeight="1">
      <c r="A484" s="32"/>
      <c r="B484" s="32"/>
      <c r="C484" s="37"/>
      <c r="D484" s="38"/>
      <c r="E484" s="39" t="s">
        <v>69</v>
      </c>
      <c r="F484" s="39" t="s">
        <v>70</v>
      </c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  <c r="AA484" s="29"/>
      <c r="AB484" s="29"/>
      <c r="AC484" s="29"/>
      <c r="AD484" s="29"/>
      <c r="AE484" s="29"/>
      <c r="AJ484"/>
      <c r="AK484"/>
      <c r="AL484"/>
      <c r="AM484"/>
      <c r="AN484"/>
      <c r="AO484"/>
      <c r="AP484"/>
      <c r="AQ484"/>
      <c r="AR484"/>
      <c r="AS484"/>
      <c r="AT484" s="4" t="str">
        <f t="shared" si="55"/>
        <v>IT费用移动终端折旧费</v>
      </c>
      <c r="AU484" s="4" t="str">
        <f t="shared" si="50"/>
        <v>企业产品部</v>
      </c>
      <c r="AV484" s="4" t="str">
        <f>IF(B484&lt;&gt;"","",IF(D484="",AV483,D484))</f>
        <v>IT科技费用</v>
      </c>
      <c r="AW484" s="4" t="str">
        <f>IFERROR(VLOOKUP(AV484,[1]字段!A:B,2,0),"")</f>
        <v>IT费用</v>
      </c>
      <c r="AX484" s="30" t="str">
        <f>IF(AW484="人力费用",IF(E484="","",VLOOKUP(E484,[1]字段!D:E,2,0)),AW484)</f>
        <v>IT费用</v>
      </c>
      <c r="AY484" s="30" t="str">
        <f>IF(AT484="","",VLOOKUP(AT484,[1]字段!H:I,2,0))</f>
        <v>IT费用</v>
      </c>
      <c r="AZ484" s="31">
        <f t="shared" si="52"/>
        <v>0</v>
      </c>
      <c r="BA484" s="31">
        <f t="shared" si="53"/>
        <v>0</v>
      </c>
      <c r="BB484" s="31">
        <f t="shared" si="54"/>
        <v>0</v>
      </c>
      <c r="BC484" s="31">
        <f t="shared" si="56"/>
        <v>0</v>
      </c>
    </row>
    <row r="485" spans="1:55" ht="28.5" customHeight="1">
      <c r="A485" s="32"/>
      <c r="B485" s="32"/>
      <c r="C485" s="32"/>
      <c r="D485" s="40"/>
      <c r="E485" s="39" t="s">
        <v>71</v>
      </c>
      <c r="F485" s="39" t="s">
        <v>72</v>
      </c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  <c r="AA485" s="29"/>
      <c r="AB485" s="29"/>
      <c r="AC485" s="29"/>
      <c r="AD485" s="29"/>
      <c r="AE485" s="29"/>
      <c r="AJ485"/>
      <c r="AK485"/>
      <c r="AL485"/>
      <c r="AM485"/>
      <c r="AN485"/>
      <c r="AO485"/>
      <c r="AP485"/>
      <c r="AQ485"/>
      <c r="AR485"/>
      <c r="AS485"/>
      <c r="AT485" s="4" t="str">
        <f>AX485&amp;F485</f>
        <v>IT费用办公IT设备折旧费</v>
      </c>
      <c r="AU485" s="4" t="str">
        <f t="shared" si="50"/>
        <v>企业产品部</v>
      </c>
      <c r="AV485" s="4" t="str">
        <f>IF(B485&lt;&gt;"","",IF(D485="",AV484,D485))</f>
        <v>IT科技费用</v>
      </c>
      <c r="AW485" s="4" t="str">
        <f>IFERROR(VLOOKUP(AV485,[1]字段!A:B,2,0),"")</f>
        <v>IT费用</v>
      </c>
      <c r="AX485" s="30" t="str">
        <f>IF(AW485="人力费用",IF(E485="","",VLOOKUP(E485,[1]字段!D:E,2,0)),AW485)</f>
        <v>IT费用</v>
      </c>
      <c r="AY485" s="30" t="str">
        <f>IF(AT485="","",VLOOKUP(AT485,[1]字段!H:I,2,0))</f>
        <v>IT费用</v>
      </c>
      <c r="AZ485" s="31">
        <f t="shared" si="52"/>
        <v>0</v>
      </c>
      <c r="BA485" s="31">
        <f t="shared" si="53"/>
        <v>0</v>
      </c>
      <c r="BB485" s="31">
        <f t="shared" si="54"/>
        <v>0</v>
      </c>
      <c r="BC485" s="31">
        <f t="shared" si="56"/>
        <v>0</v>
      </c>
    </row>
    <row r="486" spans="1:55" ht="28.5" customHeight="1">
      <c r="A486" s="32"/>
      <c r="B486" s="32"/>
      <c r="C486" s="41"/>
      <c r="D486" s="42"/>
      <c r="E486" s="39" t="s">
        <v>81</v>
      </c>
      <c r="F486" s="39" t="s">
        <v>82</v>
      </c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  <c r="AA486" s="29"/>
      <c r="AB486" s="29"/>
      <c r="AC486" s="29"/>
      <c r="AD486" s="29"/>
      <c r="AE486" s="29"/>
      <c r="AJ486"/>
      <c r="AK486"/>
      <c r="AL486"/>
      <c r="AM486"/>
      <c r="AN486"/>
      <c r="AO486"/>
      <c r="AP486"/>
      <c r="AQ486"/>
      <c r="AR486"/>
      <c r="AS486"/>
      <c r="AT486" s="4" t="str">
        <f t="shared" si="55"/>
        <v>IT费用电子设备运转费 </v>
      </c>
      <c r="AU486" s="4" t="str">
        <f t="shared" si="50"/>
        <v>企业产品部</v>
      </c>
      <c r="AV486" s="4" t="str">
        <f t="shared" si="51"/>
        <v>IT科技费用</v>
      </c>
      <c r="AW486" s="4" t="str">
        <f>IFERROR(VLOOKUP(AV486,[1]字段!A:B,2,0),"")</f>
        <v>IT费用</v>
      </c>
      <c r="AX486" s="30" t="str">
        <f>IF(AW486="人力费用",IF(E486="","",VLOOKUP(E486,[1]字段!D:E,2,0)),AW486)</f>
        <v>IT费用</v>
      </c>
      <c r="AY486" s="30" t="str">
        <f>IF(AT486="","",VLOOKUP(AT486,[1]字段!H:I,2,0))</f>
        <v>IT费用</v>
      </c>
      <c r="AZ486" s="31">
        <f t="shared" si="52"/>
        <v>0</v>
      </c>
      <c r="BA486" s="31">
        <f t="shared" si="53"/>
        <v>0</v>
      </c>
      <c r="BB486" s="31">
        <f t="shared" si="54"/>
        <v>0</v>
      </c>
      <c r="BC486" s="31">
        <f t="shared" si="56"/>
        <v>0</v>
      </c>
    </row>
    <row r="487" spans="1:55" ht="28.5" customHeight="1">
      <c r="C487" s="33" t="s">
        <v>93</v>
      </c>
      <c r="D487" s="34" t="s">
        <v>94</v>
      </c>
      <c r="E487" s="35"/>
      <c r="F487" s="36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  <c r="AA487" s="29"/>
      <c r="AB487" s="29"/>
      <c r="AC487" s="29"/>
      <c r="AD487" s="29"/>
      <c r="AE487" s="29"/>
      <c r="AJ487"/>
      <c r="AK487"/>
      <c r="AL487"/>
      <c r="AM487"/>
      <c r="AN487"/>
      <c r="AO487"/>
      <c r="AP487"/>
      <c r="AQ487"/>
      <c r="AR487"/>
      <c r="AS487"/>
      <c r="AT487" s="4" t="str">
        <f t="shared" si="55"/>
        <v>日常费用</v>
      </c>
      <c r="AU487" s="4" t="str">
        <f t="shared" si="50"/>
        <v>企业产品部</v>
      </c>
      <c r="AV487" s="4" t="str">
        <f t="shared" si="51"/>
        <v>日常费用</v>
      </c>
      <c r="AW487" s="4" t="str">
        <f>IFERROR(VLOOKUP(AV487,[1]字段!A:B,2,0),"")</f>
        <v>日常费用</v>
      </c>
      <c r="AX487" s="30" t="str">
        <f>IF(AW487="人力费用",IF(E487="","",VLOOKUP(E487,[1]字段!D:E,2,0)),AW487)</f>
        <v>日常费用</v>
      </c>
      <c r="AY487" s="30">
        <f>IF(AT487="","",VLOOKUP(AT487,[1]字段!H:I,2,0))</f>
        <v>0</v>
      </c>
      <c r="AZ487" s="31">
        <f t="shared" si="52"/>
        <v>0</v>
      </c>
      <c r="BA487" s="31">
        <f t="shared" si="53"/>
        <v>0</v>
      </c>
      <c r="BB487" s="31">
        <f t="shared" si="54"/>
        <v>0</v>
      </c>
      <c r="BC487" s="31">
        <f t="shared" si="56"/>
        <v>0</v>
      </c>
    </row>
    <row r="488" spans="1:55" ht="28.5" customHeight="1">
      <c r="A488" s="32"/>
      <c r="B488" s="32"/>
      <c r="C488" s="37"/>
      <c r="D488" s="38"/>
      <c r="E488" s="39" t="s">
        <v>77</v>
      </c>
      <c r="F488" s="39" t="s">
        <v>78</v>
      </c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  <c r="AA488" s="29"/>
      <c r="AB488" s="29"/>
      <c r="AC488" s="29"/>
      <c r="AD488" s="29"/>
      <c r="AE488" s="29"/>
      <c r="AJ488"/>
      <c r="AK488"/>
      <c r="AL488"/>
      <c r="AM488"/>
      <c r="AN488"/>
      <c r="AO488"/>
      <c r="AP488"/>
      <c r="AQ488"/>
      <c r="AR488"/>
      <c r="AS488"/>
      <c r="AT488" s="4" t="str">
        <f t="shared" si="55"/>
        <v>日常费用咨询费</v>
      </c>
      <c r="AU488" s="4" t="str">
        <f t="shared" si="50"/>
        <v>企业产品部</v>
      </c>
      <c r="AV488" s="4" t="str">
        <f t="shared" si="51"/>
        <v>日常费用</v>
      </c>
      <c r="AW488" s="4" t="str">
        <f>IFERROR(VLOOKUP(AV488,[1]字段!A:B,2,0),"")</f>
        <v>日常费用</v>
      </c>
      <c r="AX488" s="30" t="str">
        <f>IF(AW488="人力费用",IF(E488="","",VLOOKUP(E488,[1]字段!D:E,2,0)),AW488)</f>
        <v>日常费用</v>
      </c>
      <c r="AY488" s="30" t="str">
        <f>IF(AT488="","",VLOOKUP(AT488,[1]字段!H:I,2,0))</f>
        <v>日常费用-咨询费</v>
      </c>
      <c r="AZ488" s="31">
        <f t="shared" si="52"/>
        <v>0</v>
      </c>
      <c r="BA488" s="31">
        <f t="shared" si="53"/>
        <v>0</v>
      </c>
      <c r="BB488" s="31">
        <f t="shared" si="54"/>
        <v>0</v>
      </c>
      <c r="BC488" s="31">
        <f t="shared" si="56"/>
        <v>0</v>
      </c>
    </row>
    <row r="489" spans="1:55" ht="28.5" customHeight="1">
      <c r="A489" s="32"/>
      <c r="B489" s="32"/>
      <c r="C489" s="32"/>
      <c r="D489" s="40"/>
      <c r="E489" s="39" t="s">
        <v>91</v>
      </c>
      <c r="F489" s="39" t="s">
        <v>92</v>
      </c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  <c r="AA489" s="29"/>
      <c r="AB489" s="29"/>
      <c r="AC489" s="29"/>
      <c r="AD489" s="29"/>
      <c r="AE489" s="29"/>
      <c r="AJ489"/>
      <c r="AK489"/>
      <c r="AL489"/>
      <c r="AM489"/>
      <c r="AN489"/>
      <c r="AO489"/>
      <c r="AP489"/>
      <c r="AQ489"/>
      <c r="AR489"/>
      <c r="AS489"/>
      <c r="AT489" s="4" t="str">
        <f t="shared" si="55"/>
        <v>日常费用办公费用</v>
      </c>
      <c r="AU489" s="4" t="str">
        <f t="shared" si="50"/>
        <v>企业产品部</v>
      </c>
      <c r="AV489" s="4" t="str">
        <f t="shared" si="51"/>
        <v>日常费用</v>
      </c>
      <c r="AW489" s="4" t="str">
        <f>IFERROR(VLOOKUP(AV489,[1]字段!A:B,2,0),"")</f>
        <v>日常费用</v>
      </c>
      <c r="AX489" s="30" t="str">
        <f>IF(AW489="人力费用",IF(E489="","",VLOOKUP(E489,[1]字段!D:E,2,0)),AW489)</f>
        <v>日常费用</v>
      </c>
      <c r="AY489" s="30" t="str">
        <f>IF(AT489="","",VLOOKUP(AT489,[1]字段!H:I,2,0))</f>
        <v>日常费用-其他</v>
      </c>
      <c r="AZ489" s="31">
        <f t="shared" si="52"/>
        <v>0</v>
      </c>
      <c r="BA489" s="31">
        <f t="shared" si="53"/>
        <v>0</v>
      </c>
      <c r="BB489" s="31">
        <f t="shared" si="54"/>
        <v>0</v>
      </c>
      <c r="BC489" s="31">
        <f t="shared" si="56"/>
        <v>0</v>
      </c>
    </row>
    <row r="490" spans="1:55" ht="28.5" customHeight="1">
      <c r="A490" s="32"/>
      <c r="B490" s="32"/>
      <c r="C490" s="32"/>
      <c r="D490" s="40"/>
      <c r="E490" s="39" t="s">
        <v>170</v>
      </c>
      <c r="F490" s="39" t="s">
        <v>171</v>
      </c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  <c r="AA490" s="29"/>
      <c r="AB490" s="29"/>
      <c r="AC490" s="29"/>
      <c r="AD490" s="29"/>
      <c r="AE490" s="29"/>
      <c r="AJ490"/>
      <c r="AK490"/>
      <c r="AL490"/>
      <c r="AM490"/>
      <c r="AN490"/>
      <c r="AO490"/>
      <c r="AP490"/>
      <c r="AQ490"/>
      <c r="AR490"/>
      <c r="AS490"/>
      <c r="AT490" s="4" t="str">
        <f t="shared" si="55"/>
        <v>日常费用技术服务费</v>
      </c>
      <c r="AU490" s="4" t="str">
        <f t="shared" si="50"/>
        <v>企业产品部</v>
      </c>
      <c r="AV490" s="4" t="str">
        <f t="shared" si="51"/>
        <v>日常费用</v>
      </c>
      <c r="AW490" s="4" t="str">
        <f>IFERROR(VLOOKUP(AV490,[1]字段!A:B,2,0),"")</f>
        <v>日常费用</v>
      </c>
      <c r="AX490" s="30" t="str">
        <f>IF(AW490="人力费用",IF(E490="","",VLOOKUP(E490,[1]字段!D:E,2,0)),AW490)</f>
        <v>日常费用</v>
      </c>
      <c r="AY490" s="30" t="str">
        <f>IF(AT490="","",VLOOKUP(AT490,[1]字段!H:I,2,0))</f>
        <v>日常费用-其他</v>
      </c>
      <c r="AZ490" s="31">
        <f t="shared" si="52"/>
        <v>0</v>
      </c>
      <c r="BA490" s="31">
        <f t="shared" si="53"/>
        <v>0</v>
      </c>
      <c r="BB490" s="31">
        <f t="shared" si="54"/>
        <v>0</v>
      </c>
      <c r="BC490" s="31">
        <f t="shared" si="56"/>
        <v>0</v>
      </c>
    </row>
    <row r="491" spans="1:55" ht="28.5" customHeight="1">
      <c r="A491" s="32"/>
      <c r="B491" s="32"/>
      <c r="C491" s="32"/>
      <c r="D491" s="40"/>
      <c r="E491" s="39" t="s">
        <v>95</v>
      </c>
      <c r="F491" s="39" t="s">
        <v>96</v>
      </c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  <c r="AA491" s="29"/>
      <c r="AB491" s="29"/>
      <c r="AC491" s="29"/>
      <c r="AD491" s="29"/>
      <c r="AE491" s="29"/>
      <c r="AJ491"/>
      <c r="AK491"/>
      <c r="AL491"/>
      <c r="AM491"/>
      <c r="AN491"/>
      <c r="AO491"/>
      <c r="AP491"/>
      <c r="AQ491"/>
      <c r="AR491"/>
      <c r="AS491"/>
      <c r="AT491" s="4" t="str">
        <f t="shared" si="55"/>
        <v>日常费用业务招待费</v>
      </c>
      <c r="AU491" s="4" t="str">
        <f t="shared" si="50"/>
        <v>企业产品部</v>
      </c>
      <c r="AV491" s="4" t="str">
        <f t="shared" si="51"/>
        <v>日常费用</v>
      </c>
      <c r="AW491" s="4" t="str">
        <f>IFERROR(VLOOKUP(AV491,[1]字段!A:B,2,0),"")</f>
        <v>日常费用</v>
      </c>
      <c r="AX491" s="30" t="str">
        <f>IF(AW491="人力费用",IF(E491="","",VLOOKUP(E491,[1]字段!D:E,2,0)),AW491)</f>
        <v>日常费用</v>
      </c>
      <c r="AY491" s="30" t="str">
        <f>IF(AT491="","",VLOOKUP(AT491,[1]字段!H:I,2,0))</f>
        <v>日常费用-其他</v>
      </c>
      <c r="AZ491" s="31">
        <f t="shared" si="52"/>
        <v>0</v>
      </c>
      <c r="BA491" s="31">
        <f t="shared" si="53"/>
        <v>0</v>
      </c>
      <c r="BB491" s="31">
        <f t="shared" si="54"/>
        <v>0</v>
      </c>
      <c r="BC491" s="31">
        <f t="shared" si="56"/>
        <v>0</v>
      </c>
    </row>
    <row r="492" spans="1:55" ht="28.5" customHeight="1">
      <c r="A492" s="41"/>
      <c r="B492" s="41"/>
      <c r="C492" s="41"/>
      <c r="D492" s="42"/>
      <c r="E492" s="39" t="s">
        <v>139</v>
      </c>
      <c r="F492" s="39" t="s">
        <v>140</v>
      </c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  <c r="AA492" s="29"/>
      <c r="AB492" s="29"/>
      <c r="AC492" s="29"/>
      <c r="AD492" s="29"/>
      <c r="AE492" s="29"/>
      <c r="AJ492"/>
      <c r="AK492"/>
      <c r="AL492"/>
      <c r="AM492"/>
      <c r="AN492"/>
      <c r="AO492"/>
      <c r="AP492"/>
      <c r="AQ492"/>
      <c r="AR492"/>
      <c r="AS492"/>
      <c r="AT492" s="4" t="str">
        <f t="shared" si="55"/>
        <v>日常费用差旅费</v>
      </c>
      <c r="AU492" s="4" t="str">
        <f t="shared" si="50"/>
        <v>企业产品部</v>
      </c>
      <c r="AV492" s="4" t="str">
        <f t="shared" si="51"/>
        <v>日常费用</v>
      </c>
      <c r="AW492" s="4" t="str">
        <f>IFERROR(VLOOKUP(AV492,[1]字段!A:B,2,0),"")</f>
        <v>日常费用</v>
      </c>
      <c r="AX492" s="30" t="str">
        <f>IF(AW492="人力费用",IF(E492="","",VLOOKUP(E492,[1]字段!D:E,2,0)),AW492)</f>
        <v>日常费用</v>
      </c>
      <c r="AY492" s="30" t="str">
        <f>IF(AT492="","",VLOOKUP(AT492,[1]字段!H:I,2,0))</f>
        <v>日常费用-其他</v>
      </c>
      <c r="AZ492" s="31">
        <f t="shared" si="52"/>
        <v>0</v>
      </c>
      <c r="BA492" s="31">
        <f t="shared" si="53"/>
        <v>0</v>
      </c>
      <c r="BB492" s="31">
        <f t="shared" si="54"/>
        <v>0</v>
      </c>
      <c r="BC492" s="31">
        <f t="shared" si="56"/>
        <v>0</v>
      </c>
    </row>
    <row r="493" spans="1:55" ht="28.5" customHeight="1">
      <c r="A493" s="25"/>
      <c r="B493" s="26" t="s">
        <v>186</v>
      </c>
      <c r="C493" s="27"/>
      <c r="D493" s="27"/>
      <c r="E493" s="27"/>
      <c r="F493" s="28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  <c r="AA493" s="29"/>
      <c r="AB493" s="29"/>
      <c r="AC493" s="29"/>
      <c r="AD493" s="29"/>
      <c r="AE493" s="29"/>
      <c r="AJ493"/>
      <c r="AK493"/>
      <c r="AL493"/>
      <c r="AM493"/>
      <c r="AN493"/>
      <c r="AO493"/>
      <c r="AP493"/>
      <c r="AQ493"/>
      <c r="AR493"/>
      <c r="AS493"/>
      <c r="AT493" s="4" t="str">
        <f t="shared" si="55"/>
        <v/>
      </c>
      <c r="AU493" s="4" t="str">
        <f t="shared" si="50"/>
        <v>企金管理部</v>
      </c>
      <c r="AV493" s="4" t="str">
        <f t="shared" si="51"/>
        <v/>
      </c>
      <c r="AW493" s="4" t="str">
        <f>IFERROR(VLOOKUP(AV493,[1]字段!A:B,2,0),"")</f>
        <v/>
      </c>
      <c r="AX493" s="30" t="str">
        <f>IF(AW493="人力费用",IF(E493="","",VLOOKUP(E493,[1]字段!D:E,2,0)),AW493)</f>
        <v/>
      </c>
      <c r="AY493" s="30" t="str">
        <f>IF(AT493="","",VLOOKUP(AT493,[1]字段!H:I,2,0))</f>
        <v/>
      </c>
      <c r="AZ493" s="31">
        <f t="shared" si="52"/>
        <v>0</v>
      </c>
      <c r="BA493" s="31">
        <f t="shared" si="53"/>
        <v>0</v>
      </c>
      <c r="BB493" s="31">
        <f t="shared" si="54"/>
        <v>0</v>
      </c>
      <c r="BC493" s="31">
        <f t="shared" si="56"/>
        <v>0</v>
      </c>
    </row>
    <row r="494" spans="1:55" ht="28.5" customHeight="1">
      <c r="A494" s="32"/>
      <c r="B494" s="32"/>
      <c r="C494" s="33" t="s">
        <v>39</v>
      </c>
      <c r="D494" s="34" t="s">
        <v>40</v>
      </c>
      <c r="E494" s="35"/>
      <c r="F494" s="36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  <c r="AA494" s="29"/>
      <c r="AB494" s="29"/>
      <c r="AC494" s="29"/>
      <c r="AD494" s="29"/>
      <c r="AE494" s="29"/>
      <c r="AJ494"/>
      <c r="AK494"/>
      <c r="AL494"/>
      <c r="AM494"/>
      <c r="AN494"/>
      <c r="AO494"/>
      <c r="AP494"/>
      <c r="AQ494"/>
      <c r="AR494"/>
      <c r="AS494"/>
      <c r="AT494" s="4" t="str">
        <f t="shared" si="55"/>
        <v/>
      </c>
      <c r="AU494" s="4" t="str">
        <f t="shared" si="50"/>
        <v>企金管理部</v>
      </c>
      <c r="AV494" s="4" t="str">
        <f t="shared" si="51"/>
        <v>人力费用</v>
      </c>
      <c r="AW494" s="4" t="str">
        <f>IFERROR(VLOOKUP(AV494,[1]字段!A:B,2,0),"")</f>
        <v>人力费用</v>
      </c>
      <c r="AX494" s="30" t="str">
        <f>IF(AW494="人力费用",IF(E494="","",VLOOKUP(E494,[1]字段!D:E,2,0)),AW494)</f>
        <v/>
      </c>
      <c r="AY494" s="30" t="str">
        <f>IF(AT494="","",VLOOKUP(AT494,[1]字段!H:I,2,0))</f>
        <v/>
      </c>
      <c r="AZ494" s="31">
        <f t="shared" si="52"/>
        <v>0</v>
      </c>
      <c r="BA494" s="31">
        <f t="shared" si="53"/>
        <v>0</v>
      </c>
      <c r="BB494" s="31">
        <f t="shared" si="54"/>
        <v>0</v>
      </c>
      <c r="BC494" s="31">
        <f t="shared" si="56"/>
        <v>0</v>
      </c>
    </row>
    <row r="495" spans="1:55" ht="28.5" customHeight="1">
      <c r="A495" s="32"/>
      <c r="B495" s="32"/>
      <c r="C495" s="43"/>
      <c r="D495" s="43"/>
      <c r="E495" s="39" t="s">
        <v>41</v>
      </c>
      <c r="F495" s="39" t="s">
        <v>42</v>
      </c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  <c r="AA495" s="29"/>
      <c r="AB495" s="29"/>
      <c r="AC495" s="29"/>
      <c r="AD495" s="29"/>
      <c r="AE495" s="29"/>
      <c r="AJ495"/>
      <c r="AK495"/>
      <c r="AL495"/>
      <c r="AM495"/>
      <c r="AN495"/>
      <c r="AO495"/>
      <c r="AP495"/>
      <c r="AQ495"/>
      <c r="AR495"/>
      <c r="AS495"/>
      <c r="AT495" s="4" t="str">
        <f t="shared" si="55"/>
        <v>1.0倍人力基础工资</v>
      </c>
      <c r="AU495" s="4" t="str">
        <f t="shared" si="50"/>
        <v>企金管理部</v>
      </c>
      <c r="AV495" s="4" t="str">
        <f t="shared" si="51"/>
        <v>人力费用</v>
      </c>
      <c r="AW495" s="4" t="str">
        <f>IFERROR(VLOOKUP(AV495,[1]字段!A:B,2,0),"")</f>
        <v>人力费用</v>
      </c>
      <c r="AX495" s="30" t="str">
        <f>IF(AW495="人力费用",IF(E495="","",VLOOKUP(E495,[1]字段!D:E,2,0)),AW495)</f>
        <v>1.0倍人力</v>
      </c>
      <c r="AY495" s="30" t="str">
        <f>IF(AT495="","",VLOOKUP(AT495,[1]字段!H:I,2,0))</f>
        <v>1.0倍人力</v>
      </c>
      <c r="AZ495" s="31">
        <f t="shared" si="52"/>
        <v>0</v>
      </c>
      <c r="BA495" s="31">
        <f t="shared" si="53"/>
        <v>0</v>
      </c>
      <c r="BB495" s="31">
        <f t="shared" si="54"/>
        <v>0</v>
      </c>
      <c r="BC495" s="31">
        <f t="shared" si="56"/>
        <v>0</v>
      </c>
    </row>
    <row r="496" spans="1:55" ht="28.5" customHeight="1">
      <c r="A496" s="32"/>
      <c r="B496" s="32"/>
      <c r="C496" s="32"/>
      <c r="D496" s="40"/>
      <c r="E496" s="39">
        <v>5501010602</v>
      </c>
      <c r="F496" s="3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  <c r="AA496" s="29"/>
      <c r="AB496" s="29"/>
      <c r="AC496" s="29"/>
      <c r="AD496" s="29"/>
      <c r="AE496" s="29"/>
      <c r="AJ496"/>
      <c r="AK496"/>
      <c r="AL496"/>
      <c r="AM496"/>
      <c r="AN496"/>
      <c r="AO496"/>
      <c r="AP496"/>
      <c r="AQ496"/>
      <c r="AR496"/>
      <c r="AS496"/>
      <c r="AT496" s="4" t="str">
        <f t="shared" si="55"/>
        <v>利润分享</v>
      </c>
      <c r="AU496" s="4" t="str">
        <f t="shared" si="50"/>
        <v>企金管理部</v>
      </c>
      <c r="AV496" s="4" t="str">
        <f t="shared" si="51"/>
        <v>人力费用</v>
      </c>
      <c r="AW496" s="4" t="str">
        <f>IFERROR(VLOOKUP(AV496,[1]字段!A:B,2,0),"")</f>
        <v>人力费用</v>
      </c>
      <c r="AX496" s="30" t="str">
        <f>IF(AW496="人力费用",IF(E496="","",VLOOKUP(E496,[1]字段!D:E,2,0)),AW496)</f>
        <v>利润分享</v>
      </c>
      <c r="AY496" s="30" t="str">
        <f>IF(AT496="","",VLOOKUP(AT496,[1]字段!H:I,2,0))</f>
        <v>利润分享</v>
      </c>
      <c r="AZ496" s="31">
        <f t="shared" si="52"/>
        <v>0</v>
      </c>
      <c r="BA496" s="31">
        <f t="shared" si="53"/>
        <v>0</v>
      </c>
      <c r="BB496" s="31">
        <f t="shared" si="54"/>
        <v>0</v>
      </c>
      <c r="BC496" s="31">
        <f t="shared" si="56"/>
        <v>0</v>
      </c>
    </row>
    <row r="497" spans="1:55" ht="28.5" customHeight="1">
      <c r="A497" s="32"/>
      <c r="B497" s="32"/>
      <c r="C497" s="32"/>
      <c r="D497" s="40"/>
      <c r="E497" s="39">
        <v>5501010603</v>
      </c>
      <c r="F497" s="3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  <c r="AA497" s="29"/>
      <c r="AB497" s="29"/>
      <c r="AC497" s="29"/>
      <c r="AD497" s="29"/>
      <c r="AE497" s="29"/>
      <c r="AJ497"/>
      <c r="AK497"/>
      <c r="AL497"/>
      <c r="AM497"/>
      <c r="AN497"/>
      <c r="AO497"/>
      <c r="AP497"/>
      <c r="AQ497"/>
      <c r="AR497"/>
      <c r="AS497"/>
      <c r="AT497" s="4" t="str">
        <f t="shared" si="55"/>
        <v>留任奖励</v>
      </c>
      <c r="AU497" s="4" t="str">
        <f t="shared" si="50"/>
        <v>企金管理部</v>
      </c>
      <c r="AV497" s="4" t="str">
        <f t="shared" si="51"/>
        <v>人力费用</v>
      </c>
      <c r="AW497" s="4" t="str">
        <f>IFERROR(VLOOKUP(AV497,[1]字段!A:B,2,0),"")</f>
        <v>人力费用</v>
      </c>
      <c r="AX497" s="30" t="str">
        <f>IF(AW497="人力费用",IF(E497="","",VLOOKUP(E497,[1]字段!D:E,2,0)),AW497)</f>
        <v>留任奖励</v>
      </c>
      <c r="AY497" s="30" t="str">
        <f>IF(AT497="","",VLOOKUP(AT497,[1]字段!H:I,2,0))</f>
        <v>留任奖励</v>
      </c>
      <c r="AZ497" s="31">
        <f t="shared" si="52"/>
        <v>0</v>
      </c>
      <c r="BA497" s="31">
        <f t="shared" si="53"/>
        <v>0</v>
      </c>
      <c r="BB497" s="31">
        <f t="shared" si="54"/>
        <v>0</v>
      </c>
      <c r="BC497" s="31">
        <f t="shared" si="56"/>
        <v>0</v>
      </c>
    </row>
    <row r="498" spans="1:55" ht="28.5" customHeight="1">
      <c r="A498" s="32"/>
      <c r="B498" s="32"/>
      <c r="C498" s="32"/>
      <c r="D498" s="40"/>
      <c r="E498" s="39">
        <v>5501010604</v>
      </c>
      <c r="F498" s="3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  <c r="AA498" s="29"/>
      <c r="AB498" s="29"/>
      <c r="AC498" s="29"/>
      <c r="AD498" s="29"/>
      <c r="AE498" s="29"/>
      <c r="AJ498"/>
      <c r="AK498"/>
      <c r="AL498"/>
      <c r="AM498"/>
      <c r="AN498"/>
      <c r="AO498"/>
      <c r="AP498"/>
      <c r="AQ498"/>
      <c r="AR498"/>
      <c r="AS498"/>
      <c r="AT498" s="4" t="str">
        <f t="shared" si="55"/>
        <v>1.0倍人力</v>
      </c>
      <c r="AU498" s="4" t="str">
        <f t="shared" si="50"/>
        <v>企金管理部</v>
      </c>
      <c r="AV498" s="4" t="str">
        <f t="shared" si="51"/>
        <v>人力费用</v>
      </c>
      <c r="AW498" s="4" t="str">
        <f>IFERROR(VLOOKUP(AV498,[1]字段!A:B,2,0),"")</f>
        <v>人力费用</v>
      </c>
      <c r="AX498" s="30" t="str">
        <f>IF(AW498="人力费用",IF(E498="","",VLOOKUP(E498,[1]字段!D:E,2,0)),AW498)</f>
        <v>1.0倍人力</v>
      </c>
      <c r="AY498" s="30" t="str">
        <f>IF(AT498="","",VLOOKUP(AT498,[1]字段!H:I,2,0))</f>
        <v>1.0倍人力</v>
      </c>
      <c r="AZ498" s="31">
        <f t="shared" si="52"/>
        <v>0</v>
      </c>
      <c r="BA498" s="31">
        <f t="shared" si="53"/>
        <v>0</v>
      </c>
      <c r="BB498" s="31">
        <f t="shared" si="54"/>
        <v>0</v>
      </c>
      <c r="BC498" s="31">
        <f t="shared" si="56"/>
        <v>0</v>
      </c>
    </row>
    <row r="499" spans="1:55" ht="28.5" customHeight="1">
      <c r="A499" s="32"/>
      <c r="B499" s="32"/>
      <c r="C499" s="32"/>
      <c r="D499" s="40"/>
      <c r="E499" s="39" t="s">
        <v>43</v>
      </c>
      <c r="F499" s="39" t="s">
        <v>44</v>
      </c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  <c r="AA499" s="29"/>
      <c r="AB499" s="29"/>
      <c r="AC499" s="29"/>
      <c r="AD499" s="29"/>
      <c r="AE499" s="29"/>
      <c r="AJ499"/>
      <c r="AK499"/>
      <c r="AL499"/>
      <c r="AM499"/>
      <c r="AN499"/>
      <c r="AO499"/>
      <c r="AP499"/>
      <c r="AQ499"/>
      <c r="AR499"/>
      <c r="AS499"/>
      <c r="AT499" s="4" t="str">
        <f t="shared" si="55"/>
        <v>1.0倍人力团队建设费</v>
      </c>
      <c r="AU499" s="4" t="str">
        <f t="shared" si="50"/>
        <v>企金管理部</v>
      </c>
      <c r="AV499" s="4" t="str">
        <f t="shared" si="51"/>
        <v>人力费用</v>
      </c>
      <c r="AW499" s="4" t="str">
        <f>IFERROR(VLOOKUP(AV499,[1]字段!A:B,2,0),"")</f>
        <v>人力费用</v>
      </c>
      <c r="AX499" s="30" t="str">
        <f>IF(AW499="人力费用",IF(E499="","",VLOOKUP(E499,[1]字段!D:E,2,0)),AW499)</f>
        <v>1.0倍人力</v>
      </c>
      <c r="AY499" s="30" t="str">
        <f>IF(AT499="","",VLOOKUP(AT499,[1]字段!H:I,2,0))</f>
        <v>1.0倍人力</v>
      </c>
      <c r="AZ499" s="31">
        <f t="shared" si="52"/>
        <v>0</v>
      </c>
      <c r="BA499" s="31">
        <f t="shared" si="53"/>
        <v>0</v>
      </c>
      <c r="BB499" s="31">
        <f t="shared" si="54"/>
        <v>0</v>
      </c>
      <c r="BC499" s="31">
        <f t="shared" si="56"/>
        <v>0</v>
      </c>
    </row>
    <row r="500" spans="1:55" ht="28.5" customHeight="1">
      <c r="A500" s="32"/>
      <c r="B500" s="32"/>
      <c r="C500" s="32"/>
      <c r="D500" s="40"/>
      <c r="E500" s="39" t="s">
        <v>45</v>
      </c>
      <c r="F500" s="39" t="s">
        <v>46</v>
      </c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  <c r="AA500" s="29"/>
      <c r="AB500" s="29"/>
      <c r="AC500" s="29"/>
      <c r="AD500" s="29"/>
      <c r="AE500" s="29"/>
      <c r="AJ500"/>
      <c r="AK500"/>
      <c r="AL500"/>
      <c r="AM500"/>
      <c r="AN500"/>
      <c r="AO500"/>
      <c r="AP500"/>
      <c r="AQ500"/>
      <c r="AR500"/>
      <c r="AS500"/>
      <c r="AT500" s="4" t="str">
        <f t="shared" si="55"/>
        <v>1.0倍人力其他职工福利费</v>
      </c>
      <c r="AU500" s="4" t="str">
        <f t="shared" si="50"/>
        <v>企金管理部</v>
      </c>
      <c r="AV500" s="4" t="str">
        <f t="shared" si="51"/>
        <v>人力费用</v>
      </c>
      <c r="AW500" s="4" t="str">
        <f>IFERROR(VLOOKUP(AV500,[1]字段!A:B,2,0),"")</f>
        <v>人力费用</v>
      </c>
      <c r="AX500" s="30" t="str">
        <f>IF(AW500="人力费用",IF(E500="","",VLOOKUP(E500,[1]字段!D:E,2,0)),AW500)</f>
        <v>1.0倍人力</v>
      </c>
      <c r="AY500" s="30" t="str">
        <f>IF(AT500="","",VLOOKUP(AT500,[1]字段!H:I,2,0))</f>
        <v>1.0倍人力</v>
      </c>
      <c r="AZ500" s="31">
        <f t="shared" si="52"/>
        <v>0</v>
      </c>
      <c r="BA500" s="31">
        <f t="shared" si="53"/>
        <v>0</v>
      </c>
      <c r="BB500" s="31">
        <f t="shared" si="54"/>
        <v>0</v>
      </c>
      <c r="BC500" s="31">
        <f t="shared" si="56"/>
        <v>0</v>
      </c>
    </row>
    <row r="501" spans="1:55" ht="28.5" customHeight="1">
      <c r="A501" s="32"/>
      <c r="B501" s="32"/>
      <c r="C501" s="32"/>
      <c r="D501" s="40"/>
      <c r="E501" s="39" t="s">
        <v>47</v>
      </c>
      <c r="F501" s="39" t="s">
        <v>48</v>
      </c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  <c r="AA501" s="29"/>
      <c r="AB501" s="29"/>
      <c r="AC501" s="29"/>
      <c r="AD501" s="29"/>
      <c r="AE501" s="29"/>
      <c r="AJ501"/>
      <c r="AK501"/>
      <c r="AL501"/>
      <c r="AM501"/>
      <c r="AN501"/>
      <c r="AO501"/>
      <c r="AP501"/>
      <c r="AQ501"/>
      <c r="AR501"/>
      <c r="AS501"/>
      <c r="AT501" s="4" t="str">
        <f t="shared" si="55"/>
        <v>1.0倍人力工会经费</v>
      </c>
      <c r="AU501" s="4" t="str">
        <f t="shared" si="50"/>
        <v>企金管理部</v>
      </c>
      <c r="AV501" s="4" t="str">
        <f t="shared" si="51"/>
        <v>人力费用</v>
      </c>
      <c r="AW501" s="4" t="str">
        <f>IFERROR(VLOOKUP(AV501,[1]字段!A:B,2,0),"")</f>
        <v>人力费用</v>
      </c>
      <c r="AX501" s="30" t="str">
        <f>IF(AW501="人力费用",IF(E501="","",VLOOKUP(E501,[1]字段!D:E,2,0)),AW501)</f>
        <v>1.0倍人力</v>
      </c>
      <c r="AY501" s="30" t="str">
        <f>IF(AT501="","",VLOOKUP(AT501,[1]字段!H:I,2,0))</f>
        <v>1.0倍人力</v>
      </c>
      <c r="AZ501" s="31">
        <f t="shared" si="52"/>
        <v>0</v>
      </c>
      <c r="BA501" s="31">
        <f t="shared" si="53"/>
        <v>0</v>
      </c>
      <c r="BB501" s="31">
        <f t="shared" si="54"/>
        <v>0</v>
      </c>
      <c r="BC501" s="31">
        <f t="shared" si="56"/>
        <v>0</v>
      </c>
    </row>
    <row r="502" spans="1:55" ht="28.5" customHeight="1">
      <c r="A502" s="32"/>
      <c r="B502" s="32"/>
      <c r="C502" s="32"/>
      <c r="D502" s="40"/>
      <c r="E502" s="39" t="s">
        <v>49</v>
      </c>
      <c r="F502" s="39" t="s">
        <v>50</v>
      </c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  <c r="AA502" s="29"/>
      <c r="AB502" s="29"/>
      <c r="AC502" s="29"/>
      <c r="AD502" s="29"/>
      <c r="AE502" s="29"/>
      <c r="AJ502"/>
      <c r="AK502"/>
      <c r="AL502"/>
      <c r="AM502"/>
      <c r="AN502"/>
      <c r="AO502"/>
      <c r="AP502"/>
      <c r="AQ502"/>
      <c r="AR502"/>
      <c r="AS502"/>
      <c r="AT502" s="4" t="str">
        <f t="shared" si="55"/>
        <v>1.0倍人力基本养老保险</v>
      </c>
      <c r="AU502" s="4" t="str">
        <f t="shared" si="50"/>
        <v>企金管理部</v>
      </c>
      <c r="AV502" s="4" t="str">
        <f t="shared" si="51"/>
        <v>人力费用</v>
      </c>
      <c r="AW502" s="4" t="str">
        <f>IFERROR(VLOOKUP(AV502,[1]字段!A:B,2,0),"")</f>
        <v>人力费用</v>
      </c>
      <c r="AX502" s="30" t="str">
        <f>IF(AW502="人力费用",IF(E502="","",VLOOKUP(E502,[1]字段!D:E,2,0)),AW502)</f>
        <v>1.0倍人力</v>
      </c>
      <c r="AY502" s="30" t="str">
        <f>IF(AT502="","",VLOOKUP(AT502,[1]字段!H:I,2,0))</f>
        <v>1.0倍人力</v>
      </c>
      <c r="AZ502" s="31">
        <f t="shared" si="52"/>
        <v>0</v>
      </c>
      <c r="BA502" s="31">
        <f t="shared" si="53"/>
        <v>0</v>
      </c>
      <c r="BB502" s="31">
        <f t="shared" si="54"/>
        <v>0</v>
      </c>
      <c r="BC502" s="31">
        <f t="shared" si="56"/>
        <v>0</v>
      </c>
    </row>
    <row r="503" spans="1:55" ht="28.5" customHeight="1">
      <c r="A503" s="32"/>
      <c r="B503" s="32"/>
      <c r="C503" s="32"/>
      <c r="D503" s="40"/>
      <c r="E503" s="39" t="s">
        <v>51</v>
      </c>
      <c r="F503" s="39" t="s">
        <v>52</v>
      </c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  <c r="AA503" s="29"/>
      <c r="AB503" s="29"/>
      <c r="AC503" s="29"/>
      <c r="AD503" s="29"/>
      <c r="AE503" s="29"/>
      <c r="AJ503"/>
      <c r="AK503"/>
      <c r="AL503"/>
      <c r="AM503"/>
      <c r="AN503"/>
      <c r="AO503"/>
      <c r="AP503"/>
      <c r="AQ503"/>
      <c r="AR503"/>
      <c r="AS503"/>
      <c r="AT503" s="4" t="str">
        <f t="shared" si="55"/>
        <v>1.0倍人力基本医疗保险</v>
      </c>
      <c r="AU503" s="4" t="str">
        <f t="shared" si="50"/>
        <v>企金管理部</v>
      </c>
      <c r="AV503" s="4" t="str">
        <f t="shared" si="51"/>
        <v>人力费用</v>
      </c>
      <c r="AW503" s="4" t="str">
        <f>IFERROR(VLOOKUP(AV503,[1]字段!A:B,2,0),"")</f>
        <v>人力费用</v>
      </c>
      <c r="AX503" s="30" t="str">
        <f>IF(AW503="人力费用",IF(E503="","",VLOOKUP(E503,[1]字段!D:E,2,0)),AW503)</f>
        <v>1.0倍人力</v>
      </c>
      <c r="AY503" s="30" t="str">
        <f>IF(AT503="","",VLOOKUP(AT503,[1]字段!H:I,2,0))</f>
        <v>1.0倍人力</v>
      </c>
      <c r="AZ503" s="31">
        <f t="shared" si="52"/>
        <v>0</v>
      </c>
      <c r="BA503" s="31">
        <f t="shared" si="53"/>
        <v>0</v>
      </c>
      <c r="BB503" s="31">
        <f t="shared" si="54"/>
        <v>0</v>
      </c>
      <c r="BC503" s="31">
        <f t="shared" si="56"/>
        <v>0</v>
      </c>
    </row>
    <row r="504" spans="1:55" ht="28.5" customHeight="1">
      <c r="A504" s="32"/>
      <c r="B504" s="32"/>
      <c r="C504" s="32"/>
      <c r="D504" s="40"/>
      <c r="E504" s="39" t="s">
        <v>53</v>
      </c>
      <c r="F504" s="39" t="s">
        <v>54</v>
      </c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  <c r="AA504" s="29"/>
      <c r="AB504" s="29"/>
      <c r="AC504" s="29"/>
      <c r="AD504" s="29"/>
      <c r="AE504" s="29"/>
      <c r="AJ504"/>
      <c r="AK504"/>
      <c r="AL504"/>
      <c r="AM504"/>
      <c r="AN504"/>
      <c r="AO504"/>
      <c r="AP504"/>
      <c r="AQ504"/>
      <c r="AR504"/>
      <c r="AS504"/>
      <c r="AT504" s="4" t="str">
        <f t="shared" si="55"/>
        <v>1.0倍人力工伤保险</v>
      </c>
      <c r="AU504" s="4" t="str">
        <f t="shared" si="50"/>
        <v>企金管理部</v>
      </c>
      <c r="AV504" s="4" t="str">
        <f t="shared" si="51"/>
        <v>人力费用</v>
      </c>
      <c r="AW504" s="4" t="str">
        <f>IFERROR(VLOOKUP(AV504,[1]字段!A:B,2,0),"")</f>
        <v>人力费用</v>
      </c>
      <c r="AX504" s="30" t="str">
        <f>IF(AW504="人力费用",IF(E504="","",VLOOKUP(E504,[1]字段!D:E,2,0)),AW504)</f>
        <v>1.0倍人力</v>
      </c>
      <c r="AY504" s="30" t="str">
        <f>IF(AT504="","",VLOOKUP(AT504,[1]字段!H:I,2,0))</f>
        <v>1.0倍人力</v>
      </c>
      <c r="AZ504" s="31">
        <f t="shared" si="52"/>
        <v>0</v>
      </c>
      <c r="BA504" s="31">
        <f t="shared" si="53"/>
        <v>0</v>
      </c>
      <c r="BB504" s="31">
        <f t="shared" si="54"/>
        <v>0</v>
      </c>
      <c r="BC504" s="31">
        <f t="shared" si="56"/>
        <v>0</v>
      </c>
    </row>
    <row r="505" spans="1:55" ht="28.5" customHeight="1">
      <c r="A505" s="32"/>
      <c r="B505" s="32"/>
      <c r="C505" s="32"/>
      <c r="D505" s="40"/>
      <c r="E505" s="39" t="s">
        <v>55</v>
      </c>
      <c r="F505" s="39" t="s">
        <v>56</v>
      </c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  <c r="AA505" s="29"/>
      <c r="AB505" s="29"/>
      <c r="AC505" s="29"/>
      <c r="AD505" s="29"/>
      <c r="AE505" s="29"/>
      <c r="AJ505"/>
      <c r="AK505"/>
      <c r="AL505"/>
      <c r="AM505"/>
      <c r="AN505"/>
      <c r="AO505"/>
      <c r="AP505"/>
      <c r="AQ505"/>
      <c r="AR505"/>
      <c r="AS505"/>
      <c r="AT505" s="4" t="str">
        <f t="shared" si="55"/>
        <v>1.0倍人力生育保险</v>
      </c>
      <c r="AU505" s="4" t="str">
        <f t="shared" si="50"/>
        <v>企金管理部</v>
      </c>
      <c r="AV505" s="4" t="str">
        <f t="shared" si="51"/>
        <v>人力费用</v>
      </c>
      <c r="AW505" s="4" t="str">
        <f>IFERROR(VLOOKUP(AV505,[1]字段!A:B,2,0),"")</f>
        <v>人力费用</v>
      </c>
      <c r="AX505" s="30" t="str">
        <f>IF(AW505="人力费用",IF(E505="","",VLOOKUP(E505,[1]字段!D:E,2,0)),AW505)</f>
        <v>1.0倍人力</v>
      </c>
      <c r="AY505" s="30" t="str">
        <f>IF(AT505="","",VLOOKUP(AT505,[1]字段!H:I,2,0))</f>
        <v>1.0倍人力</v>
      </c>
      <c r="AZ505" s="31">
        <f t="shared" si="52"/>
        <v>0</v>
      </c>
      <c r="BA505" s="31">
        <f t="shared" si="53"/>
        <v>0</v>
      </c>
      <c r="BB505" s="31">
        <f t="shared" si="54"/>
        <v>0</v>
      </c>
      <c r="BC505" s="31">
        <f t="shared" si="56"/>
        <v>0</v>
      </c>
    </row>
    <row r="506" spans="1:55" ht="28.5" customHeight="1">
      <c r="A506" s="32"/>
      <c r="B506" s="32"/>
      <c r="C506" s="32"/>
      <c r="D506" s="40"/>
      <c r="E506" s="39" t="s">
        <v>57</v>
      </c>
      <c r="F506" s="39" t="s">
        <v>58</v>
      </c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  <c r="AA506" s="29"/>
      <c r="AB506" s="29"/>
      <c r="AC506" s="29"/>
      <c r="AD506" s="29"/>
      <c r="AE506" s="29"/>
      <c r="AJ506"/>
      <c r="AK506"/>
      <c r="AL506"/>
      <c r="AM506"/>
      <c r="AN506"/>
      <c r="AO506"/>
      <c r="AP506"/>
      <c r="AQ506"/>
      <c r="AR506"/>
      <c r="AS506"/>
      <c r="AT506" s="4" t="str">
        <f t="shared" si="55"/>
        <v>1.0倍人力失业保险</v>
      </c>
      <c r="AU506" s="4" t="str">
        <f t="shared" si="50"/>
        <v>企金管理部</v>
      </c>
      <c r="AV506" s="4" t="str">
        <f t="shared" si="51"/>
        <v>人力费用</v>
      </c>
      <c r="AW506" s="4" t="str">
        <f>IFERROR(VLOOKUP(AV506,[1]字段!A:B,2,0),"")</f>
        <v>人力费用</v>
      </c>
      <c r="AX506" s="30" t="str">
        <f>IF(AW506="人力费用",IF(E506="","",VLOOKUP(E506,[1]字段!D:E,2,0)),AW506)</f>
        <v>1.0倍人力</v>
      </c>
      <c r="AY506" s="30" t="str">
        <f>IF(AT506="","",VLOOKUP(AT506,[1]字段!H:I,2,0))</f>
        <v>1.0倍人力</v>
      </c>
      <c r="AZ506" s="31">
        <f t="shared" si="52"/>
        <v>0</v>
      </c>
      <c r="BA506" s="31">
        <f t="shared" si="53"/>
        <v>0</v>
      </c>
      <c r="BB506" s="31">
        <f t="shared" si="54"/>
        <v>0</v>
      </c>
      <c r="BC506" s="31">
        <f t="shared" si="56"/>
        <v>0</v>
      </c>
    </row>
    <row r="507" spans="1:55" ht="28.5" customHeight="1">
      <c r="A507" s="32"/>
      <c r="B507" s="32"/>
      <c r="C507" s="41"/>
      <c r="D507" s="42"/>
      <c r="E507" s="39" t="s">
        <v>59</v>
      </c>
      <c r="F507" s="39" t="s">
        <v>60</v>
      </c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  <c r="AA507" s="29"/>
      <c r="AB507" s="29"/>
      <c r="AC507" s="29"/>
      <c r="AD507" s="29"/>
      <c r="AE507" s="29"/>
      <c r="AJ507"/>
      <c r="AK507"/>
      <c r="AL507"/>
      <c r="AM507"/>
      <c r="AN507"/>
      <c r="AO507"/>
      <c r="AP507"/>
      <c r="AQ507"/>
      <c r="AR507"/>
      <c r="AS507"/>
      <c r="AT507" s="4" t="str">
        <f t="shared" si="55"/>
        <v>1.0倍人力住房公积金</v>
      </c>
      <c r="AU507" s="4" t="str">
        <f t="shared" si="50"/>
        <v>企金管理部</v>
      </c>
      <c r="AV507" s="4" t="str">
        <f t="shared" si="51"/>
        <v>人力费用</v>
      </c>
      <c r="AW507" s="4" t="str">
        <f>IFERROR(VLOOKUP(AV507,[1]字段!A:B,2,0),"")</f>
        <v>人力费用</v>
      </c>
      <c r="AX507" s="30" t="str">
        <f>IF(AW507="人力费用",IF(E507="","",VLOOKUP(E507,[1]字段!D:E,2,0)),AW507)</f>
        <v>1.0倍人力</v>
      </c>
      <c r="AY507" s="30" t="str">
        <f>IF(AT507="","",VLOOKUP(AT507,[1]字段!H:I,2,0))</f>
        <v>1.0倍人力</v>
      </c>
      <c r="AZ507" s="31">
        <f t="shared" si="52"/>
        <v>0</v>
      </c>
      <c r="BA507" s="31">
        <f t="shared" si="53"/>
        <v>0</v>
      </c>
      <c r="BB507" s="31">
        <f t="shared" si="54"/>
        <v>0</v>
      </c>
      <c r="BC507" s="31">
        <f t="shared" si="56"/>
        <v>0</v>
      </c>
    </row>
    <row r="508" spans="1:55" ht="28.5" customHeight="1">
      <c r="C508" s="33" t="s">
        <v>107</v>
      </c>
      <c r="D508" s="34" t="s">
        <v>108</v>
      </c>
      <c r="E508" s="35"/>
      <c r="F508" s="36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  <c r="AA508" s="29"/>
      <c r="AB508" s="29"/>
      <c r="AC508" s="29"/>
      <c r="AD508" s="29"/>
      <c r="AE508" s="29"/>
      <c r="AJ508"/>
      <c r="AK508"/>
      <c r="AL508"/>
      <c r="AM508"/>
      <c r="AN508"/>
      <c r="AO508"/>
      <c r="AP508"/>
      <c r="AQ508"/>
      <c r="AR508"/>
      <c r="AS508"/>
      <c r="AT508" s="4" t="str">
        <f t="shared" si="55"/>
        <v>营销费用</v>
      </c>
      <c r="AU508" s="4" t="str">
        <f t="shared" si="50"/>
        <v>企金管理部</v>
      </c>
      <c r="AV508" s="4" t="str">
        <f t="shared" si="51"/>
        <v>营销费用</v>
      </c>
      <c r="AW508" s="4" t="str">
        <f>IFERROR(VLOOKUP(AV508,[1]字段!A:B,2,0),"")</f>
        <v>营销费用</v>
      </c>
      <c r="AX508" s="30" t="str">
        <f>IF(AW508="人力费用",IF(E508="","",VLOOKUP(E508,[1]字段!D:E,2,0)),AW508)</f>
        <v>营销费用</v>
      </c>
      <c r="AY508" s="30">
        <f>IF(AT508="","",VLOOKUP(AT508,[1]字段!H:I,2,0))</f>
        <v>0</v>
      </c>
      <c r="AZ508" s="31">
        <f t="shared" si="52"/>
        <v>0</v>
      </c>
      <c r="BA508" s="31">
        <f t="shared" si="53"/>
        <v>0</v>
      </c>
      <c r="BB508" s="31">
        <f t="shared" si="54"/>
        <v>0</v>
      </c>
      <c r="BC508" s="31">
        <f t="shared" si="56"/>
        <v>0</v>
      </c>
    </row>
    <row r="509" spans="1:55" ht="28.5" customHeight="1">
      <c r="A509" s="32"/>
      <c r="B509" s="32"/>
      <c r="C509" s="43"/>
      <c r="D509" s="43"/>
      <c r="E509" s="39" t="s">
        <v>181</v>
      </c>
      <c r="F509" s="39" t="s">
        <v>182</v>
      </c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  <c r="AA509" s="29"/>
      <c r="AB509" s="29"/>
      <c r="AC509" s="29"/>
      <c r="AD509" s="29"/>
      <c r="AE509" s="29"/>
      <c r="AJ509"/>
      <c r="AK509"/>
      <c r="AL509"/>
      <c r="AM509"/>
      <c r="AN509"/>
      <c r="AO509"/>
      <c r="AP509"/>
      <c r="AQ509"/>
      <c r="AR509"/>
      <c r="AS509"/>
      <c r="AT509" s="4" t="str">
        <f t="shared" si="55"/>
        <v>营销费用短信费</v>
      </c>
      <c r="AU509" s="4" t="str">
        <f t="shared" si="50"/>
        <v>企金管理部</v>
      </c>
      <c r="AV509" s="4" t="str">
        <f t="shared" si="51"/>
        <v>营销费用</v>
      </c>
      <c r="AW509" s="4" t="str">
        <f>IFERROR(VLOOKUP(AV509,[1]字段!A:B,2,0),"")</f>
        <v>营销费用</v>
      </c>
      <c r="AX509" s="30" t="str">
        <f>IF(AW509="人力费用",IF(E509="","",VLOOKUP(E509,[1]字段!D:E,2,0)),AW509)</f>
        <v>营销费用</v>
      </c>
      <c r="AY509" s="30" t="str">
        <f>IF(AT509="","",VLOOKUP(AT509,[1]字段!H:I,2,0))</f>
        <v>营销费用</v>
      </c>
      <c r="AZ509" s="31">
        <f t="shared" si="52"/>
        <v>0</v>
      </c>
      <c r="BA509" s="31">
        <f t="shared" si="53"/>
        <v>0</v>
      </c>
      <c r="BB509" s="31">
        <f t="shared" si="54"/>
        <v>0</v>
      </c>
      <c r="BC509" s="31">
        <f t="shared" si="56"/>
        <v>0</v>
      </c>
    </row>
    <row r="510" spans="1:55" ht="28.5" customHeight="1">
      <c r="C510" s="33" t="s">
        <v>162</v>
      </c>
      <c r="D510" s="34" t="s">
        <v>163</v>
      </c>
      <c r="E510" s="35"/>
      <c r="F510" s="36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  <c r="AA510" s="29"/>
      <c r="AB510" s="29"/>
      <c r="AC510" s="29"/>
      <c r="AD510" s="29"/>
      <c r="AE510" s="29"/>
      <c r="AJ510"/>
      <c r="AK510"/>
      <c r="AL510"/>
      <c r="AM510"/>
      <c r="AN510"/>
      <c r="AO510"/>
      <c r="AP510"/>
      <c r="AQ510"/>
      <c r="AR510"/>
      <c r="AS510"/>
      <c r="AT510" s="4" t="str">
        <f t="shared" si="55"/>
        <v>运营费用</v>
      </c>
      <c r="AU510" s="4" t="str">
        <f t="shared" si="50"/>
        <v>企金管理部</v>
      </c>
      <c r="AV510" s="4" t="str">
        <f t="shared" si="51"/>
        <v>运营费用</v>
      </c>
      <c r="AW510" s="4" t="str">
        <f>IFERROR(VLOOKUP(AV510,[1]字段!A:B,2,0),"")</f>
        <v>运营费用</v>
      </c>
      <c r="AX510" s="30" t="str">
        <f>IF(AW510="人力费用",IF(E510="","",VLOOKUP(E510,[1]字段!D:E,2,0)),AW510)</f>
        <v>运营费用</v>
      </c>
      <c r="AY510" s="30">
        <f>IF(AT510="","",VLOOKUP(AT510,[1]字段!H:I,2,0))</f>
        <v>0</v>
      </c>
      <c r="AZ510" s="31">
        <f t="shared" si="52"/>
        <v>0</v>
      </c>
      <c r="BA510" s="31">
        <f t="shared" si="53"/>
        <v>0</v>
      </c>
      <c r="BB510" s="31">
        <f t="shared" si="54"/>
        <v>0</v>
      </c>
      <c r="BC510" s="31">
        <f t="shared" si="56"/>
        <v>0</v>
      </c>
    </row>
    <row r="511" spans="1:55" ht="28.5" customHeight="1">
      <c r="A511" s="32"/>
      <c r="B511" s="32"/>
      <c r="C511" s="37"/>
      <c r="D511" s="38"/>
      <c r="E511" s="39" t="s">
        <v>181</v>
      </c>
      <c r="F511" s="39" t="s">
        <v>182</v>
      </c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  <c r="AA511" s="29"/>
      <c r="AB511" s="29"/>
      <c r="AC511" s="29"/>
      <c r="AD511" s="29"/>
      <c r="AE511" s="29"/>
      <c r="AJ511"/>
      <c r="AK511"/>
      <c r="AL511"/>
      <c r="AM511"/>
      <c r="AN511"/>
      <c r="AO511"/>
      <c r="AP511"/>
      <c r="AQ511"/>
      <c r="AR511"/>
      <c r="AS511"/>
      <c r="AT511" s="4" t="str">
        <f t="shared" si="55"/>
        <v>运营费用短信费</v>
      </c>
      <c r="AU511" s="4" t="str">
        <f t="shared" si="50"/>
        <v>企金管理部</v>
      </c>
      <c r="AV511" s="4" t="str">
        <f t="shared" si="51"/>
        <v>运营费用</v>
      </c>
      <c r="AW511" s="4" t="str">
        <f>IFERROR(VLOOKUP(AV511,[1]字段!A:B,2,0),"")</f>
        <v>运营费用</v>
      </c>
      <c r="AX511" s="30" t="str">
        <f>IF(AW511="人力费用",IF(E511="","",VLOOKUP(E511,[1]字段!D:E,2,0)),AW511)</f>
        <v>运营费用</v>
      </c>
      <c r="AY511" s="30" t="str">
        <f>IF(AT511="","",VLOOKUP(AT511,[1]字段!H:I,2,0))</f>
        <v>运营费用-短信费</v>
      </c>
      <c r="AZ511" s="31">
        <f t="shared" si="52"/>
        <v>0</v>
      </c>
      <c r="BA511" s="31">
        <f t="shared" si="53"/>
        <v>0</v>
      </c>
      <c r="BB511" s="31">
        <f t="shared" si="54"/>
        <v>0</v>
      </c>
      <c r="BC511" s="31">
        <f t="shared" si="56"/>
        <v>0</v>
      </c>
    </row>
    <row r="512" spans="1:55" ht="28.5" customHeight="1">
      <c r="A512" s="32"/>
      <c r="B512" s="32"/>
      <c r="C512" s="32"/>
      <c r="D512" s="40"/>
      <c r="E512" s="39" t="s">
        <v>172</v>
      </c>
      <c r="F512" s="39" t="s">
        <v>173</v>
      </c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  <c r="AA512" s="29"/>
      <c r="AB512" s="29"/>
      <c r="AC512" s="29"/>
      <c r="AD512" s="29"/>
      <c r="AE512" s="29"/>
      <c r="AJ512"/>
      <c r="AK512"/>
      <c r="AL512"/>
      <c r="AM512"/>
      <c r="AN512"/>
      <c r="AO512"/>
      <c r="AP512"/>
      <c r="AQ512"/>
      <c r="AR512"/>
      <c r="AS512"/>
      <c r="AT512" s="4" t="str">
        <f t="shared" si="55"/>
        <v>运营费用客服费</v>
      </c>
      <c r="AU512" s="4" t="str">
        <f t="shared" si="50"/>
        <v>企金管理部</v>
      </c>
      <c r="AV512" s="4" t="str">
        <f t="shared" si="51"/>
        <v>运营费用</v>
      </c>
      <c r="AW512" s="4" t="str">
        <f>IFERROR(VLOOKUP(AV512,[1]字段!A:B,2,0),"")</f>
        <v>运营费用</v>
      </c>
      <c r="AX512" s="30" t="str">
        <f>IF(AW512="人力费用",IF(E512="","",VLOOKUP(E512,[1]字段!D:E,2,0)),AW512)</f>
        <v>运营费用</v>
      </c>
      <c r="AY512" s="30" t="str">
        <f>IF(AT512="","",VLOOKUP(AT512,[1]字段!H:I,2,0))</f>
        <v>运营费用-客服费</v>
      </c>
      <c r="AZ512" s="31">
        <f t="shared" si="52"/>
        <v>0</v>
      </c>
      <c r="BA512" s="31">
        <f t="shared" si="53"/>
        <v>0</v>
      </c>
      <c r="BB512" s="31">
        <f t="shared" si="54"/>
        <v>0</v>
      </c>
      <c r="BC512" s="31">
        <f t="shared" si="56"/>
        <v>0</v>
      </c>
    </row>
    <row r="513" spans="1:55" ht="28.5" customHeight="1">
      <c r="A513" s="32"/>
      <c r="B513" s="32"/>
      <c r="C513" s="41"/>
      <c r="D513" s="42"/>
      <c r="E513" s="39" t="s">
        <v>83</v>
      </c>
      <c r="F513" s="39" t="s">
        <v>84</v>
      </c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  <c r="AA513" s="29"/>
      <c r="AB513" s="29"/>
      <c r="AC513" s="29"/>
      <c r="AD513" s="29"/>
      <c r="AE513" s="29"/>
      <c r="AJ513"/>
      <c r="AK513"/>
      <c r="AL513"/>
      <c r="AM513"/>
      <c r="AN513"/>
      <c r="AO513"/>
      <c r="AP513"/>
      <c r="AQ513"/>
      <c r="AR513"/>
      <c r="AS513"/>
      <c r="AT513" s="4" t="str">
        <f t="shared" si="55"/>
        <v>运营费用其他外包服务费</v>
      </c>
      <c r="AU513" s="4" t="str">
        <f t="shared" si="50"/>
        <v>企金管理部</v>
      </c>
      <c r="AV513" s="4" t="str">
        <f t="shared" si="51"/>
        <v>运营费用</v>
      </c>
      <c r="AW513" s="4" t="str">
        <f>IFERROR(VLOOKUP(AV513,[1]字段!A:B,2,0),"")</f>
        <v>运营费用</v>
      </c>
      <c r="AX513" s="30" t="str">
        <f>IF(AW513="人力费用",IF(E513="","",VLOOKUP(E513,[1]字段!D:E,2,0)),AW513)</f>
        <v>运营费用</v>
      </c>
      <c r="AY513" s="30" t="str">
        <f>IF(AT513="","",VLOOKUP(AT513,[1]字段!H:I,2,0))</f>
        <v>运营费用-外包服务费</v>
      </c>
      <c r="AZ513" s="31">
        <f t="shared" si="52"/>
        <v>0</v>
      </c>
      <c r="BA513" s="31">
        <f t="shared" si="53"/>
        <v>0</v>
      </c>
      <c r="BB513" s="31">
        <f t="shared" si="54"/>
        <v>0</v>
      </c>
      <c r="BC513" s="31">
        <f t="shared" si="56"/>
        <v>0</v>
      </c>
    </row>
    <row r="514" spans="1:55" ht="28.5" customHeight="1">
      <c r="C514" s="33" t="s">
        <v>65</v>
      </c>
      <c r="D514" s="34" t="s">
        <v>66</v>
      </c>
      <c r="E514" s="35"/>
      <c r="F514" s="36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  <c r="AA514" s="29"/>
      <c r="AB514" s="29"/>
      <c r="AC514" s="29"/>
      <c r="AD514" s="29"/>
      <c r="AE514" s="29"/>
      <c r="AJ514"/>
      <c r="AK514"/>
      <c r="AL514"/>
      <c r="AM514"/>
      <c r="AN514"/>
      <c r="AO514"/>
      <c r="AP514"/>
      <c r="AQ514"/>
      <c r="AR514"/>
      <c r="AS514"/>
      <c r="AT514" s="4" t="str">
        <f t="shared" si="55"/>
        <v>IT费用</v>
      </c>
      <c r="AU514" s="4" t="str">
        <f t="shared" si="50"/>
        <v>企金管理部</v>
      </c>
      <c r="AV514" s="4" t="str">
        <f t="shared" si="51"/>
        <v>IT科技费用</v>
      </c>
      <c r="AW514" s="4" t="str">
        <f>IFERROR(VLOOKUP(AV514,[1]字段!A:B,2,0),"")</f>
        <v>IT费用</v>
      </c>
      <c r="AX514" s="30" t="str">
        <f>IF(AW514="人力费用",IF(E514="","",VLOOKUP(E514,[1]字段!D:E,2,0)),AW514)</f>
        <v>IT费用</v>
      </c>
      <c r="AY514" s="30">
        <f>IF(AT514="","",VLOOKUP(AT514,[1]字段!H:I,2,0))</f>
        <v>0</v>
      </c>
      <c r="AZ514" s="31">
        <f t="shared" si="52"/>
        <v>0</v>
      </c>
      <c r="BA514" s="31">
        <f t="shared" si="53"/>
        <v>0</v>
      </c>
      <c r="BB514" s="31">
        <f t="shared" si="54"/>
        <v>0</v>
      </c>
      <c r="BC514" s="31">
        <f t="shared" si="56"/>
        <v>0</v>
      </c>
    </row>
    <row r="515" spans="1:55" ht="28.5" customHeight="1">
      <c r="A515" s="32"/>
      <c r="B515" s="32"/>
      <c r="C515" s="37"/>
      <c r="D515" s="38"/>
      <c r="E515" s="39" t="s">
        <v>69</v>
      </c>
      <c r="F515" s="39" t="s">
        <v>70</v>
      </c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  <c r="AA515" s="29"/>
      <c r="AB515" s="29"/>
      <c r="AC515" s="29"/>
      <c r="AD515" s="29"/>
      <c r="AE515" s="29"/>
      <c r="AJ515"/>
      <c r="AK515"/>
      <c r="AL515"/>
      <c r="AM515"/>
      <c r="AN515"/>
      <c r="AO515"/>
      <c r="AP515"/>
      <c r="AQ515"/>
      <c r="AR515"/>
      <c r="AS515"/>
      <c r="AT515" s="4" t="str">
        <f t="shared" si="55"/>
        <v>IT费用移动终端折旧费</v>
      </c>
      <c r="AU515" s="4" t="str">
        <f t="shared" si="50"/>
        <v>企金管理部</v>
      </c>
      <c r="AV515" s="4" t="str">
        <f t="shared" si="51"/>
        <v>IT科技费用</v>
      </c>
      <c r="AW515" s="4" t="str">
        <f>IFERROR(VLOOKUP(AV515,[1]字段!A:B,2,0),"")</f>
        <v>IT费用</v>
      </c>
      <c r="AX515" s="30" t="str">
        <f>IF(AW515="人力费用",IF(E515="","",VLOOKUP(E515,[1]字段!D:E,2,0)),AW515)</f>
        <v>IT费用</v>
      </c>
      <c r="AY515" s="30" t="str">
        <f>IF(AT515="","",VLOOKUP(AT515,[1]字段!H:I,2,0))</f>
        <v>IT费用</v>
      </c>
      <c r="AZ515" s="31">
        <f t="shared" si="52"/>
        <v>0</v>
      </c>
      <c r="BA515" s="31">
        <f t="shared" si="53"/>
        <v>0</v>
      </c>
      <c r="BB515" s="31">
        <f t="shared" si="54"/>
        <v>0</v>
      </c>
      <c r="BC515" s="31">
        <f t="shared" si="56"/>
        <v>0</v>
      </c>
    </row>
    <row r="516" spans="1:55" ht="28.5" customHeight="1">
      <c r="A516" s="32"/>
      <c r="B516" s="32"/>
      <c r="C516" s="32"/>
      <c r="D516" s="40"/>
      <c r="E516" s="39" t="s">
        <v>71</v>
      </c>
      <c r="F516" s="39" t="s">
        <v>72</v>
      </c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  <c r="AA516" s="29"/>
      <c r="AB516" s="29"/>
      <c r="AC516" s="29"/>
      <c r="AD516" s="29"/>
      <c r="AE516" s="29"/>
      <c r="AJ516"/>
      <c r="AK516"/>
      <c r="AL516"/>
      <c r="AM516"/>
      <c r="AN516"/>
      <c r="AO516"/>
      <c r="AP516"/>
      <c r="AQ516"/>
      <c r="AR516"/>
      <c r="AS516"/>
      <c r="AT516" s="4" t="str">
        <f t="shared" si="55"/>
        <v>IT费用办公IT设备折旧费</v>
      </c>
      <c r="AU516" s="4" t="str">
        <f t="shared" si="50"/>
        <v>企金管理部</v>
      </c>
      <c r="AV516" s="4" t="str">
        <f t="shared" si="51"/>
        <v>IT科技费用</v>
      </c>
      <c r="AW516" s="4" t="str">
        <f>IFERROR(VLOOKUP(AV516,[1]字段!A:B,2,0),"")</f>
        <v>IT费用</v>
      </c>
      <c r="AX516" s="30" t="str">
        <f>IF(AW516="人力费用",IF(E516="","",VLOOKUP(E516,[1]字段!D:E,2,0)),AW516)</f>
        <v>IT费用</v>
      </c>
      <c r="AY516" s="30" t="str">
        <f>IF(AT516="","",VLOOKUP(AT516,[1]字段!H:I,2,0))</f>
        <v>IT费用</v>
      </c>
      <c r="AZ516" s="31">
        <f t="shared" si="52"/>
        <v>0</v>
      </c>
      <c r="BA516" s="31">
        <f t="shared" si="53"/>
        <v>0</v>
      </c>
      <c r="BB516" s="31">
        <f t="shared" si="54"/>
        <v>0</v>
      </c>
      <c r="BC516" s="31">
        <f t="shared" si="56"/>
        <v>0</v>
      </c>
    </row>
    <row r="517" spans="1:55" ht="28.5" customHeight="1">
      <c r="A517" s="32"/>
      <c r="B517" s="32"/>
      <c r="C517" s="41"/>
      <c r="D517" s="42"/>
      <c r="E517" s="39" t="s">
        <v>75</v>
      </c>
      <c r="F517" s="39" t="s">
        <v>76</v>
      </c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  <c r="AA517" s="29"/>
      <c r="AB517" s="29"/>
      <c r="AC517" s="29"/>
      <c r="AD517" s="29"/>
      <c r="AE517" s="29"/>
      <c r="AJ517"/>
      <c r="AK517"/>
      <c r="AL517"/>
      <c r="AM517"/>
      <c r="AN517"/>
      <c r="AO517"/>
      <c r="AP517"/>
      <c r="AQ517"/>
      <c r="AR517"/>
      <c r="AS517"/>
      <c r="AT517" s="4" t="str">
        <f t="shared" si="55"/>
        <v>IT费用数据资源摊销</v>
      </c>
      <c r="AU517" s="4" t="str">
        <f t="shared" ref="AU517:AU580" si="57">IF(B517="",AU516,B517)</f>
        <v>企金管理部</v>
      </c>
      <c r="AV517" s="4" t="str">
        <f t="shared" ref="AV517:AV580" si="58">IF(B517&lt;&gt;"","",IF(D517="",AV516,D517))</f>
        <v>IT科技费用</v>
      </c>
      <c r="AW517" s="4" t="str">
        <f>IFERROR(VLOOKUP(AV517,[1]字段!A:B,2,0),"")</f>
        <v>IT费用</v>
      </c>
      <c r="AX517" s="30" t="str">
        <f>IF(AW517="人力费用",IF(E517="","",VLOOKUP(E517,[1]字段!D:E,2,0)),AW517)</f>
        <v>IT费用</v>
      </c>
      <c r="AY517" s="30" t="str">
        <f>IF(AT517="","",VLOOKUP(AT517,[1]字段!H:I,2,0))</f>
        <v>IT费用</v>
      </c>
      <c r="AZ517" s="31">
        <f t="shared" ref="AZ517:AZ580" si="59">IF($E517="",0,SUMIF($G$1:$AB$1,AZ$4,$G517:$AB517))</f>
        <v>0</v>
      </c>
      <c r="BA517" s="31">
        <f t="shared" ref="BA517:BA580" si="60">IF($E517="",0,SUMIF($G$1:$AE$1,BA$4,$G517:$AE517))</f>
        <v>0</v>
      </c>
      <c r="BB517" s="31">
        <f t="shared" ref="BB517:BB580" si="61">AZ517+BA517</f>
        <v>0</v>
      </c>
      <c r="BC517" s="31">
        <f t="shared" si="56"/>
        <v>0</v>
      </c>
    </row>
    <row r="518" spans="1:55" ht="28.5" customHeight="1">
      <c r="C518" s="33" t="s">
        <v>93</v>
      </c>
      <c r="D518" s="34" t="s">
        <v>94</v>
      </c>
      <c r="E518" s="35"/>
      <c r="F518" s="36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  <c r="AA518" s="29"/>
      <c r="AB518" s="29"/>
      <c r="AC518" s="29"/>
      <c r="AD518" s="29"/>
      <c r="AE518" s="29"/>
      <c r="AJ518"/>
      <c r="AK518"/>
      <c r="AL518"/>
      <c r="AM518"/>
      <c r="AN518"/>
      <c r="AO518"/>
      <c r="AP518"/>
      <c r="AQ518"/>
      <c r="AR518"/>
      <c r="AS518"/>
      <c r="AT518" s="4" t="str">
        <f t="shared" ref="AT518:AT581" si="62">AX518&amp;F518</f>
        <v>日常费用</v>
      </c>
      <c r="AU518" s="4" t="str">
        <f t="shared" si="57"/>
        <v>企金管理部</v>
      </c>
      <c r="AV518" s="4" t="str">
        <f t="shared" si="58"/>
        <v>日常费用</v>
      </c>
      <c r="AW518" s="4" t="str">
        <f>IFERROR(VLOOKUP(AV518,[1]字段!A:B,2,0),"")</f>
        <v>日常费用</v>
      </c>
      <c r="AX518" s="30" t="str">
        <f>IF(AW518="人力费用",IF(E518="","",VLOOKUP(E518,[1]字段!D:E,2,0)),AW518)</f>
        <v>日常费用</v>
      </c>
      <c r="AY518" s="30">
        <f>IF(AT518="","",VLOOKUP(AT518,[1]字段!H:I,2,0))</f>
        <v>0</v>
      </c>
      <c r="AZ518" s="31">
        <f t="shared" si="59"/>
        <v>0</v>
      </c>
      <c r="BA518" s="31">
        <f t="shared" si="60"/>
        <v>0</v>
      </c>
      <c r="BB518" s="31">
        <f t="shared" si="61"/>
        <v>0</v>
      </c>
      <c r="BC518" s="31">
        <f t="shared" ref="BC518:BC581" si="63">IF(E518="",0,SUM(G518:AE518)-AZ518-BA518)</f>
        <v>0</v>
      </c>
    </row>
    <row r="519" spans="1:55" ht="28.5" customHeight="1">
      <c r="A519" s="32"/>
      <c r="B519" s="32"/>
      <c r="C519" s="37"/>
      <c r="D519" s="38"/>
      <c r="E519" s="39" t="s">
        <v>95</v>
      </c>
      <c r="F519" s="39" t="s">
        <v>96</v>
      </c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  <c r="AA519" s="29"/>
      <c r="AB519" s="29"/>
      <c r="AC519" s="29"/>
      <c r="AD519" s="29"/>
      <c r="AE519" s="29"/>
      <c r="AJ519"/>
      <c r="AK519"/>
      <c r="AL519"/>
      <c r="AM519"/>
      <c r="AN519"/>
      <c r="AO519"/>
      <c r="AP519"/>
      <c r="AQ519"/>
      <c r="AR519"/>
      <c r="AS519"/>
      <c r="AT519" s="4" t="str">
        <f t="shared" si="62"/>
        <v>日常费用业务招待费</v>
      </c>
      <c r="AU519" s="4" t="str">
        <f t="shared" si="57"/>
        <v>企金管理部</v>
      </c>
      <c r="AV519" s="4" t="str">
        <f t="shared" si="58"/>
        <v>日常费用</v>
      </c>
      <c r="AW519" s="4" t="str">
        <f>IFERROR(VLOOKUP(AV519,[1]字段!A:B,2,0),"")</f>
        <v>日常费用</v>
      </c>
      <c r="AX519" s="30" t="str">
        <f>IF(AW519="人力费用",IF(E519="","",VLOOKUP(E519,[1]字段!D:E,2,0)),AW519)</f>
        <v>日常费用</v>
      </c>
      <c r="AY519" s="30" t="str">
        <f>IF(AT519="","",VLOOKUP(AT519,[1]字段!H:I,2,0))</f>
        <v>日常费用-其他</v>
      </c>
      <c r="AZ519" s="31">
        <f t="shared" si="59"/>
        <v>0</v>
      </c>
      <c r="BA519" s="31">
        <f t="shared" si="60"/>
        <v>0</v>
      </c>
      <c r="BB519" s="31">
        <f t="shared" si="61"/>
        <v>0</v>
      </c>
      <c r="BC519" s="31">
        <f t="shared" si="63"/>
        <v>0</v>
      </c>
    </row>
    <row r="520" spans="1:55" ht="28.5" customHeight="1">
      <c r="A520" s="41"/>
      <c r="B520" s="41"/>
      <c r="C520" s="41"/>
      <c r="D520" s="42"/>
      <c r="E520" s="39" t="s">
        <v>139</v>
      </c>
      <c r="F520" s="39" t="s">
        <v>140</v>
      </c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  <c r="AA520" s="29"/>
      <c r="AB520" s="29"/>
      <c r="AC520" s="29"/>
      <c r="AD520" s="29"/>
      <c r="AE520" s="29"/>
      <c r="AJ520"/>
      <c r="AK520"/>
      <c r="AL520"/>
      <c r="AM520"/>
      <c r="AN520"/>
      <c r="AO520"/>
      <c r="AP520"/>
      <c r="AQ520"/>
      <c r="AR520"/>
      <c r="AS520"/>
      <c r="AT520" s="4" t="str">
        <f t="shared" si="62"/>
        <v>日常费用差旅费</v>
      </c>
      <c r="AU520" s="4" t="str">
        <f t="shared" si="57"/>
        <v>企金管理部</v>
      </c>
      <c r="AV520" s="4" t="str">
        <f t="shared" si="58"/>
        <v>日常费用</v>
      </c>
      <c r="AW520" s="4" t="str">
        <f>IFERROR(VLOOKUP(AV520,[1]字段!A:B,2,0),"")</f>
        <v>日常费用</v>
      </c>
      <c r="AX520" s="30" t="str">
        <f>IF(AW520="人力费用",IF(E520="","",VLOOKUP(E520,[1]字段!D:E,2,0)),AW520)</f>
        <v>日常费用</v>
      </c>
      <c r="AY520" s="30" t="str">
        <f>IF(AT520="","",VLOOKUP(AT520,[1]字段!H:I,2,0))</f>
        <v>日常费用-其他</v>
      </c>
      <c r="AZ520" s="31">
        <f t="shared" si="59"/>
        <v>0</v>
      </c>
      <c r="BA520" s="31">
        <f t="shared" si="60"/>
        <v>0</v>
      </c>
      <c r="BB520" s="31">
        <f t="shared" si="61"/>
        <v>0</v>
      </c>
      <c r="BC520" s="31">
        <f t="shared" si="63"/>
        <v>0</v>
      </c>
    </row>
    <row r="521" spans="1:55" ht="28.5" customHeight="1">
      <c r="A521" s="25"/>
      <c r="B521" s="26" t="s">
        <v>187</v>
      </c>
      <c r="C521" s="27"/>
      <c r="D521" s="27"/>
      <c r="E521" s="27"/>
      <c r="F521" s="28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  <c r="AA521" s="29"/>
      <c r="AB521" s="29"/>
      <c r="AC521" s="29"/>
      <c r="AD521" s="29"/>
      <c r="AE521" s="29"/>
      <c r="AJ521"/>
      <c r="AK521"/>
      <c r="AL521"/>
      <c r="AM521"/>
      <c r="AN521"/>
      <c r="AO521"/>
      <c r="AP521"/>
      <c r="AQ521"/>
      <c r="AR521"/>
      <c r="AS521"/>
      <c r="AT521" s="4" t="str">
        <f t="shared" si="62"/>
        <v/>
      </c>
      <c r="AU521" s="4" t="str">
        <f t="shared" si="57"/>
        <v>科技金融部</v>
      </c>
      <c r="AV521" s="4" t="str">
        <f t="shared" si="58"/>
        <v/>
      </c>
      <c r="AW521" s="4" t="str">
        <f>IFERROR(VLOOKUP(AV521,[1]字段!A:B,2,0),"")</f>
        <v/>
      </c>
      <c r="AX521" s="30" t="str">
        <f>IF(AW521="人力费用",IF(E521="","",VLOOKUP(E521,[1]字段!D:E,2,0)),AW521)</f>
        <v/>
      </c>
      <c r="AY521" s="30" t="str">
        <f>IF(AT521="","",VLOOKUP(AT521,[1]字段!H:I,2,0))</f>
        <v/>
      </c>
      <c r="AZ521" s="31">
        <f t="shared" si="59"/>
        <v>0</v>
      </c>
      <c r="BA521" s="31">
        <f t="shared" si="60"/>
        <v>0</v>
      </c>
      <c r="BB521" s="31">
        <f t="shared" si="61"/>
        <v>0</v>
      </c>
      <c r="BC521" s="31">
        <f t="shared" si="63"/>
        <v>0</v>
      </c>
    </row>
    <row r="522" spans="1:55" ht="28.5" customHeight="1">
      <c r="A522" s="32"/>
      <c r="B522" s="32"/>
      <c r="C522" s="33" t="s">
        <v>39</v>
      </c>
      <c r="D522" s="34" t="s">
        <v>40</v>
      </c>
      <c r="E522" s="35"/>
      <c r="F522" s="36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  <c r="AA522" s="29"/>
      <c r="AB522" s="29"/>
      <c r="AC522" s="29"/>
      <c r="AD522" s="29"/>
      <c r="AE522" s="29"/>
      <c r="AJ522"/>
      <c r="AK522"/>
      <c r="AL522"/>
      <c r="AM522"/>
      <c r="AN522"/>
      <c r="AO522"/>
      <c r="AP522"/>
      <c r="AQ522"/>
      <c r="AR522"/>
      <c r="AS522"/>
      <c r="AT522" s="4" t="str">
        <f t="shared" si="62"/>
        <v/>
      </c>
      <c r="AU522" s="4" t="str">
        <f t="shared" si="57"/>
        <v>科技金融部</v>
      </c>
      <c r="AV522" s="4" t="str">
        <f t="shared" si="58"/>
        <v>人力费用</v>
      </c>
      <c r="AW522" s="4" t="str">
        <f>IFERROR(VLOOKUP(AV522,[1]字段!A:B,2,0),"")</f>
        <v>人力费用</v>
      </c>
      <c r="AX522" s="30" t="str">
        <f>IF(AW522="人力费用",IF(E522="","",VLOOKUP(E522,[1]字段!D:E,2,0)),AW522)</f>
        <v/>
      </c>
      <c r="AY522" s="30" t="str">
        <f>IF(AT522="","",VLOOKUP(AT522,[1]字段!H:I,2,0))</f>
        <v/>
      </c>
      <c r="AZ522" s="31">
        <f t="shared" si="59"/>
        <v>0</v>
      </c>
      <c r="BA522" s="31">
        <f t="shared" si="60"/>
        <v>0</v>
      </c>
      <c r="BB522" s="31">
        <f t="shared" si="61"/>
        <v>0</v>
      </c>
      <c r="BC522" s="31">
        <f t="shared" si="63"/>
        <v>0</v>
      </c>
    </row>
    <row r="523" spans="1:55" ht="28.5" customHeight="1">
      <c r="A523" s="32"/>
      <c r="B523" s="32"/>
      <c r="C523" s="37"/>
      <c r="D523" s="38"/>
      <c r="E523" s="39" t="s">
        <v>41</v>
      </c>
      <c r="F523" s="39" t="s">
        <v>42</v>
      </c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  <c r="AA523" s="29"/>
      <c r="AB523" s="29"/>
      <c r="AC523" s="29"/>
      <c r="AD523" s="29"/>
      <c r="AE523" s="29"/>
      <c r="AJ523"/>
      <c r="AK523"/>
      <c r="AL523"/>
      <c r="AM523"/>
      <c r="AN523"/>
      <c r="AO523"/>
      <c r="AP523"/>
      <c r="AQ523"/>
      <c r="AR523"/>
      <c r="AS523"/>
      <c r="AT523" s="4" t="str">
        <f t="shared" si="62"/>
        <v>1.0倍人力基础工资</v>
      </c>
      <c r="AU523" s="4" t="str">
        <f t="shared" si="57"/>
        <v>科技金融部</v>
      </c>
      <c r="AV523" s="4" t="str">
        <f t="shared" si="58"/>
        <v>人力费用</v>
      </c>
      <c r="AW523" s="4" t="str">
        <f>IFERROR(VLOOKUP(AV523,[1]字段!A:B,2,0),"")</f>
        <v>人力费用</v>
      </c>
      <c r="AX523" s="30" t="str">
        <f>IF(AW523="人力费用",IF(E523="","",VLOOKUP(E523,[1]字段!D:E,2,0)),AW523)</f>
        <v>1.0倍人力</v>
      </c>
      <c r="AY523" s="30" t="str">
        <f>IF(AT523="","",VLOOKUP(AT523,[1]字段!H:I,2,0))</f>
        <v>1.0倍人力</v>
      </c>
      <c r="AZ523" s="31">
        <f t="shared" si="59"/>
        <v>0</v>
      </c>
      <c r="BA523" s="31">
        <f t="shared" si="60"/>
        <v>0</v>
      </c>
      <c r="BB523" s="31">
        <f t="shared" si="61"/>
        <v>0</v>
      </c>
      <c r="BC523" s="31">
        <f t="shared" si="63"/>
        <v>0</v>
      </c>
    </row>
    <row r="524" spans="1:55" ht="28.5" customHeight="1">
      <c r="A524" s="32"/>
      <c r="B524" s="32"/>
      <c r="C524" s="32"/>
      <c r="D524" s="40"/>
      <c r="E524" s="39">
        <v>5501010602</v>
      </c>
      <c r="F524" s="3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  <c r="AA524" s="29"/>
      <c r="AB524" s="29"/>
      <c r="AC524" s="29"/>
      <c r="AD524" s="29"/>
      <c r="AE524" s="29"/>
      <c r="AJ524"/>
      <c r="AK524"/>
      <c r="AL524"/>
      <c r="AM524"/>
      <c r="AN524"/>
      <c r="AO524"/>
      <c r="AP524"/>
      <c r="AQ524"/>
      <c r="AR524"/>
      <c r="AS524"/>
      <c r="AT524" s="4" t="str">
        <f t="shared" si="62"/>
        <v>利润分享</v>
      </c>
      <c r="AU524" s="4" t="str">
        <f t="shared" si="57"/>
        <v>科技金融部</v>
      </c>
      <c r="AV524" s="4" t="str">
        <f t="shared" si="58"/>
        <v>人力费用</v>
      </c>
      <c r="AW524" s="4" t="str">
        <f>IFERROR(VLOOKUP(AV524,[1]字段!A:B,2,0),"")</f>
        <v>人力费用</v>
      </c>
      <c r="AX524" s="30" t="str">
        <f>IF(AW524="人力费用",IF(E524="","",VLOOKUP(E524,[1]字段!D:E,2,0)),AW524)</f>
        <v>利润分享</v>
      </c>
      <c r="AY524" s="30" t="str">
        <f>IF(AT524="","",VLOOKUP(AT524,[1]字段!H:I,2,0))</f>
        <v>利润分享</v>
      </c>
      <c r="AZ524" s="31">
        <f t="shared" si="59"/>
        <v>0</v>
      </c>
      <c r="BA524" s="31">
        <f t="shared" si="60"/>
        <v>0</v>
      </c>
      <c r="BB524" s="31">
        <f t="shared" si="61"/>
        <v>0</v>
      </c>
      <c r="BC524" s="31">
        <f t="shared" si="63"/>
        <v>0</v>
      </c>
    </row>
    <row r="525" spans="1:55" ht="28.5" customHeight="1">
      <c r="A525" s="32"/>
      <c r="B525" s="32"/>
      <c r="C525" s="32"/>
      <c r="D525" s="40"/>
      <c r="E525" s="39">
        <v>5501010603</v>
      </c>
      <c r="F525" s="3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  <c r="AA525" s="29"/>
      <c r="AB525" s="29"/>
      <c r="AC525" s="29"/>
      <c r="AD525" s="29"/>
      <c r="AE525" s="29"/>
      <c r="AJ525"/>
      <c r="AK525"/>
      <c r="AL525"/>
      <c r="AM525"/>
      <c r="AN525"/>
      <c r="AO525"/>
      <c r="AP525"/>
      <c r="AQ525"/>
      <c r="AR525"/>
      <c r="AS525"/>
      <c r="AT525" s="4" t="str">
        <f t="shared" si="62"/>
        <v>留任奖励</v>
      </c>
      <c r="AU525" s="4" t="str">
        <f t="shared" si="57"/>
        <v>科技金融部</v>
      </c>
      <c r="AV525" s="4" t="str">
        <f t="shared" si="58"/>
        <v>人力费用</v>
      </c>
      <c r="AW525" s="4" t="str">
        <f>IFERROR(VLOOKUP(AV525,[1]字段!A:B,2,0),"")</f>
        <v>人力费用</v>
      </c>
      <c r="AX525" s="30" t="str">
        <f>IF(AW525="人力费用",IF(E525="","",VLOOKUP(E525,[1]字段!D:E,2,0)),AW525)</f>
        <v>留任奖励</v>
      </c>
      <c r="AY525" s="30" t="str">
        <f>IF(AT525="","",VLOOKUP(AT525,[1]字段!H:I,2,0))</f>
        <v>留任奖励</v>
      </c>
      <c r="AZ525" s="31">
        <f t="shared" si="59"/>
        <v>0</v>
      </c>
      <c r="BA525" s="31">
        <f t="shared" si="60"/>
        <v>0</v>
      </c>
      <c r="BB525" s="31">
        <f t="shared" si="61"/>
        <v>0</v>
      </c>
      <c r="BC525" s="31">
        <f t="shared" si="63"/>
        <v>0</v>
      </c>
    </row>
    <row r="526" spans="1:55" ht="28.5" customHeight="1">
      <c r="A526" s="32"/>
      <c r="B526" s="32"/>
      <c r="C526" s="32"/>
      <c r="D526" s="40"/>
      <c r="E526" s="39">
        <v>5501010604</v>
      </c>
      <c r="F526" s="3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  <c r="AA526" s="29"/>
      <c r="AB526" s="29"/>
      <c r="AC526" s="29"/>
      <c r="AD526" s="29"/>
      <c r="AE526" s="29"/>
      <c r="AJ526"/>
      <c r="AK526"/>
      <c r="AL526"/>
      <c r="AM526"/>
      <c r="AN526"/>
      <c r="AO526"/>
      <c r="AP526"/>
      <c r="AQ526"/>
      <c r="AR526"/>
      <c r="AS526"/>
      <c r="AT526" s="4" t="str">
        <f t="shared" si="62"/>
        <v>1.0倍人力</v>
      </c>
      <c r="AU526" s="4" t="str">
        <f t="shared" si="57"/>
        <v>科技金融部</v>
      </c>
      <c r="AV526" s="4" t="str">
        <f t="shared" si="58"/>
        <v>人力费用</v>
      </c>
      <c r="AW526" s="4" t="str">
        <f>IFERROR(VLOOKUP(AV526,[1]字段!A:B,2,0),"")</f>
        <v>人力费用</v>
      </c>
      <c r="AX526" s="30" t="str">
        <f>IF(AW526="人力费用",IF(E526="","",VLOOKUP(E526,[1]字段!D:E,2,0)),AW526)</f>
        <v>1.0倍人力</v>
      </c>
      <c r="AY526" s="30" t="str">
        <f>IF(AT526="","",VLOOKUP(AT526,[1]字段!H:I,2,0))</f>
        <v>1.0倍人力</v>
      </c>
      <c r="AZ526" s="31">
        <f t="shared" si="59"/>
        <v>0</v>
      </c>
      <c r="BA526" s="31">
        <f t="shared" si="60"/>
        <v>0</v>
      </c>
      <c r="BB526" s="31">
        <f t="shared" si="61"/>
        <v>0</v>
      </c>
      <c r="BC526" s="31">
        <f t="shared" si="63"/>
        <v>0</v>
      </c>
    </row>
    <row r="527" spans="1:55" ht="28.5" customHeight="1">
      <c r="A527" s="32"/>
      <c r="B527" s="32"/>
      <c r="C527" s="32"/>
      <c r="D527" s="40"/>
      <c r="E527" s="39" t="s">
        <v>43</v>
      </c>
      <c r="F527" s="39" t="s">
        <v>44</v>
      </c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  <c r="AA527" s="29"/>
      <c r="AB527" s="29"/>
      <c r="AC527" s="29"/>
      <c r="AD527" s="29"/>
      <c r="AE527" s="29"/>
      <c r="AJ527"/>
      <c r="AK527"/>
      <c r="AL527"/>
      <c r="AM527"/>
      <c r="AN527"/>
      <c r="AO527"/>
      <c r="AP527"/>
      <c r="AQ527"/>
      <c r="AR527"/>
      <c r="AS527"/>
      <c r="AT527" s="4" t="str">
        <f t="shared" si="62"/>
        <v>1.0倍人力团队建设费</v>
      </c>
      <c r="AU527" s="4" t="str">
        <f t="shared" si="57"/>
        <v>科技金融部</v>
      </c>
      <c r="AV527" s="4" t="str">
        <f t="shared" si="58"/>
        <v>人力费用</v>
      </c>
      <c r="AW527" s="4" t="str">
        <f>IFERROR(VLOOKUP(AV527,[1]字段!A:B,2,0),"")</f>
        <v>人力费用</v>
      </c>
      <c r="AX527" s="30" t="str">
        <f>IF(AW527="人力费用",IF(E527="","",VLOOKUP(E527,[1]字段!D:E,2,0)),AW527)</f>
        <v>1.0倍人力</v>
      </c>
      <c r="AY527" s="30" t="str">
        <f>IF(AT527="","",VLOOKUP(AT527,[1]字段!H:I,2,0))</f>
        <v>1.0倍人力</v>
      </c>
      <c r="AZ527" s="31">
        <f t="shared" si="59"/>
        <v>0</v>
      </c>
      <c r="BA527" s="31">
        <f t="shared" si="60"/>
        <v>0</v>
      </c>
      <c r="BB527" s="31">
        <f t="shared" si="61"/>
        <v>0</v>
      </c>
      <c r="BC527" s="31">
        <f t="shared" si="63"/>
        <v>0</v>
      </c>
    </row>
    <row r="528" spans="1:55" ht="28.5" customHeight="1">
      <c r="A528" s="32"/>
      <c r="B528" s="32"/>
      <c r="C528" s="32"/>
      <c r="D528" s="40"/>
      <c r="E528" s="39" t="s">
        <v>45</v>
      </c>
      <c r="F528" s="39" t="s">
        <v>46</v>
      </c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  <c r="AA528" s="29"/>
      <c r="AB528" s="29"/>
      <c r="AC528" s="29"/>
      <c r="AD528" s="29"/>
      <c r="AE528" s="29"/>
      <c r="AJ528"/>
      <c r="AK528"/>
      <c r="AL528"/>
      <c r="AM528"/>
      <c r="AN528"/>
      <c r="AO528"/>
      <c r="AP528"/>
      <c r="AQ528"/>
      <c r="AR528"/>
      <c r="AS528"/>
      <c r="AT528" s="4" t="str">
        <f t="shared" si="62"/>
        <v>1.0倍人力其他职工福利费</v>
      </c>
      <c r="AU528" s="4" t="str">
        <f t="shared" si="57"/>
        <v>科技金融部</v>
      </c>
      <c r="AV528" s="4" t="str">
        <f t="shared" si="58"/>
        <v>人力费用</v>
      </c>
      <c r="AW528" s="4" t="str">
        <f>IFERROR(VLOOKUP(AV528,[1]字段!A:B,2,0),"")</f>
        <v>人力费用</v>
      </c>
      <c r="AX528" s="30" t="str">
        <f>IF(AW528="人力费用",IF(E528="","",VLOOKUP(E528,[1]字段!D:E,2,0)),AW528)</f>
        <v>1.0倍人力</v>
      </c>
      <c r="AY528" s="30" t="str">
        <f>IF(AT528="","",VLOOKUP(AT528,[1]字段!H:I,2,0))</f>
        <v>1.0倍人力</v>
      </c>
      <c r="AZ528" s="31">
        <f t="shared" si="59"/>
        <v>0</v>
      </c>
      <c r="BA528" s="31">
        <f t="shared" si="60"/>
        <v>0</v>
      </c>
      <c r="BB528" s="31">
        <f t="shared" si="61"/>
        <v>0</v>
      </c>
      <c r="BC528" s="31">
        <f t="shared" si="63"/>
        <v>0</v>
      </c>
    </row>
    <row r="529" spans="1:55" ht="28.5" customHeight="1">
      <c r="A529" s="32"/>
      <c r="B529" s="32"/>
      <c r="C529" s="32"/>
      <c r="D529" s="40"/>
      <c r="E529" s="39" t="s">
        <v>47</v>
      </c>
      <c r="F529" s="39" t="s">
        <v>48</v>
      </c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  <c r="AA529" s="29"/>
      <c r="AB529" s="29"/>
      <c r="AC529" s="29"/>
      <c r="AD529" s="29"/>
      <c r="AE529" s="29"/>
      <c r="AJ529"/>
      <c r="AK529"/>
      <c r="AL529"/>
      <c r="AM529"/>
      <c r="AN529"/>
      <c r="AO529"/>
      <c r="AP529"/>
      <c r="AQ529"/>
      <c r="AR529"/>
      <c r="AS529"/>
      <c r="AT529" s="4" t="str">
        <f t="shared" si="62"/>
        <v>1.0倍人力工会经费</v>
      </c>
      <c r="AU529" s="4" t="str">
        <f t="shared" si="57"/>
        <v>科技金融部</v>
      </c>
      <c r="AV529" s="4" t="str">
        <f t="shared" si="58"/>
        <v>人力费用</v>
      </c>
      <c r="AW529" s="4" t="str">
        <f>IFERROR(VLOOKUP(AV529,[1]字段!A:B,2,0),"")</f>
        <v>人力费用</v>
      </c>
      <c r="AX529" s="30" t="str">
        <f>IF(AW529="人力费用",IF(E529="","",VLOOKUP(E529,[1]字段!D:E,2,0)),AW529)</f>
        <v>1.0倍人力</v>
      </c>
      <c r="AY529" s="30" t="str">
        <f>IF(AT529="","",VLOOKUP(AT529,[1]字段!H:I,2,0))</f>
        <v>1.0倍人力</v>
      </c>
      <c r="AZ529" s="31">
        <f t="shared" si="59"/>
        <v>0</v>
      </c>
      <c r="BA529" s="31">
        <f t="shared" si="60"/>
        <v>0</v>
      </c>
      <c r="BB529" s="31">
        <f t="shared" si="61"/>
        <v>0</v>
      </c>
      <c r="BC529" s="31">
        <f t="shared" si="63"/>
        <v>0</v>
      </c>
    </row>
    <row r="530" spans="1:55" ht="28.5" customHeight="1">
      <c r="A530" s="32"/>
      <c r="B530" s="32"/>
      <c r="C530" s="32"/>
      <c r="D530" s="40"/>
      <c r="E530" s="39" t="s">
        <v>49</v>
      </c>
      <c r="F530" s="39" t="s">
        <v>50</v>
      </c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  <c r="AA530" s="29"/>
      <c r="AB530" s="29"/>
      <c r="AC530" s="29"/>
      <c r="AD530" s="29"/>
      <c r="AE530" s="29"/>
      <c r="AJ530"/>
      <c r="AK530"/>
      <c r="AL530"/>
      <c r="AM530"/>
      <c r="AN530"/>
      <c r="AO530"/>
      <c r="AP530"/>
      <c r="AQ530"/>
      <c r="AR530"/>
      <c r="AS530"/>
      <c r="AT530" s="4" t="str">
        <f t="shared" si="62"/>
        <v>1.0倍人力基本养老保险</v>
      </c>
      <c r="AU530" s="4" t="str">
        <f t="shared" si="57"/>
        <v>科技金融部</v>
      </c>
      <c r="AV530" s="4" t="str">
        <f t="shared" si="58"/>
        <v>人力费用</v>
      </c>
      <c r="AW530" s="4" t="str">
        <f>IFERROR(VLOOKUP(AV530,[1]字段!A:B,2,0),"")</f>
        <v>人力费用</v>
      </c>
      <c r="AX530" s="30" t="str">
        <f>IF(AW530="人力费用",IF(E530="","",VLOOKUP(E530,[1]字段!D:E,2,0)),AW530)</f>
        <v>1.0倍人力</v>
      </c>
      <c r="AY530" s="30" t="str">
        <f>IF(AT530="","",VLOOKUP(AT530,[1]字段!H:I,2,0))</f>
        <v>1.0倍人力</v>
      </c>
      <c r="AZ530" s="31">
        <f t="shared" si="59"/>
        <v>0</v>
      </c>
      <c r="BA530" s="31">
        <f t="shared" si="60"/>
        <v>0</v>
      </c>
      <c r="BB530" s="31">
        <f t="shared" si="61"/>
        <v>0</v>
      </c>
      <c r="BC530" s="31">
        <f t="shared" si="63"/>
        <v>0</v>
      </c>
    </row>
    <row r="531" spans="1:55" ht="28.5" customHeight="1">
      <c r="A531" s="32"/>
      <c r="B531" s="32"/>
      <c r="C531" s="32"/>
      <c r="D531" s="40"/>
      <c r="E531" s="39" t="s">
        <v>51</v>
      </c>
      <c r="F531" s="39" t="s">
        <v>52</v>
      </c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  <c r="AA531" s="29"/>
      <c r="AB531" s="29"/>
      <c r="AC531" s="29"/>
      <c r="AD531" s="29"/>
      <c r="AE531" s="29"/>
      <c r="AJ531"/>
      <c r="AK531"/>
      <c r="AL531"/>
      <c r="AM531"/>
      <c r="AN531"/>
      <c r="AO531"/>
      <c r="AP531"/>
      <c r="AQ531"/>
      <c r="AR531"/>
      <c r="AS531"/>
      <c r="AT531" s="4" t="str">
        <f t="shared" si="62"/>
        <v>1.0倍人力基本医疗保险</v>
      </c>
      <c r="AU531" s="4" t="str">
        <f t="shared" si="57"/>
        <v>科技金融部</v>
      </c>
      <c r="AV531" s="4" t="str">
        <f t="shared" si="58"/>
        <v>人力费用</v>
      </c>
      <c r="AW531" s="4" t="str">
        <f>IFERROR(VLOOKUP(AV531,[1]字段!A:B,2,0),"")</f>
        <v>人力费用</v>
      </c>
      <c r="AX531" s="30" t="str">
        <f>IF(AW531="人力费用",IF(E531="","",VLOOKUP(E531,[1]字段!D:E,2,0)),AW531)</f>
        <v>1.0倍人力</v>
      </c>
      <c r="AY531" s="30" t="str">
        <f>IF(AT531="","",VLOOKUP(AT531,[1]字段!H:I,2,0))</f>
        <v>1.0倍人力</v>
      </c>
      <c r="AZ531" s="31">
        <f t="shared" si="59"/>
        <v>0</v>
      </c>
      <c r="BA531" s="31">
        <f t="shared" si="60"/>
        <v>0</v>
      </c>
      <c r="BB531" s="31">
        <f t="shared" si="61"/>
        <v>0</v>
      </c>
      <c r="BC531" s="31">
        <f t="shared" si="63"/>
        <v>0</v>
      </c>
    </row>
    <row r="532" spans="1:55" ht="28.5" customHeight="1">
      <c r="A532" s="32"/>
      <c r="B532" s="32"/>
      <c r="C532" s="32"/>
      <c r="D532" s="40"/>
      <c r="E532" s="39" t="s">
        <v>53</v>
      </c>
      <c r="F532" s="39" t="s">
        <v>54</v>
      </c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  <c r="AA532" s="29"/>
      <c r="AB532" s="29"/>
      <c r="AC532" s="29"/>
      <c r="AD532" s="29"/>
      <c r="AE532" s="29"/>
      <c r="AJ532"/>
      <c r="AK532"/>
      <c r="AL532"/>
      <c r="AM532"/>
      <c r="AN532"/>
      <c r="AO532"/>
      <c r="AP532"/>
      <c r="AQ532"/>
      <c r="AR532"/>
      <c r="AS532"/>
      <c r="AT532" s="4" t="str">
        <f t="shared" si="62"/>
        <v>1.0倍人力工伤保险</v>
      </c>
      <c r="AU532" s="4" t="str">
        <f t="shared" si="57"/>
        <v>科技金融部</v>
      </c>
      <c r="AV532" s="4" t="str">
        <f t="shared" si="58"/>
        <v>人力费用</v>
      </c>
      <c r="AW532" s="4" t="str">
        <f>IFERROR(VLOOKUP(AV532,[1]字段!A:B,2,0),"")</f>
        <v>人力费用</v>
      </c>
      <c r="AX532" s="30" t="str">
        <f>IF(AW532="人力费用",IF(E532="","",VLOOKUP(E532,[1]字段!D:E,2,0)),AW532)</f>
        <v>1.0倍人力</v>
      </c>
      <c r="AY532" s="30" t="str">
        <f>IF(AT532="","",VLOOKUP(AT532,[1]字段!H:I,2,0))</f>
        <v>1.0倍人力</v>
      </c>
      <c r="AZ532" s="31">
        <f t="shared" si="59"/>
        <v>0</v>
      </c>
      <c r="BA532" s="31">
        <f t="shared" si="60"/>
        <v>0</v>
      </c>
      <c r="BB532" s="31">
        <f t="shared" si="61"/>
        <v>0</v>
      </c>
      <c r="BC532" s="31">
        <f t="shared" si="63"/>
        <v>0</v>
      </c>
    </row>
    <row r="533" spans="1:55" ht="28.5" customHeight="1">
      <c r="A533" s="32"/>
      <c r="B533" s="32"/>
      <c r="C533" s="32"/>
      <c r="D533" s="40"/>
      <c r="E533" s="39" t="s">
        <v>55</v>
      </c>
      <c r="F533" s="39" t="s">
        <v>56</v>
      </c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  <c r="AA533" s="29"/>
      <c r="AB533" s="29"/>
      <c r="AC533" s="29"/>
      <c r="AD533" s="29"/>
      <c r="AE533" s="29"/>
      <c r="AJ533"/>
      <c r="AK533"/>
      <c r="AL533"/>
      <c r="AM533"/>
      <c r="AN533"/>
      <c r="AO533"/>
      <c r="AP533"/>
      <c r="AQ533"/>
      <c r="AR533"/>
      <c r="AS533"/>
      <c r="AT533" s="4" t="str">
        <f t="shared" si="62"/>
        <v>1.0倍人力生育保险</v>
      </c>
      <c r="AU533" s="4" t="str">
        <f t="shared" si="57"/>
        <v>科技金融部</v>
      </c>
      <c r="AV533" s="4" t="str">
        <f t="shared" si="58"/>
        <v>人力费用</v>
      </c>
      <c r="AW533" s="4" t="str">
        <f>IFERROR(VLOOKUP(AV533,[1]字段!A:B,2,0),"")</f>
        <v>人力费用</v>
      </c>
      <c r="AX533" s="30" t="str">
        <f>IF(AW533="人力费用",IF(E533="","",VLOOKUP(E533,[1]字段!D:E,2,0)),AW533)</f>
        <v>1.0倍人力</v>
      </c>
      <c r="AY533" s="30" t="str">
        <f>IF(AT533="","",VLOOKUP(AT533,[1]字段!H:I,2,0))</f>
        <v>1.0倍人力</v>
      </c>
      <c r="AZ533" s="31">
        <f t="shared" si="59"/>
        <v>0</v>
      </c>
      <c r="BA533" s="31">
        <f t="shared" si="60"/>
        <v>0</v>
      </c>
      <c r="BB533" s="31">
        <f t="shared" si="61"/>
        <v>0</v>
      </c>
      <c r="BC533" s="31">
        <f t="shared" si="63"/>
        <v>0</v>
      </c>
    </row>
    <row r="534" spans="1:55" ht="28.5" customHeight="1">
      <c r="A534" s="32"/>
      <c r="B534" s="32"/>
      <c r="C534" s="32"/>
      <c r="D534" s="40"/>
      <c r="E534" s="39" t="s">
        <v>57</v>
      </c>
      <c r="F534" s="39" t="s">
        <v>58</v>
      </c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  <c r="AA534" s="29"/>
      <c r="AB534" s="29"/>
      <c r="AC534" s="29"/>
      <c r="AD534" s="29"/>
      <c r="AE534" s="29"/>
      <c r="AJ534"/>
      <c r="AK534"/>
      <c r="AL534"/>
      <c r="AM534"/>
      <c r="AN534"/>
      <c r="AO534"/>
      <c r="AP534"/>
      <c r="AQ534"/>
      <c r="AR534"/>
      <c r="AS534"/>
      <c r="AT534" s="4" t="str">
        <f t="shared" si="62"/>
        <v>1.0倍人力失业保险</v>
      </c>
      <c r="AU534" s="4" t="str">
        <f t="shared" si="57"/>
        <v>科技金融部</v>
      </c>
      <c r="AV534" s="4" t="str">
        <f t="shared" si="58"/>
        <v>人力费用</v>
      </c>
      <c r="AW534" s="4" t="str">
        <f>IFERROR(VLOOKUP(AV534,[1]字段!A:B,2,0),"")</f>
        <v>人力费用</v>
      </c>
      <c r="AX534" s="30" t="str">
        <f>IF(AW534="人力费用",IF(E534="","",VLOOKUP(E534,[1]字段!D:E,2,0)),AW534)</f>
        <v>1.0倍人力</v>
      </c>
      <c r="AY534" s="30" t="str">
        <f>IF(AT534="","",VLOOKUP(AT534,[1]字段!H:I,2,0))</f>
        <v>1.0倍人力</v>
      </c>
      <c r="AZ534" s="31">
        <f t="shared" si="59"/>
        <v>0</v>
      </c>
      <c r="BA534" s="31">
        <f t="shared" si="60"/>
        <v>0</v>
      </c>
      <c r="BB534" s="31">
        <f t="shared" si="61"/>
        <v>0</v>
      </c>
      <c r="BC534" s="31">
        <f t="shared" si="63"/>
        <v>0</v>
      </c>
    </row>
    <row r="535" spans="1:55" ht="28.5" customHeight="1">
      <c r="A535" s="32"/>
      <c r="B535" s="32"/>
      <c r="C535" s="32"/>
      <c r="D535" s="40"/>
      <c r="E535" s="39" t="s">
        <v>59</v>
      </c>
      <c r="F535" s="39" t="s">
        <v>60</v>
      </c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  <c r="AA535" s="29"/>
      <c r="AB535" s="29"/>
      <c r="AC535" s="29"/>
      <c r="AD535" s="29"/>
      <c r="AE535" s="29"/>
      <c r="AJ535"/>
      <c r="AK535"/>
      <c r="AL535"/>
      <c r="AM535"/>
      <c r="AN535"/>
      <c r="AO535"/>
      <c r="AP535"/>
      <c r="AQ535"/>
      <c r="AR535"/>
      <c r="AS535"/>
      <c r="AT535" s="4" t="str">
        <f t="shared" si="62"/>
        <v>1.0倍人力住房公积金</v>
      </c>
      <c r="AU535" s="4" t="str">
        <f t="shared" si="57"/>
        <v>科技金融部</v>
      </c>
      <c r="AV535" s="4" t="str">
        <f t="shared" si="58"/>
        <v>人力费用</v>
      </c>
      <c r="AW535" s="4" t="str">
        <f>IFERROR(VLOOKUP(AV535,[1]字段!A:B,2,0),"")</f>
        <v>人力费用</v>
      </c>
      <c r="AX535" s="30" t="str">
        <f>IF(AW535="人力费用",IF(E535="","",VLOOKUP(E535,[1]字段!D:E,2,0)),AW535)</f>
        <v>1.0倍人力</v>
      </c>
      <c r="AY535" s="30" t="str">
        <f>IF(AT535="","",VLOOKUP(AT535,[1]字段!H:I,2,0))</f>
        <v>1.0倍人力</v>
      </c>
      <c r="AZ535" s="31">
        <f t="shared" si="59"/>
        <v>0</v>
      </c>
      <c r="BA535" s="31">
        <f t="shared" si="60"/>
        <v>0</v>
      </c>
      <c r="BB535" s="31">
        <f t="shared" si="61"/>
        <v>0</v>
      </c>
      <c r="BC535" s="31">
        <f t="shared" si="63"/>
        <v>0</v>
      </c>
    </row>
    <row r="536" spans="1:55" ht="28.5" customHeight="1">
      <c r="A536" s="32"/>
      <c r="B536" s="32"/>
      <c r="C536" s="41"/>
      <c r="D536" s="42"/>
      <c r="E536" s="39" t="s">
        <v>100</v>
      </c>
      <c r="F536" s="39" t="s">
        <v>101</v>
      </c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  <c r="AA536" s="29"/>
      <c r="AB536" s="29"/>
      <c r="AC536" s="29"/>
      <c r="AD536" s="29"/>
      <c r="AE536" s="29"/>
      <c r="AJ536"/>
      <c r="AK536"/>
      <c r="AL536"/>
      <c r="AM536"/>
      <c r="AN536"/>
      <c r="AO536"/>
      <c r="AP536"/>
      <c r="AQ536"/>
      <c r="AR536"/>
      <c r="AS536"/>
      <c r="AT536" s="4" t="str">
        <f t="shared" si="62"/>
        <v>劳务支出劳务支出</v>
      </c>
      <c r="AU536" s="4" t="str">
        <f t="shared" si="57"/>
        <v>科技金融部</v>
      </c>
      <c r="AV536" s="4" t="str">
        <f t="shared" si="58"/>
        <v>人力费用</v>
      </c>
      <c r="AW536" s="4" t="str">
        <f>IFERROR(VLOOKUP(AV536,[1]字段!A:B,2,0),"")</f>
        <v>人力费用</v>
      </c>
      <c r="AX536" s="30" t="str">
        <f>IF(AW536="人力费用",IF(E536="","",VLOOKUP(E536,[1]字段!D:E,2,0)),AW536)</f>
        <v>劳务支出</v>
      </c>
      <c r="AY536" s="30" t="str">
        <f>IF(AT536="","",VLOOKUP(AT536,[1]字段!H:I,2,0))</f>
        <v>劳务支出</v>
      </c>
      <c r="AZ536" s="31">
        <f t="shared" si="59"/>
        <v>0</v>
      </c>
      <c r="BA536" s="31">
        <f t="shared" si="60"/>
        <v>0</v>
      </c>
      <c r="BB536" s="31">
        <f t="shared" si="61"/>
        <v>0</v>
      </c>
      <c r="BC536" s="31">
        <f t="shared" si="63"/>
        <v>0</v>
      </c>
    </row>
    <row r="537" spans="1:55" ht="28.5" customHeight="1">
      <c r="C537" s="33" t="s">
        <v>107</v>
      </c>
      <c r="D537" s="34" t="s">
        <v>108</v>
      </c>
      <c r="E537" s="35"/>
      <c r="F537" s="36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  <c r="AA537" s="29"/>
      <c r="AB537" s="29"/>
      <c r="AC537" s="29"/>
      <c r="AD537" s="29"/>
      <c r="AE537" s="29"/>
      <c r="AJ537"/>
      <c r="AK537"/>
      <c r="AL537"/>
      <c r="AM537"/>
      <c r="AN537"/>
      <c r="AO537"/>
      <c r="AP537"/>
      <c r="AQ537"/>
      <c r="AR537"/>
      <c r="AS537"/>
      <c r="AT537" s="4" t="str">
        <f t="shared" si="62"/>
        <v>营销费用</v>
      </c>
      <c r="AU537" s="4" t="str">
        <f t="shared" si="57"/>
        <v>科技金融部</v>
      </c>
      <c r="AV537" s="4" t="str">
        <f t="shared" si="58"/>
        <v>营销费用</v>
      </c>
      <c r="AW537" s="4" t="str">
        <f>IFERROR(VLOOKUP(AV537,[1]字段!A:B,2,0),"")</f>
        <v>营销费用</v>
      </c>
      <c r="AX537" s="30" t="str">
        <f>IF(AW537="人力费用",IF(E537="","",VLOOKUP(E537,[1]字段!D:E,2,0)),AW537)</f>
        <v>营销费用</v>
      </c>
      <c r="AY537" s="30">
        <f>IF(AT537="","",VLOOKUP(AT537,[1]字段!H:I,2,0))</f>
        <v>0</v>
      </c>
      <c r="AZ537" s="31">
        <f t="shared" si="59"/>
        <v>0</v>
      </c>
      <c r="BA537" s="31">
        <f t="shared" si="60"/>
        <v>0</v>
      </c>
      <c r="BB537" s="31">
        <f t="shared" si="61"/>
        <v>0</v>
      </c>
      <c r="BC537" s="31">
        <f t="shared" si="63"/>
        <v>0</v>
      </c>
    </row>
    <row r="538" spans="1:55" ht="28.5" customHeight="1">
      <c r="A538" s="32"/>
      <c r="B538" s="32"/>
      <c r="C538" s="43"/>
      <c r="D538" s="43"/>
      <c r="E538" s="39" t="s">
        <v>172</v>
      </c>
      <c r="F538" s="39" t="s">
        <v>173</v>
      </c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  <c r="AA538" s="29"/>
      <c r="AB538" s="29"/>
      <c r="AC538" s="29"/>
      <c r="AD538" s="29"/>
      <c r="AE538" s="29"/>
      <c r="AJ538"/>
      <c r="AK538"/>
      <c r="AL538"/>
      <c r="AM538"/>
      <c r="AN538"/>
      <c r="AO538"/>
      <c r="AP538"/>
      <c r="AQ538"/>
      <c r="AR538"/>
      <c r="AS538"/>
      <c r="AT538" s="4" t="str">
        <f t="shared" si="62"/>
        <v>营销费用客服费</v>
      </c>
      <c r="AU538" s="4" t="str">
        <f t="shared" si="57"/>
        <v>科技金融部</v>
      </c>
      <c r="AV538" s="4" t="str">
        <f t="shared" si="58"/>
        <v>营销费用</v>
      </c>
      <c r="AW538" s="4" t="str">
        <f>IFERROR(VLOOKUP(AV538,[1]字段!A:B,2,0),"")</f>
        <v>营销费用</v>
      </c>
      <c r="AX538" s="30" t="str">
        <f>IF(AW538="人力费用",IF(E538="","",VLOOKUP(E538,[1]字段!D:E,2,0)),AW538)</f>
        <v>营销费用</v>
      </c>
      <c r="AY538" s="30" t="str">
        <f>IF(AT538="","",VLOOKUP(AT538,[1]字段!H:I,2,0))</f>
        <v>营销费用</v>
      </c>
      <c r="AZ538" s="31">
        <f t="shared" si="59"/>
        <v>0</v>
      </c>
      <c r="BA538" s="31">
        <f t="shared" si="60"/>
        <v>0</v>
      </c>
      <c r="BB538" s="31">
        <f t="shared" si="61"/>
        <v>0</v>
      </c>
      <c r="BC538" s="31">
        <f t="shared" si="63"/>
        <v>0</v>
      </c>
    </row>
    <row r="539" spans="1:55" ht="28.5" customHeight="1">
      <c r="C539" s="33" t="s">
        <v>162</v>
      </c>
      <c r="D539" s="34" t="s">
        <v>163</v>
      </c>
      <c r="E539" s="35"/>
      <c r="F539" s="36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  <c r="AA539" s="29"/>
      <c r="AB539" s="29"/>
      <c r="AC539" s="29"/>
      <c r="AD539" s="29"/>
      <c r="AE539" s="29"/>
      <c r="AJ539"/>
      <c r="AK539"/>
      <c r="AL539"/>
      <c r="AM539"/>
      <c r="AN539"/>
      <c r="AO539"/>
      <c r="AP539"/>
      <c r="AQ539"/>
      <c r="AR539"/>
      <c r="AS539"/>
      <c r="AT539" s="4" t="str">
        <f t="shared" si="62"/>
        <v>运营费用</v>
      </c>
      <c r="AU539" s="4" t="str">
        <f t="shared" si="57"/>
        <v>科技金融部</v>
      </c>
      <c r="AV539" s="4" t="str">
        <f t="shared" si="58"/>
        <v>运营费用</v>
      </c>
      <c r="AW539" s="4" t="str">
        <f>IFERROR(VLOOKUP(AV539,[1]字段!A:B,2,0),"")</f>
        <v>运营费用</v>
      </c>
      <c r="AX539" s="30" t="str">
        <f>IF(AW539="人力费用",IF(E539="","",VLOOKUP(E539,[1]字段!D:E,2,0)),AW539)</f>
        <v>运营费用</v>
      </c>
      <c r="AY539" s="30">
        <f>IF(AT539="","",VLOOKUP(AT539,[1]字段!H:I,2,0))</f>
        <v>0</v>
      </c>
      <c r="AZ539" s="31">
        <f t="shared" si="59"/>
        <v>0</v>
      </c>
      <c r="BA539" s="31">
        <f t="shared" si="60"/>
        <v>0</v>
      </c>
      <c r="BB539" s="31">
        <f t="shared" si="61"/>
        <v>0</v>
      </c>
      <c r="BC539" s="31">
        <f t="shared" si="63"/>
        <v>0</v>
      </c>
    </row>
    <row r="540" spans="1:55" ht="28.5" customHeight="1">
      <c r="A540" s="32"/>
      <c r="B540" s="32"/>
      <c r="C540" s="37"/>
      <c r="D540" s="38"/>
      <c r="E540" s="39" t="s">
        <v>172</v>
      </c>
      <c r="F540" s="39" t="s">
        <v>173</v>
      </c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  <c r="AA540" s="29"/>
      <c r="AB540" s="29"/>
      <c r="AC540" s="29"/>
      <c r="AD540" s="29"/>
      <c r="AE540" s="29"/>
      <c r="AJ540"/>
      <c r="AK540"/>
      <c r="AL540"/>
      <c r="AM540"/>
      <c r="AN540"/>
      <c r="AO540"/>
      <c r="AP540"/>
      <c r="AQ540"/>
      <c r="AR540"/>
      <c r="AS540"/>
      <c r="AT540" s="4" t="str">
        <f t="shared" si="62"/>
        <v>运营费用客服费</v>
      </c>
      <c r="AU540" s="4" t="str">
        <f t="shared" si="57"/>
        <v>科技金融部</v>
      </c>
      <c r="AV540" s="4" t="str">
        <f t="shared" si="58"/>
        <v>运营费用</v>
      </c>
      <c r="AW540" s="4" t="str">
        <f>IFERROR(VLOOKUP(AV540,[1]字段!A:B,2,0),"")</f>
        <v>运营费用</v>
      </c>
      <c r="AX540" s="30" t="str">
        <f>IF(AW540="人力费用",IF(E540="","",VLOOKUP(E540,[1]字段!D:E,2,0)),AW540)</f>
        <v>运营费用</v>
      </c>
      <c r="AY540" s="30" t="str">
        <f>IF(AT540="","",VLOOKUP(AT540,[1]字段!H:I,2,0))</f>
        <v>运营费用-客服费</v>
      </c>
      <c r="AZ540" s="31">
        <f t="shared" si="59"/>
        <v>0</v>
      </c>
      <c r="BA540" s="31">
        <f t="shared" si="60"/>
        <v>0</v>
      </c>
      <c r="BB540" s="31">
        <f t="shared" si="61"/>
        <v>0</v>
      </c>
      <c r="BC540" s="31">
        <f t="shared" si="63"/>
        <v>0</v>
      </c>
    </row>
    <row r="541" spans="1:55" ht="28.5" customHeight="1">
      <c r="A541" s="32"/>
      <c r="B541" s="32"/>
      <c r="C541" s="41"/>
      <c r="D541" s="42"/>
      <c r="E541" s="39" t="s">
        <v>83</v>
      </c>
      <c r="F541" s="39" t="s">
        <v>84</v>
      </c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  <c r="AA541" s="29"/>
      <c r="AB541" s="29"/>
      <c r="AC541" s="29"/>
      <c r="AD541" s="29"/>
      <c r="AE541" s="29"/>
      <c r="AJ541"/>
      <c r="AK541"/>
      <c r="AL541"/>
      <c r="AM541"/>
      <c r="AN541"/>
      <c r="AO541"/>
      <c r="AP541"/>
      <c r="AQ541"/>
      <c r="AR541"/>
      <c r="AS541"/>
      <c r="AT541" s="4" t="str">
        <f t="shared" si="62"/>
        <v>运营费用其他外包服务费</v>
      </c>
      <c r="AU541" s="4" t="str">
        <f t="shared" si="57"/>
        <v>科技金融部</v>
      </c>
      <c r="AV541" s="4" t="str">
        <f t="shared" si="58"/>
        <v>运营费用</v>
      </c>
      <c r="AW541" s="4" t="str">
        <f>IFERROR(VLOOKUP(AV541,[1]字段!A:B,2,0),"")</f>
        <v>运营费用</v>
      </c>
      <c r="AX541" s="30" t="str">
        <f>IF(AW541="人力费用",IF(E541="","",VLOOKUP(E541,[1]字段!D:E,2,0)),AW541)</f>
        <v>运营费用</v>
      </c>
      <c r="AY541" s="30" t="str">
        <f>IF(AT541="","",VLOOKUP(AT541,[1]字段!H:I,2,0))</f>
        <v>运营费用-外包服务费</v>
      </c>
      <c r="AZ541" s="31">
        <f t="shared" si="59"/>
        <v>0</v>
      </c>
      <c r="BA541" s="31">
        <f t="shared" si="60"/>
        <v>0</v>
      </c>
      <c r="BB541" s="31">
        <f t="shared" si="61"/>
        <v>0</v>
      </c>
      <c r="BC541" s="31">
        <f t="shared" si="63"/>
        <v>0</v>
      </c>
    </row>
    <row r="542" spans="1:55" ht="28.5" customHeight="1">
      <c r="C542" s="33" t="s">
        <v>65</v>
      </c>
      <c r="D542" s="34" t="s">
        <v>66</v>
      </c>
      <c r="E542" s="35"/>
      <c r="F542" s="36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  <c r="AA542" s="29"/>
      <c r="AB542" s="29"/>
      <c r="AC542" s="29"/>
      <c r="AD542" s="29"/>
      <c r="AE542" s="29"/>
      <c r="AJ542"/>
      <c r="AK542"/>
      <c r="AL542"/>
      <c r="AM542"/>
      <c r="AN542"/>
      <c r="AO542"/>
      <c r="AP542"/>
      <c r="AQ542"/>
      <c r="AR542"/>
      <c r="AS542"/>
      <c r="AT542" s="4" t="str">
        <f t="shared" si="62"/>
        <v>IT费用</v>
      </c>
      <c r="AU542" s="4" t="str">
        <f t="shared" si="57"/>
        <v>科技金融部</v>
      </c>
      <c r="AV542" s="4" t="str">
        <f t="shared" si="58"/>
        <v>IT科技费用</v>
      </c>
      <c r="AW542" s="4" t="str">
        <f>IFERROR(VLOOKUP(AV542,[1]字段!A:B,2,0),"")</f>
        <v>IT费用</v>
      </c>
      <c r="AX542" s="30" t="str">
        <f>IF(AW542="人力费用",IF(E542="","",VLOOKUP(E542,[1]字段!D:E,2,0)),AW542)</f>
        <v>IT费用</v>
      </c>
      <c r="AY542" s="30">
        <f>IF(AT542="","",VLOOKUP(AT542,[1]字段!H:I,2,0))</f>
        <v>0</v>
      </c>
      <c r="AZ542" s="31">
        <f t="shared" si="59"/>
        <v>0</v>
      </c>
      <c r="BA542" s="31">
        <f t="shared" si="60"/>
        <v>0</v>
      </c>
      <c r="BB542" s="31">
        <f t="shared" si="61"/>
        <v>0</v>
      </c>
      <c r="BC542" s="31">
        <f t="shared" si="63"/>
        <v>0</v>
      </c>
    </row>
    <row r="543" spans="1:55" ht="28.5" customHeight="1">
      <c r="A543" s="32"/>
      <c r="B543" s="32"/>
      <c r="C543" s="43"/>
      <c r="D543" s="43"/>
      <c r="E543" s="39" t="s">
        <v>71</v>
      </c>
      <c r="F543" s="39" t="s">
        <v>72</v>
      </c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  <c r="AA543" s="29"/>
      <c r="AB543" s="29"/>
      <c r="AC543" s="29"/>
      <c r="AD543" s="29"/>
      <c r="AE543" s="29"/>
      <c r="AJ543"/>
      <c r="AK543"/>
      <c r="AL543"/>
      <c r="AM543"/>
      <c r="AN543"/>
      <c r="AO543"/>
      <c r="AP543"/>
      <c r="AQ543"/>
      <c r="AR543"/>
      <c r="AS543"/>
      <c r="AT543" s="4" t="str">
        <f t="shared" si="62"/>
        <v>IT费用办公IT设备折旧费</v>
      </c>
      <c r="AU543" s="4" t="str">
        <f t="shared" si="57"/>
        <v>科技金融部</v>
      </c>
      <c r="AV543" s="4" t="str">
        <f t="shared" si="58"/>
        <v>IT科技费用</v>
      </c>
      <c r="AW543" s="4" t="str">
        <f>IFERROR(VLOOKUP(AV543,[1]字段!A:B,2,0),"")</f>
        <v>IT费用</v>
      </c>
      <c r="AX543" s="30" t="str">
        <f>IF(AW543="人力费用",IF(E543="","",VLOOKUP(E543,[1]字段!D:E,2,0)),AW543)</f>
        <v>IT费用</v>
      </c>
      <c r="AY543" s="30" t="str">
        <f>IF(AT543="","",VLOOKUP(AT543,[1]字段!H:I,2,0))</f>
        <v>IT费用</v>
      </c>
      <c r="AZ543" s="31">
        <f t="shared" si="59"/>
        <v>0</v>
      </c>
      <c r="BA543" s="31">
        <f t="shared" si="60"/>
        <v>0</v>
      </c>
      <c r="BB543" s="31">
        <f t="shared" si="61"/>
        <v>0</v>
      </c>
      <c r="BC543" s="31">
        <f t="shared" si="63"/>
        <v>0</v>
      </c>
    </row>
    <row r="544" spans="1:55" ht="28.5" customHeight="1">
      <c r="C544" s="33" t="s">
        <v>93</v>
      </c>
      <c r="D544" s="34" t="s">
        <v>94</v>
      </c>
      <c r="E544" s="35"/>
      <c r="F544" s="36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  <c r="AA544" s="29"/>
      <c r="AB544" s="29"/>
      <c r="AC544" s="29"/>
      <c r="AD544" s="29"/>
      <c r="AE544" s="29"/>
      <c r="AJ544"/>
      <c r="AK544"/>
      <c r="AL544"/>
      <c r="AM544"/>
      <c r="AN544"/>
      <c r="AO544"/>
      <c r="AP544"/>
      <c r="AQ544"/>
      <c r="AR544"/>
      <c r="AS544"/>
      <c r="AT544" s="4" t="str">
        <f t="shared" si="62"/>
        <v>日常费用</v>
      </c>
      <c r="AU544" s="4" t="str">
        <f t="shared" si="57"/>
        <v>科技金融部</v>
      </c>
      <c r="AV544" s="4" t="str">
        <f t="shared" si="58"/>
        <v>日常费用</v>
      </c>
      <c r="AW544" s="4" t="str">
        <f>IFERROR(VLOOKUP(AV544,[1]字段!A:B,2,0),"")</f>
        <v>日常费用</v>
      </c>
      <c r="AX544" s="30" t="str">
        <f>IF(AW544="人力费用",IF(E544="","",VLOOKUP(E544,[1]字段!D:E,2,0)),AW544)</f>
        <v>日常费用</v>
      </c>
      <c r="AY544" s="30">
        <f>IF(AT544="","",VLOOKUP(AT544,[1]字段!H:I,2,0))</f>
        <v>0</v>
      </c>
      <c r="AZ544" s="31">
        <f t="shared" si="59"/>
        <v>0</v>
      </c>
      <c r="BA544" s="31">
        <f t="shared" si="60"/>
        <v>0</v>
      </c>
      <c r="BB544" s="31">
        <f t="shared" si="61"/>
        <v>0</v>
      </c>
      <c r="BC544" s="31">
        <f t="shared" si="63"/>
        <v>0</v>
      </c>
    </row>
    <row r="545" spans="1:55" ht="28.5" customHeight="1">
      <c r="A545" s="32"/>
      <c r="B545" s="32"/>
      <c r="C545" s="37"/>
      <c r="D545" s="38"/>
      <c r="E545" s="39" t="s">
        <v>91</v>
      </c>
      <c r="F545" s="39" t="s">
        <v>92</v>
      </c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  <c r="AA545" s="29"/>
      <c r="AB545" s="29"/>
      <c r="AC545" s="29"/>
      <c r="AD545" s="29"/>
      <c r="AE545" s="29"/>
      <c r="AJ545"/>
      <c r="AK545"/>
      <c r="AL545"/>
      <c r="AM545"/>
      <c r="AN545"/>
      <c r="AO545"/>
      <c r="AP545"/>
      <c r="AQ545"/>
      <c r="AR545"/>
      <c r="AS545"/>
      <c r="AT545" s="4" t="str">
        <f t="shared" si="62"/>
        <v>日常费用办公费用</v>
      </c>
      <c r="AU545" s="4" t="str">
        <f t="shared" si="57"/>
        <v>科技金融部</v>
      </c>
      <c r="AV545" s="4" t="str">
        <f t="shared" si="58"/>
        <v>日常费用</v>
      </c>
      <c r="AW545" s="4" t="str">
        <f>IFERROR(VLOOKUP(AV545,[1]字段!A:B,2,0),"")</f>
        <v>日常费用</v>
      </c>
      <c r="AX545" s="30" t="str">
        <f>IF(AW545="人力费用",IF(E545="","",VLOOKUP(E545,[1]字段!D:E,2,0)),AW545)</f>
        <v>日常费用</v>
      </c>
      <c r="AY545" s="30" t="str">
        <f>IF(AT545="","",VLOOKUP(AT545,[1]字段!H:I,2,0))</f>
        <v>日常费用-其他</v>
      </c>
      <c r="AZ545" s="31">
        <f t="shared" si="59"/>
        <v>0</v>
      </c>
      <c r="BA545" s="31">
        <f t="shared" si="60"/>
        <v>0</v>
      </c>
      <c r="BB545" s="31">
        <f t="shared" si="61"/>
        <v>0</v>
      </c>
      <c r="BC545" s="31">
        <f t="shared" si="63"/>
        <v>0</v>
      </c>
    </row>
    <row r="546" spans="1:55" ht="28.5" customHeight="1">
      <c r="A546" s="32"/>
      <c r="B546" s="32"/>
      <c r="C546" s="32"/>
      <c r="D546" s="40"/>
      <c r="E546" s="39" t="s">
        <v>95</v>
      </c>
      <c r="F546" s="39" t="s">
        <v>96</v>
      </c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  <c r="AA546" s="29"/>
      <c r="AB546" s="29"/>
      <c r="AC546" s="29"/>
      <c r="AD546" s="29"/>
      <c r="AE546" s="29"/>
      <c r="AJ546"/>
      <c r="AK546"/>
      <c r="AL546"/>
      <c r="AM546"/>
      <c r="AN546"/>
      <c r="AO546"/>
      <c r="AP546"/>
      <c r="AQ546"/>
      <c r="AR546"/>
      <c r="AS546"/>
      <c r="AT546" s="4" t="str">
        <f t="shared" si="62"/>
        <v>日常费用业务招待费</v>
      </c>
      <c r="AU546" s="4" t="str">
        <f t="shared" si="57"/>
        <v>科技金融部</v>
      </c>
      <c r="AV546" s="4" t="str">
        <f t="shared" si="58"/>
        <v>日常费用</v>
      </c>
      <c r="AW546" s="4" t="str">
        <f>IFERROR(VLOOKUP(AV546,[1]字段!A:B,2,0),"")</f>
        <v>日常费用</v>
      </c>
      <c r="AX546" s="30" t="str">
        <f>IF(AW546="人力费用",IF(E546="","",VLOOKUP(E546,[1]字段!D:E,2,0)),AW546)</f>
        <v>日常费用</v>
      </c>
      <c r="AY546" s="30" t="str">
        <f>IF(AT546="","",VLOOKUP(AT546,[1]字段!H:I,2,0))</f>
        <v>日常费用-其他</v>
      </c>
      <c r="AZ546" s="31">
        <f t="shared" si="59"/>
        <v>0</v>
      </c>
      <c r="BA546" s="31">
        <f t="shared" si="60"/>
        <v>0</v>
      </c>
      <c r="BB546" s="31">
        <f t="shared" si="61"/>
        <v>0</v>
      </c>
      <c r="BC546" s="31">
        <f t="shared" si="63"/>
        <v>0</v>
      </c>
    </row>
    <row r="547" spans="1:55" ht="28.5" customHeight="1">
      <c r="A547" s="32"/>
      <c r="B547" s="32"/>
      <c r="C547" s="32"/>
      <c r="D547" s="40"/>
      <c r="E547" s="39" t="s">
        <v>139</v>
      </c>
      <c r="F547" s="39" t="s">
        <v>140</v>
      </c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  <c r="AA547" s="29"/>
      <c r="AB547" s="29"/>
      <c r="AC547" s="29"/>
      <c r="AD547" s="29"/>
      <c r="AE547" s="29"/>
      <c r="AJ547"/>
      <c r="AK547"/>
      <c r="AL547"/>
      <c r="AM547"/>
      <c r="AN547"/>
      <c r="AO547"/>
      <c r="AP547"/>
      <c r="AQ547"/>
      <c r="AR547"/>
      <c r="AS547"/>
      <c r="AT547" s="4" t="str">
        <f t="shared" si="62"/>
        <v>日常费用差旅费</v>
      </c>
      <c r="AU547" s="4" t="str">
        <f t="shared" si="57"/>
        <v>科技金融部</v>
      </c>
      <c r="AV547" s="4" t="str">
        <f t="shared" si="58"/>
        <v>日常费用</v>
      </c>
      <c r="AW547" s="4" t="str">
        <f>IFERROR(VLOOKUP(AV547,[1]字段!A:B,2,0),"")</f>
        <v>日常费用</v>
      </c>
      <c r="AX547" s="30" t="str">
        <f>IF(AW547="人力费用",IF(E547="","",VLOOKUP(E547,[1]字段!D:E,2,0)),AW547)</f>
        <v>日常费用</v>
      </c>
      <c r="AY547" s="30" t="str">
        <f>IF(AT547="","",VLOOKUP(AT547,[1]字段!H:I,2,0))</f>
        <v>日常费用-其他</v>
      </c>
      <c r="AZ547" s="31">
        <f t="shared" si="59"/>
        <v>0</v>
      </c>
      <c r="BA547" s="31">
        <f t="shared" si="60"/>
        <v>0</v>
      </c>
      <c r="BB547" s="31">
        <f t="shared" si="61"/>
        <v>0</v>
      </c>
      <c r="BC547" s="31">
        <f t="shared" si="63"/>
        <v>0</v>
      </c>
    </row>
    <row r="548" spans="1:55" ht="28.5" customHeight="1">
      <c r="A548" s="41"/>
      <c r="B548" s="41"/>
      <c r="C548" s="41"/>
      <c r="D548" s="42"/>
      <c r="E548" s="39" t="s">
        <v>104</v>
      </c>
      <c r="F548" s="39" t="s">
        <v>105</v>
      </c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  <c r="AA548" s="29"/>
      <c r="AB548" s="29"/>
      <c r="AC548" s="29"/>
      <c r="AD548" s="29"/>
      <c r="AE548" s="29"/>
      <c r="AJ548"/>
      <c r="AK548"/>
      <c r="AL548"/>
      <c r="AM548"/>
      <c r="AN548"/>
      <c r="AO548"/>
      <c r="AP548"/>
      <c r="AQ548"/>
      <c r="AR548"/>
      <c r="AS548"/>
      <c r="AT548" s="4" t="str">
        <f t="shared" si="62"/>
        <v>日常费用会议费</v>
      </c>
      <c r="AU548" s="4" t="str">
        <f t="shared" si="57"/>
        <v>科技金融部</v>
      </c>
      <c r="AV548" s="4" t="str">
        <f t="shared" si="58"/>
        <v>日常费用</v>
      </c>
      <c r="AW548" s="4" t="str">
        <f>IFERROR(VLOOKUP(AV548,[1]字段!A:B,2,0),"")</f>
        <v>日常费用</v>
      </c>
      <c r="AX548" s="30" t="str">
        <f>IF(AW548="人力费用",IF(E548="","",VLOOKUP(E548,[1]字段!D:E,2,0)),AW548)</f>
        <v>日常费用</v>
      </c>
      <c r="AY548" s="30" t="str">
        <f>IF(AT548="","",VLOOKUP(AT548,[1]字段!H:I,2,0))</f>
        <v>日常费用-其他</v>
      </c>
      <c r="AZ548" s="31">
        <f t="shared" si="59"/>
        <v>0</v>
      </c>
      <c r="BA548" s="31">
        <f t="shared" si="60"/>
        <v>0</v>
      </c>
      <c r="BB548" s="31">
        <f t="shared" si="61"/>
        <v>0</v>
      </c>
      <c r="BC548" s="31">
        <f t="shared" si="63"/>
        <v>0</v>
      </c>
    </row>
    <row r="549" spans="1:55" ht="28.5" customHeight="1">
      <c r="A549" s="25"/>
      <c r="B549" s="26" t="s">
        <v>188</v>
      </c>
      <c r="C549" s="27"/>
      <c r="D549" s="27"/>
      <c r="E549" s="27"/>
      <c r="F549" s="28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  <c r="AA549" s="29"/>
      <c r="AB549" s="29"/>
      <c r="AC549" s="29"/>
      <c r="AD549" s="29"/>
      <c r="AE549" s="29"/>
      <c r="AJ549"/>
      <c r="AK549"/>
      <c r="AL549"/>
      <c r="AM549"/>
      <c r="AN549"/>
      <c r="AO549"/>
      <c r="AP549"/>
      <c r="AQ549"/>
      <c r="AR549"/>
      <c r="AS549"/>
      <c r="AT549" s="4" t="str">
        <f t="shared" si="62"/>
        <v/>
      </c>
      <c r="AU549" s="4" t="str">
        <f t="shared" si="57"/>
        <v>企业业务支持部</v>
      </c>
      <c r="AV549" s="4" t="str">
        <f t="shared" si="58"/>
        <v/>
      </c>
      <c r="AW549" s="4" t="str">
        <f>IFERROR(VLOOKUP(AV549,[1]字段!A:B,2,0),"")</f>
        <v/>
      </c>
      <c r="AX549" s="30" t="str">
        <f>IF(AW549="人力费用",IF(E549="","",VLOOKUP(E549,[1]字段!D:E,2,0)),AW549)</f>
        <v/>
      </c>
      <c r="AY549" s="30" t="str">
        <f>IF(AT549="","",VLOOKUP(AT549,[1]字段!H:I,2,0))</f>
        <v/>
      </c>
      <c r="AZ549" s="31">
        <f t="shared" si="59"/>
        <v>0</v>
      </c>
      <c r="BA549" s="31">
        <f t="shared" si="60"/>
        <v>0</v>
      </c>
      <c r="BB549" s="31">
        <f t="shared" si="61"/>
        <v>0</v>
      </c>
      <c r="BC549" s="31">
        <f t="shared" si="63"/>
        <v>0</v>
      </c>
    </row>
    <row r="550" spans="1:55" ht="28.5" customHeight="1">
      <c r="A550" s="32"/>
      <c r="B550" s="32"/>
      <c r="C550" s="33" t="s">
        <v>39</v>
      </c>
      <c r="D550" s="34" t="s">
        <v>40</v>
      </c>
      <c r="E550" s="35"/>
      <c r="F550" s="36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  <c r="AA550" s="29"/>
      <c r="AB550" s="29"/>
      <c r="AC550" s="29"/>
      <c r="AD550" s="29"/>
      <c r="AE550" s="29"/>
      <c r="AJ550"/>
      <c r="AK550"/>
      <c r="AL550"/>
      <c r="AM550"/>
      <c r="AN550"/>
      <c r="AO550"/>
      <c r="AP550"/>
      <c r="AQ550"/>
      <c r="AR550"/>
      <c r="AS550"/>
      <c r="AT550" s="4" t="str">
        <f t="shared" si="62"/>
        <v/>
      </c>
      <c r="AU550" s="4" t="str">
        <f t="shared" si="57"/>
        <v>企业业务支持部</v>
      </c>
      <c r="AV550" s="4" t="str">
        <f t="shared" si="58"/>
        <v>人力费用</v>
      </c>
      <c r="AW550" s="4" t="str">
        <f>IFERROR(VLOOKUP(AV550,[1]字段!A:B,2,0),"")</f>
        <v>人力费用</v>
      </c>
      <c r="AX550" s="30" t="str">
        <f>IF(AW550="人力费用",IF(E550="","",VLOOKUP(E550,[1]字段!D:E,2,0)),AW550)</f>
        <v/>
      </c>
      <c r="AY550" s="30" t="str">
        <f>IF(AT550="","",VLOOKUP(AT550,[1]字段!H:I,2,0))</f>
        <v/>
      </c>
      <c r="AZ550" s="31">
        <f t="shared" si="59"/>
        <v>0</v>
      </c>
      <c r="BA550" s="31">
        <f t="shared" si="60"/>
        <v>0</v>
      </c>
      <c r="BB550" s="31">
        <f t="shared" si="61"/>
        <v>0</v>
      </c>
      <c r="BC550" s="31">
        <f t="shared" si="63"/>
        <v>0</v>
      </c>
    </row>
    <row r="551" spans="1:55" ht="28.5" customHeight="1">
      <c r="A551" s="32"/>
      <c r="B551" s="32"/>
      <c r="C551" s="37"/>
      <c r="D551" s="38"/>
      <c r="E551" s="39" t="s">
        <v>41</v>
      </c>
      <c r="F551" s="39" t="s">
        <v>42</v>
      </c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  <c r="AA551" s="29"/>
      <c r="AB551" s="29"/>
      <c r="AC551" s="29"/>
      <c r="AD551" s="29"/>
      <c r="AE551" s="29"/>
      <c r="AJ551"/>
      <c r="AK551"/>
      <c r="AL551"/>
      <c r="AM551"/>
      <c r="AN551"/>
      <c r="AO551"/>
      <c r="AP551"/>
      <c r="AQ551"/>
      <c r="AR551"/>
      <c r="AS551"/>
      <c r="AT551" s="4" t="str">
        <f t="shared" si="62"/>
        <v>1.0倍人力基础工资</v>
      </c>
      <c r="AU551" s="4" t="str">
        <f t="shared" si="57"/>
        <v>企业业务支持部</v>
      </c>
      <c r="AV551" s="4" t="str">
        <f t="shared" si="58"/>
        <v>人力费用</v>
      </c>
      <c r="AW551" s="4" t="str">
        <f>IFERROR(VLOOKUP(AV551,[1]字段!A:B,2,0),"")</f>
        <v>人力费用</v>
      </c>
      <c r="AX551" s="30" t="str">
        <f>IF(AW551="人力费用",IF(E551="","",VLOOKUP(E551,[1]字段!D:E,2,0)),AW551)</f>
        <v>1.0倍人力</v>
      </c>
      <c r="AY551" s="30" t="str">
        <f>IF(AT551="","",VLOOKUP(AT551,[1]字段!H:I,2,0))</f>
        <v>1.0倍人力</v>
      </c>
      <c r="AZ551" s="31">
        <f t="shared" si="59"/>
        <v>0</v>
      </c>
      <c r="BA551" s="31">
        <f t="shared" si="60"/>
        <v>0</v>
      </c>
      <c r="BB551" s="31">
        <f t="shared" si="61"/>
        <v>0</v>
      </c>
      <c r="BC551" s="31">
        <f t="shared" si="63"/>
        <v>0</v>
      </c>
    </row>
    <row r="552" spans="1:55" ht="28.5" customHeight="1">
      <c r="A552" s="32"/>
      <c r="B552" s="32"/>
      <c r="C552" s="32"/>
      <c r="D552" s="40"/>
      <c r="E552" s="39">
        <v>5501010602</v>
      </c>
      <c r="F552" s="3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  <c r="AA552" s="29"/>
      <c r="AB552" s="29"/>
      <c r="AC552" s="29"/>
      <c r="AD552" s="29"/>
      <c r="AE552" s="29"/>
      <c r="AJ552"/>
      <c r="AK552"/>
      <c r="AL552"/>
      <c r="AM552"/>
      <c r="AN552"/>
      <c r="AO552"/>
      <c r="AP552"/>
      <c r="AQ552"/>
      <c r="AR552"/>
      <c r="AS552"/>
      <c r="AT552" s="4" t="str">
        <f t="shared" si="62"/>
        <v>利润分享</v>
      </c>
      <c r="AU552" s="4" t="str">
        <f t="shared" si="57"/>
        <v>企业业务支持部</v>
      </c>
      <c r="AV552" s="4" t="str">
        <f t="shared" si="58"/>
        <v>人力费用</v>
      </c>
      <c r="AW552" s="4" t="str">
        <f>IFERROR(VLOOKUP(AV552,[1]字段!A:B,2,0),"")</f>
        <v>人力费用</v>
      </c>
      <c r="AX552" s="30" t="str">
        <f>IF(AW552="人力费用",IF(E552="","",VLOOKUP(E552,[1]字段!D:E,2,0)),AW552)</f>
        <v>利润分享</v>
      </c>
      <c r="AY552" s="30" t="str">
        <f>IF(AT552="","",VLOOKUP(AT552,[1]字段!H:I,2,0))</f>
        <v>利润分享</v>
      </c>
      <c r="AZ552" s="31">
        <f t="shared" si="59"/>
        <v>0</v>
      </c>
      <c r="BA552" s="31">
        <f t="shared" si="60"/>
        <v>0</v>
      </c>
      <c r="BB552" s="31">
        <f t="shared" si="61"/>
        <v>0</v>
      </c>
      <c r="BC552" s="31">
        <f t="shared" si="63"/>
        <v>0</v>
      </c>
    </row>
    <row r="553" spans="1:55" ht="28.5" customHeight="1">
      <c r="A553" s="32"/>
      <c r="B553" s="32"/>
      <c r="C553" s="32"/>
      <c r="D553" s="40"/>
      <c r="E553" s="39">
        <v>5501010603</v>
      </c>
      <c r="F553" s="3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  <c r="AA553" s="29"/>
      <c r="AB553" s="29"/>
      <c r="AC553" s="29"/>
      <c r="AD553" s="29"/>
      <c r="AE553" s="29"/>
      <c r="AJ553"/>
      <c r="AK553"/>
      <c r="AL553"/>
      <c r="AM553"/>
      <c r="AN553"/>
      <c r="AO553"/>
      <c r="AP553"/>
      <c r="AQ553"/>
      <c r="AR553"/>
      <c r="AS553"/>
      <c r="AT553" s="4" t="str">
        <f t="shared" si="62"/>
        <v>留任奖励</v>
      </c>
      <c r="AU553" s="4" t="str">
        <f t="shared" si="57"/>
        <v>企业业务支持部</v>
      </c>
      <c r="AV553" s="4" t="str">
        <f t="shared" si="58"/>
        <v>人力费用</v>
      </c>
      <c r="AW553" s="4" t="str">
        <f>IFERROR(VLOOKUP(AV553,[1]字段!A:B,2,0),"")</f>
        <v>人力费用</v>
      </c>
      <c r="AX553" s="30" t="str">
        <f>IF(AW553="人力费用",IF(E553="","",VLOOKUP(E553,[1]字段!D:E,2,0)),AW553)</f>
        <v>留任奖励</v>
      </c>
      <c r="AY553" s="30" t="str">
        <f>IF(AT553="","",VLOOKUP(AT553,[1]字段!H:I,2,0))</f>
        <v>留任奖励</v>
      </c>
      <c r="AZ553" s="31">
        <f t="shared" si="59"/>
        <v>0</v>
      </c>
      <c r="BA553" s="31">
        <f t="shared" si="60"/>
        <v>0</v>
      </c>
      <c r="BB553" s="31">
        <f t="shared" si="61"/>
        <v>0</v>
      </c>
      <c r="BC553" s="31">
        <f t="shared" si="63"/>
        <v>0</v>
      </c>
    </row>
    <row r="554" spans="1:55" ht="28.5" customHeight="1">
      <c r="A554" s="32"/>
      <c r="B554" s="32"/>
      <c r="C554" s="32"/>
      <c r="D554" s="40"/>
      <c r="E554" s="39">
        <v>5501010604</v>
      </c>
      <c r="F554" s="3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  <c r="AA554" s="29"/>
      <c r="AB554" s="29"/>
      <c r="AC554" s="29"/>
      <c r="AD554" s="29"/>
      <c r="AE554" s="29"/>
      <c r="AJ554"/>
      <c r="AK554"/>
      <c r="AL554"/>
      <c r="AM554"/>
      <c r="AN554"/>
      <c r="AO554"/>
      <c r="AP554"/>
      <c r="AQ554"/>
      <c r="AR554"/>
      <c r="AS554"/>
      <c r="AT554" s="4" t="str">
        <f t="shared" si="62"/>
        <v>1.0倍人力</v>
      </c>
      <c r="AU554" s="4" t="str">
        <f t="shared" si="57"/>
        <v>企业业务支持部</v>
      </c>
      <c r="AV554" s="4" t="str">
        <f t="shared" si="58"/>
        <v>人力费用</v>
      </c>
      <c r="AW554" s="4" t="str">
        <f>IFERROR(VLOOKUP(AV554,[1]字段!A:B,2,0),"")</f>
        <v>人力费用</v>
      </c>
      <c r="AX554" s="30" t="str">
        <f>IF(AW554="人力费用",IF(E554="","",VLOOKUP(E554,[1]字段!D:E,2,0)),AW554)</f>
        <v>1.0倍人力</v>
      </c>
      <c r="AY554" s="30" t="str">
        <f>IF(AT554="","",VLOOKUP(AT554,[1]字段!H:I,2,0))</f>
        <v>1.0倍人力</v>
      </c>
      <c r="AZ554" s="31">
        <f t="shared" si="59"/>
        <v>0</v>
      </c>
      <c r="BA554" s="31">
        <f t="shared" si="60"/>
        <v>0</v>
      </c>
      <c r="BB554" s="31">
        <f t="shared" si="61"/>
        <v>0</v>
      </c>
      <c r="BC554" s="31">
        <f t="shared" si="63"/>
        <v>0</v>
      </c>
    </row>
    <row r="555" spans="1:55" ht="28.5" customHeight="1">
      <c r="A555" s="32"/>
      <c r="B555" s="32"/>
      <c r="C555" s="32"/>
      <c r="D555" s="40"/>
      <c r="E555" s="39" t="s">
        <v>43</v>
      </c>
      <c r="F555" s="39" t="s">
        <v>44</v>
      </c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  <c r="AA555" s="29"/>
      <c r="AB555" s="29"/>
      <c r="AC555" s="29"/>
      <c r="AD555" s="29"/>
      <c r="AE555" s="29"/>
      <c r="AJ555"/>
      <c r="AK555"/>
      <c r="AL555"/>
      <c r="AM555"/>
      <c r="AN555"/>
      <c r="AO555"/>
      <c r="AP555"/>
      <c r="AQ555"/>
      <c r="AR555"/>
      <c r="AS555"/>
      <c r="AT555" s="4" t="str">
        <f t="shared" si="62"/>
        <v>1.0倍人力团队建设费</v>
      </c>
      <c r="AU555" s="4" t="str">
        <f t="shared" si="57"/>
        <v>企业业务支持部</v>
      </c>
      <c r="AV555" s="4" t="str">
        <f t="shared" si="58"/>
        <v>人力费用</v>
      </c>
      <c r="AW555" s="4" t="str">
        <f>IFERROR(VLOOKUP(AV555,[1]字段!A:B,2,0),"")</f>
        <v>人力费用</v>
      </c>
      <c r="AX555" s="30" t="str">
        <f>IF(AW555="人力费用",IF(E555="","",VLOOKUP(E555,[1]字段!D:E,2,0)),AW555)</f>
        <v>1.0倍人力</v>
      </c>
      <c r="AY555" s="30" t="str">
        <f>IF(AT555="","",VLOOKUP(AT555,[1]字段!H:I,2,0))</f>
        <v>1.0倍人力</v>
      </c>
      <c r="AZ555" s="31">
        <f t="shared" si="59"/>
        <v>0</v>
      </c>
      <c r="BA555" s="31">
        <f t="shared" si="60"/>
        <v>0</v>
      </c>
      <c r="BB555" s="31">
        <f t="shared" si="61"/>
        <v>0</v>
      </c>
      <c r="BC555" s="31">
        <f t="shared" si="63"/>
        <v>0</v>
      </c>
    </row>
    <row r="556" spans="1:55" ht="28.5" customHeight="1">
      <c r="A556" s="32"/>
      <c r="B556" s="32"/>
      <c r="C556" s="32"/>
      <c r="D556" s="40"/>
      <c r="E556" s="39" t="s">
        <v>45</v>
      </c>
      <c r="F556" s="39" t="s">
        <v>46</v>
      </c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  <c r="AA556" s="29"/>
      <c r="AB556" s="29"/>
      <c r="AC556" s="29"/>
      <c r="AD556" s="29"/>
      <c r="AE556" s="29"/>
      <c r="AJ556"/>
      <c r="AK556"/>
      <c r="AL556"/>
      <c r="AM556"/>
      <c r="AN556"/>
      <c r="AO556"/>
      <c r="AP556"/>
      <c r="AQ556"/>
      <c r="AR556"/>
      <c r="AS556"/>
      <c r="AT556" s="4" t="str">
        <f t="shared" si="62"/>
        <v>1.0倍人力其他职工福利费</v>
      </c>
      <c r="AU556" s="4" t="str">
        <f t="shared" si="57"/>
        <v>企业业务支持部</v>
      </c>
      <c r="AV556" s="4" t="str">
        <f t="shared" si="58"/>
        <v>人力费用</v>
      </c>
      <c r="AW556" s="4" t="str">
        <f>IFERROR(VLOOKUP(AV556,[1]字段!A:B,2,0),"")</f>
        <v>人力费用</v>
      </c>
      <c r="AX556" s="30" t="str">
        <f>IF(AW556="人力费用",IF(E556="","",VLOOKUP(E556,[1]字段!D:E,2,0)),AW556)</f>
        <v>1.0倍人力</v>
      </c>
      <c r="AY556" s="30" t="str">
        <f>IF(AT556="","",VLOOKUP(AT556,[1]字段!H:I,2,0))</f>
        <v>1.0倍人力</v>
      </c>
      <c r="AZ556" s="31">
        <f t="shared" si="59"/>
        <v>0</v>
      </c>
      <c r="BA556" s="31">
        <f t="shared" si="60"/>
        <v>0</v>
      </c>
      <c r="BB556" s="31">
        <f t="shared" si="61"/>
        <v>0</v>
      </c>
      <c r="BC556" s="31">
        <f t="shared" si="63"/>
        <v>0</v>
      </c>
    </row>
    <row r="557" spans="1:55" ht="28.5" customHeight="1">
      <c r="A557" s="32"/>
      <c r="B557" s="32"/>
      <c r="C557" s="32"/>
      <c r="D557" s="40"/>
      <c r="E557" s="39" t="s">
        <v>47</v>
      </c>
      <c r="F557" s="39" t="s">
        <v>48</v>
      </c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  <c r="AA557" s="29"/>
      <c r="AB557" s="29"/>
      <c r="AC557" s="29"/>
      <c r="AD557" s="29"/>
      <c r="AE557" s="29"/>
      <c r="AJ557"/>
      <c r="AK557"/>
      <c r="AL557"/>
      <c r="AM557"/>
      <c r="AN557"/>
      <c r="AO557"/>
      <c r="AP557"/>
      <c r="AQ557"/>
      <c r="AR557"/>
      <c r="AS557"/>
      <c r="AT557" s="4" t="str">
        <f t="shared" si="62"/>
        <v>1.0倍人力工会经费</v>
      </c>
      <c r="AU557" s="4" t="str">
        <f t="shared" si="57"/>
        <v>企业业务支持部</v>
      </c>
      <c r="AV557" s="4" t="str">
        <f t="shared" si="58"/>
        <v>人力费用</v>
      </c>
      <c r="AW557" s="4" t="str">
        <f>IFERROR(VLOOKUP(AV557,[1]字段!A:B,2,0),"")</f>
        <v>人力费用</v>
      </c>
      <c r="AX557" s="30" t="str">
        <f>IF(AW557="人力费用",IF(E557="","",VLOOKUP(E557,[1]字段!D:E,2,0)),AW557)</f>
        <v>1.0倍人力</v>
      </c>
      <c r="AY557" s="30" t="str">
        <f>IF(AT557="","",VLOOKUP(AT557,[1]字段!H:I,2,0))</f>
        <v>1.0倍人力</v>
      </c>
      <c r="AZ557" s="31">
        <f t="shared" si="59"/>
        <v>0</v>
      </c>
      <c r="BA557" s="31">
        <f t="shared" si="60"/>
        <v>0</v>
      </c>
      <c r="BB557" s="31">
        <f t="shared" si="61"/>
        <v>0</v>
      </c>
      <c r="BC557" s="31">
        <f t="shared" si="63"/>
        <v>0</v>
      </c>
    </row>
    <row r="558" spans="1:55" ht="28.5" customHeight="1">
      <c r="A558" s="32"/>
      <c r="B558" s="32"/>
      <c r="C558" s="32"/>
      <c r="D558" s="40"/>
      <c r="E558" s="39" t="s">
        <v>49</v>
      </c>
      <c r="F558" s="39" t="s">
        <v>50</v>
      </c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  <c r="AA558" s="29"/>
      <c r="AB558" s="29"/>
      <c r="AC558" s="29"/>
      <c r="AD558" s="29"/>
      <c r="AE558" s="29"/>
      <c r="AJ558"/>
      <c r="AK558"/>
      <c r="AL558"/>
      <c r="AM558"/>
      <c r="AN558"/>
      <c r="AO558"/>
      <c r="AP558"/>
      <c r="AQ558"/>
      <c r="AR558"/>
      <c r="AS558"/>
      <c r="AT558" s="4" t="str">
        <f t="shared" si="62"/>
        <v>1.0倍人力基本养老保险</v>
      </c>
      <c r="AU558" s="4" t="str">
        <f t="shared" si="57"/>
        <v>企业业务支持部</v>
      </c>
      <c r="AV558" s="4" t="str">
        <f t="shared" si="58"/>
        <v>人力费用</v>
      </c>
      <c r="AW558" s="4" t="str">
        <f>IFERROR(VLOOKUP(AV558,[1]字段!A:B,2,0),"")</f>
        <v>人力费用</v>
      </c>
      <c r="AX558" s="30" t="str">
        <f>IF(AW558="人力费用",IF(E558="","",VLOOKUP(E558,[1]字段!D:E,2,0)),AW558)</f>
        <v>1.0倍人力</v>
      </c>
      <c r="AY558" s="30" t="str">
        <f>IF(AT558="","",VLOOKUP(AT558,[1]字段!H:I,2,0))</f>
        <v>1.0倍人力</v>
      </c>
      <c r="AZ558" s="31">
        <f t="shared" si="59"/>
        <v>0</v>
      </c>
      <c r="BA558" s="31">
        <f t="shared" si="60"/>
        <v>0</v>
      </c>
      <c r="BB558" s="31">
        <f t="shared" si="61"/>
        <v>0</v>
      </c>
      <c r="BC558" s="31">
        <f t="shared" si="63"/>
        <v>0</v>
      </c>
    </row>
    <row r="559" spans="1:55" ht="28.5" customHeight="1">
      <c r="A559" s="32"/>
      <c r="B559" s="32"/>
      <c r="C559" s="32"/>
      <c r="D559" s="40"/>
      <c r="E559" s="39" t="s">
        <v>51</v>
      </c>
      <c r="F559" s="39" t="s">
        <v>52</v>
      </c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  <c r="AA559" s="29"/>
      <c r="AB559" s="29"/>
      <c r="AC559" s="29"/>
      <c r="AD559" s="29"/>
      <c r="AE559" s="29"/>
      <c r="AJ559"/>
      <c r="AK559"/>
      <c r="AL559"/>
      <c r="AM559"/>
      <c r="AN559"/>
      <c r="AO559"/>
      <c r="AP559"/>
      <c r="AQ559"/>
      <c r="AR559"/>
      <c r="AS559"/>
      <c r="AT559" s="4" t="str">
        <f t="shared" si="62"/>
        <v>1.0倍人力基本医疗保险</v>
      </c>
      <c r="AU559" s="4" t="str">
        <f t="shared" si="57"/>
        <v>企业业务支持部</v>
      </c>
      <c r="AV559" s="4" t="str">
        <f t="shared" si="58"/>
        <v>人力费用</v>
      </c>
      <c r="AW559" s="4" t="str">
        <f>IFERROR(VLOOKUP(AV559,[1]字段!A:B,2,0),"")</f>
        <v>人力费用</v>
      </c>
      <c r="AX559" s="30" t="str">
        <f>IF(AW559="人力费用",IF(E559="","",VLOOKUP(E559,[1]字段!D:E,2,0)),AW559)</f>
        <v>1.0倍人力</v>
      </c>
      <c r="AY559" s="30" t="str">
        <f>IF(AT559="","",VLOOKUP(AT559,[1]字段!H:I,2,0))</f>
        <v>1.0倍人力</v>
      </c>
      <c r="AZ559" s="31">
        <f t="shared" si="59"/>
        <v>0</v>
      </c>
      <c r="BA559" s="31">
        <f t="shared" si="60"/>
        <v>0</v>
      </c>
      <c r="BB559" s="31">
        <f t="shared" si="61"/>
        <v>0</v>
      </c>
      <c r="BC559" s="31">
        <f t="shared" si="63"/>
        <v>0</v>
      </c>
    </row>
    <row r="560" spans="1:55" ht="28.5" customHeight="1">
      <c r="A560" s="32"/>
      <c r="B560" s="32"/>
      <c r="C560" s="32"/>
      <c r="D560" s="40"/>
      <c r="E560" s="39" t="s">
        <v>53</v>
      </c>
      <c r="F560" s="39" t="s">
        <v>54</v>
      </c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  <c r="AA560" s="29"/>
      <c r="AB560" s="29"/>
      <c r="AC560" s="29"/>
      <c r="AD560" s="29"/>
      <c r="AE560" s="29"/>
      <c r="AJ560"/>
      <c r="AK560"/>
      <c r="AL560"/>
      <c r="AM560"/>
      <c r="AN560"/>
      <c r="AO560"/>
      <c r="AP560"/>
      <c r="AQ560"/>
      <c r="AR560"/>
      <c r="AS560"/>
      <c r="AT560" s="4" t="str">
        <f t="shared" si="62"/>
        <v>1.0倍人力工伤保险</v>
      </c>
      <c r="AU560" s="4" t="str">
        <f t="shared" si="57"/>
        <v>企业业务支持部</v>
      </c>
      <c r="AV560" s="4" t="str">
        <f t="shared" si="58"/>
        <v>人力费用</v>
      </c>
      <c r="AW560" s="4" t="str">
        <f>IFERROR(VLOOKUP(AV560,[1]字段!A:B,2,0),"")</f>
        <v>人力费用</v>
      </c>
      <c r="AX560" s="30" t="str">
        <f>IF(AW560="人力费用",IF(E560="","",VLOOKUP(E560,[1]字段!D:E,2,0)),AW560)</f>
        <v>1.0倍人力</v>
      </c>
      <c r="AY560" s="30" t="str">
        <f>IF(AT560="","",VLOOKUP(AT560,[1]字段!H:I,2,0))</f>
        <v>1.0倍人力</v>
      </c>
      <c r="AZ560" s="31">
        <f t="shared" si="59"/>
        <v>0</v>
      </c>
      <c r="BA560" s="31">
        <f t="shared" si="60"/>
        <v>0</v>
      </c>
      <c r="BB560" s="31">
        <f t="shared" si="61"/>
        <v>0</v>
      </c>
      <c r="BC560" s="31">
        <f t="shared" si="63"/>
        <v>0</v>
      </c>
    </row>
    <row r="561" spans="1:55" ht="28.5" customHeight="1">
      <c r="A561" s="32"/>
      <c r="B561" s="32"/>
      <c r="C561" s="32"/>
      <c r="D561" s="40"/>
      <c r="E561" s="39" t="s">
        <v>55</v>
      </c>
      <c r="F561" s="39" t="s">
        <v>56</v>
      </c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  <c r="AA561" s="29"/>
      <c r="AB561" s="29"/>
      <c r="AC561" s="29"/>
      <c r="AD561" s="29"/>
      <c r="AE561" s="29"/>
      <c r="AJ561"/>
      <c r="AK561"/>
      <c r="AL561"/>
      <c r="AM561"/>
      <c r="AN561"/>
      <c r="AO561"/>
      <c r="AP561"/>
      <c r="AQ561"/>
      <c r="AR561"/>
      <c r="AS561"/>
      <c r="AT561" s="4" t="str">
        <f t="shared" si="62"/>
        <v>1.0倍人力生育保险</v>
      </c>
      <c r="AU561" s="4" t="str">
        <f t="shared" si="57"/>
        <v>企业业务支持部</v>
      </c>
      <c r="AV561" s="4" t="str">
        <f t="shared" si="58"/>
        <v>人力费用</v>
      </c>
      <c r="AW561" s="4" t="str">
        <f>IFERROR(VLOOKUP(AV561,[1]字段!A:B,2,0),"")</f>
        <v>人力费用</v>
      </c>
      <c r="AX561" s="30" t="str">
        <f>IF(AW561="人力费用",IF(E561="","",VLOOKUP(E561,[1]字段!D:E,2,0)),AW561)</f>
        <v>1.0倍人力</v>
      </c>
      <c r="AY561" s="30" t="str">
        <f>IF(AT561="","",VLOOKUP(AT561,[1]字段!H:I,2,0))</f>
        <v>1.0倍人力</v>
      </c>
      <c r="AZ561" s="31">
        <f t="shared" si="59"/>
        <v>0</v>
      </c>
      <c r="BA561" s="31">
        <f t="shared" si="60"/>
        <v>0</v>
      </c>
      <c r="BB561" s="31">
        <f t="shared" si="61"/>
        <v>0</v>
      </c>
      <c r="BC561" s="31">
        <f t="shared" si="63"/>
        <v>0</v>
      </c>
    </row>
    <row r="562" spans="1:55" ht="28.5" customHeight="1">
      <c r="A562" s="32"/>
      <c r="B562" s="32"/>
      <c r="C562" s="32"/>
      <c r="D562" s="40"/>
      <c r="E562" s="39" t="s">
        <v>57</v>
      </c>
      <c r="F562" s="39" t="s">
        <v>58</v>
      </c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  <c r="AA562" s="29"/>
      <c r="AB562" s="29"/>
      <c r="AC562" s="29"/>
      <c r="AD562" s="29"/>
      <c r="AE562" s="29"/>
      <c r="AJ562"/>
      <c r="AK562"/>
      <c r="AL562"/>
      <c r="AM562"/>
      <c r="AN562"/>
      <c r="AO562"/>
      <c r="AP562"/>
      <c r="AQ562"/>
      <c r="AR562"/>
      <c r="AS562"/>
      <c r="AT562" s="4" t="str">
        <f t="shared" si="62"/>
        <v>1.0倍人力失业保险</v>
      </c>
      <c r="AU562" s="4" t="str">
        <f t="shared" si="57"/>
        <v>企业业务支持部</v>
      </c>
      <c r="AV562" s="4" t="str">
        <f t="shared" si="58"/>
        <v>人力费用</v>
      </c>
      <c r="AW562" s="4" t="str">
        <f>IFERROR(VLOOKUP(AV562,[1]字段!A:B,2,0),"")</f>
        <v>人力费用</v>
      </c>
      <c r="AX562" s="30" t="str">
        <f>IF(AW562="人力费用",IF(E562="","",VLOOKUP(E562,[1]字段!D:E,2,0)),AW562)</f>
        <v>1.0倍人力</v>
      </c>
      <c r="AY562" s="30" t="str">
        <f>IF(AT562="","",VLOOKUP(AT562,[1]字段!H:I,2,0))</f>
        <v>1.0倍人力</v>
      </c>
      <c r="AZ562" s="31">
        <f t="shared" si="59"/>
        <v>0</v>
      </c>
      <c r="BA562" s="31">
        <f t="shared" si="60"/>
        <v>0</v>
      </c>
      <c r="BB562" s="31">
        <f t="shared" si="61"/>
        <v>0</v>
      </c>
      <c r="BC562" s="31">
        <f t="shared" si="63"/>
        <v>0</v>
      </c>
    </row>
    <row r="563" spans="1:55" ht="28.5" customHeight="1">
      <c r="A563" s="32"/>
      <c r="B563" s="32"/>
      <c r="C563" s="32"/>
      <c r="D563" s="40"/>
      <c r="E563" s="39" t="s">
        <v>59</v>
      </c>
      <c r="F563" s="39" t="s">
        <v>60</v>
      </c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  <c r="AA563" s="29"/>
      <c r="AB563" s="29"/>
      <c r="AC563" s="29"/>
      <c r="AD563" s="29"/>
      <c r="AE563" s="29"/>
      <c r="AJ563"/>
      <c r="AK563"/>
      <c r="AL563"/>
      <c r="AM563"/>
      <c r="AN563"/>
      <c r="AO563"/>
      <c r="AP563"/>
      <c r="AQ563"/>
      <c r="AR563"/>
      <c r="AS563"/>
      <c r="AT563" s="4" t="str">
        <f t="shared" si="62"/>
        <v>1.0倍人力住房公积金</v>
      </c>
      <c r="AU563" s="4" t="str">
        <f t="shared" si="57"/>
        <v>企业业务支持部</v>
      </c>
      <c r="AV563" s="4" t="str">
        <f t="shared" si="58"/>
        <v>人力费用</v>
      </c>
      <c r="AW563" s="4" t="str">
        <f>IFERROR(VLOOKUP(AV563,[1]字段!A:B,2,0),"")</f>
        <v>人力费用</v>
      </c>
      <c r="AX563" s="30" t="str">
        <f>IF(AW563="人力费用",IF(E563="","",VLOOKUP(E563,[1]字段!D:E,2,0)),AW563)</f>
        <v>1.0倍人力</v>
      </c>
      <c r="AY563" s="30" t="str">
        <f>IF(AT563="","",VLOOKUP(AT563,[1]字段!H:I,2,0))</f>
        <v>1.0倍人力</v>
      </c>
      <c r="AZ563" s="31">
        <f t="shared" si="59"/>
        <v>0</v>
      </c>
      <c r="BA563" s="31">
        <f t="shared" si="60"/>
        <v>0</v>
      </c>
      <c r="BB563" s="31">
        <f t="shared" si="61"/>
        <v>0</v>
      </c>
      <c r="BC563" s="31">
        <f t="shared" si="63"/>
        <v>0</v>
      </c>
    </row>
    <row r="564" spans="1:55" ht="28.5" customHeight="1">
      <c r="A564" s="32"/>
      <c r="B564" s="32"/>
      <c r="C564" s="41"/>
      <c r="D564" s="42"/>
      <c r="E564" s="39" t="s">
        <v>100</v>
      </c>
      <c r="F564" s="39" t="s">
        <v>101</v>
      </c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  <c r="AA564" s="29"/>
      <c r="AB564" s="29"/>
      <c r="AC564" s="29"/>
      <c r="AD564" s="29"/>
      <c r="AE564" s="29"/>
      <c r="AJ564"/>
      <c r="AK564"/>
      <c r="AL564"/>
      <c r="AM564"/>
      <c r="AN564"/>
      <c r="AO564"/>
      <c r="AP564"/>
      <c r="AQ564"/>
      <c r="AR564"/>
      <c r="AS564"/>
      <c r="AT564" s="4" t="str">
        <f t="shared" si="62"/>
        <v>劳务支出劳务支出</v>
      </c>
      <c r="AU564" s="4" t="str">
        <f t="shared" si="57"/>
        <v>企业业务支持部</v>
      </c>
      <c r="AV564" s="4" t="str">
        <f t="shared" si="58"/>
        <v>人力费用</v>
      </c>
      <c r="AW564" s="4" t="str">
        <f>IFERROR(VLOOKUP(AV564,[1]字段!A:B,2,0),"")</f>
        <v>人力费用</v>
      </c>
      <c r="AX564" s="30" t="str">
        <f>IF(AW564="人力费用",IF(E564="","",VLOOKUP(E564,[1]字段!D:E,2,0)),AW564)</f>
        <v>劳务支出</v>
      </c>
      <c r="AY564" s="30" t="str">
        <f>IF(AT564="","",VLOOKUP(AT564,[1]字段!H:I,2,0))</f>
        <v>劳务支出</v>
      </c>
      <c r="AZ564" s="31">
        <f t="shared" si="59"/>
        <v>0</v>
      </c>
      <c r="BA564" s="31">
        <f t="shared" si="60"/>
        <v>0</v>
      </c>
      <c r="BB564" s="31">
        <f t="shared" si="61"/>
        <v>0</v>
      </c>
      <c r="BC564" s="31">
        <f t="shared" si="63"/>
        <v>0</v>
      </c>
    </row>
    <row r="565" spans="1:55" ht="28.5" customHeight="1">
      <c r="C565" s="33" t="s">
        <v>107</v>
      </c>
      <c r="D565" s="34" t="s">
        <v>108</v>
      </c>
      <c r="E565" s="35"/>
      <c r="F565" s="36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  <c r="AA565" s="29"/>
      <c r="AB565" s="29"/>
      <c r="AC565" s="29"/>
      <c r="AD565" s="29"/>
      <c r="AE565" s="29"/>
      <c r="AJ565"/>
      <c r="AK565"/>
      <c r="AL565"/>
      <c r="AM565"/>
      <c r="AN565"/>
      <c r="AO565"/>
      <c r="AP565"/>
      <c r="AQ565"/>
      <c r="AR565"/>
      <c r="AS565"/>
      <c r="AT565" s="4" t="str">
        <f t="shared" si="62"/>
        <v>营销费用</v>
      </c>
      <c r="AU565" s="4" t="str">
        <f t="shared" si="57"/>
        <v>企业业务支持部</v>
      </c>
      <c r="AV565" s="4" t="str">
        <f t="shared" si="58"/>
        <v>营销费用</v>
      </c>
      <c r="AW565" s="4" t="str">
        <f>IFERROR(VLOOKUP(AV565,[1]字段!A:B,2,0),"")</f>
        <v>营销费用</v>
      </c>
      <c r="AX565" s="30" t="str">
        <f>IF(AW565="人力费用",IF(E565="","",VLOOKUP(E565,[1]字段!D:E,2,0)),AW565)</f>
        <v>营销费用</v>
      </c>
      <c r="AY565" s="30">
        <f>IF(AT565="","",VLOOKUP(AT565,[1]字段!H:I,2,0))</f>
        <v>0</v>
      </c>
      <c r="AZ565" s="31">
        <f t="shared" si="59"/>
        <v>0</v>
      </c>
      <c r="BA565" s="31">
        <f t="shared" si="60"/>
        <v>0</v>
      </c>
      <c r="BB565" s="31">
        <f t="shared" si="61"/>
        <v>0</v>
      </c>
      <c r="BC565" s="31">
        <f t="shared" si="63"/>
        <v>0</v>
      </c>
    </row>
    <row r="566" spans="1:55" ht="28.5" customHeight="1">
      <c r="A566" s="32"/>
      <c r="B566" s="32"/>
      <c r="C566" s="43"/>
      <c r="D566" s="43"/>
      <c r="E566" s="39" t="s">
        <v>172</v>
      </c>
      <c r="F566" s="39" t="s">
        <v>173</v>
      </c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  <c r="AA566" s="29"/>
      <c r="AB566" s="29"/>
      <c r="AC566" s="29"/>
      <c r="AD566" s="29"/>
      <c r="AE566" s="29"/>
      <c r="AJ566"/>
      <c r="AK566"/>
      <c r="AL566"/>
      <c r="AM566"/>
      <c r="AN566"/>
      <c r="AO566"/>
      <c r="AP566"/>
      <c r="AQ566"/>
      <c r="AR566"/>
      <c r="AS566"/>
      <c r="AT566" s="4" t="str">
        <f t="shared" si="62"/>
        <v>营销费用客服费</v>
      </c>
      <c r="AU566" s="4" t="str">
        <f t="shared" si="57"/>
        <v>企业业务支持部</v>
      </c>
      <c r="AV566" s="4" t="str">
        <f t="shared" si="58"/>
        <v>营销费用</v>
      </c>
      <c r="AW566" s="4" t="str">
        <f>IFERROR(VLOOKUP(AV566,[1]字段!A:B,2,0),"")</f>
        <v>营销费用</v>
      </c>
      <c r="AX566" s="30" t="str">
        <f>IF(AW566="人力费用",IF(E566="","",VLOOKUP(E566,[1]字段!D:E,2,0)),AW566)</f>
        <v>营销费用</v>
      </c>
      <c r="AY566" s="30" t="str">
        <f>IF(AT566="","",VLOOKUP(AT566,[1]字段!H:I,2,0))</f>
        <v>营销费用</v>
      </c>
      <c r="AZ566" s="31">
        <f t="shared" si="59"/>
        <v>0</v>
      </c>
      <c r="BA566" s="31">
        <f t="shared" si="60"/>
        <v>0</v>
      </c>
      <c r="BB566" s="31">
        <f t="shared" si="61"/>
        <v>0</v>
      </c>
      <c r="BC566" s="31">
        <f t="shared" si="63"/>
        <v>0</v>
      </c>
    </row>
    <row r="567" spans="1:55" ht="28.5" customHeight="1">
      <c r="C567" s="33" t="s">
        <v>162</v>
      </c>
      <c r="D567" s="34" t="s">
        <v>163</v>
      </c>
      <c r="E567" s="35"/>
      <c r="F567" s="36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  <c r="AA567" s="29"/>
      <c r="AB567" s="29"/>
      <c r="AC567" s="29"/>
      <c r="AD567" s="29"/>
      <c r="AE567" s="29"/>
      <c r="AJ567"/>
      <c r="AK567"/>
      <c r="AL567"/>
      <c r="AM567"/>
      <c r="AN567"/>
      <c r="AO567"/>
      <c r="AP567"/>
      <c r="AQ567"/>
      <c r="AR567"/>
      <c r="AS567"/>
      <c r="AT567" s="4" t="str">
        <f t="shared" si="62"/>
        <v>运营费用</v>
      </c>
      <c r="AU567" s="4" t="str">
        <f t="shared" si="57"/>
        <v>企业业务支持部</v>
      </c>
      <c r="AV567" s="4" t="str">
        <f t="shared" si="58"/>
        <v>运营费用</v>
      </c>
      <c r="AW567" s="4" t="str">
        <f>IFERROR(VLOOKUP(AV567,[1]字段!A:B,2,0),"")</f>
        <v>运营费用</v>
      </c>
      <c r="AX567" s="30" t="str">
        <f>IF(AW567="人力费用",IF(E567="","",VLOOKUP(E567,[1]字段!D:E,2,0)),AW567)</f>
        <v>运营费用</v>
      </c>
      <c r="AY567" s="30">
        <f>IF(AT567="","",VLOOKUP(AT567,[1]字段!H:I,2,0))</f>
        <v>0</v>
      </c>
      <c r="AZ567" s="31">
        <f t="shared" si="59"/>
        <v>0</v>
      </c>
      <c r="BA567" s="31">
        <f t="shared" si="60"/>
        <v>0</v>
      </c>
      <c r="BB567" s="31">
        <f t="shared" si="61"/>
        <v>0</v>
      </c>
      <c r="BC567" s="31">
        <f t="shared" si="63"/>
        <v>0</v>
      </c>
    </row>
    <row r="568" spans="1:55" ht="28.5" customHeight="1">
      <c r="A568" s="32"/>
      <c r="B568" s="32"/>
      <c r="C568" s="37"/>
      <c r="D568" s="38"/>
      <c r="E568" s="39" t="s">
        <v>168</v>
      </c>
      <c r="F568" s="39" t="s">
        <v>169</v>
      </c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  <c r="AA568" s="29"/>
      <c r="AB568" s="29"/>
      <c r="AC568" s="29"/>
      <c r="AD568" s="29"/>
      <c r="AE568" s="29"/>
      <c r="AJ568"/>
      <c r="AK568"/>
      <c r="AL568"/>
      <c r="AM568"/>
      <c r="AN568"/>
      <c r="AO568"/>
      <c r="AP568"/>
      <c r="AQ568"/>
      <c r="AR568"/>
      <c r="AS568"/>
      <c r="AT568" s="4" t="str">
        <f t="shared" si="62"/>
        <v>运营费用坐席租用费</v>
      </c>
      <c r="AU568" s="4" t="str">
        <f t="shared" si="57"/>
        <v>企业业务支持部</v>
      </c>
      <c r="AV568" s="4" t="str">
        <f t="shared" si="58"/>
        <v>运营费用</v>
      </c>
      <c r="AW568" s="4" t="str">
        <f>IFERROR(VLOOKUP(AV568,[1]字段!A:B,2,0),"")</f>
        <v>运营费用</v>
      </c>
      <c r="AX568" s="30" t="str">
        <f>IF(AW568="人力费用",IF(E568="","",VLOOKUP(E568,[1]字段!D:E,2,0)),AW568)</f>
        <v>运营费用</v>
      </c>
      <c r="AY568" s="30" t="str">
        <f>IF(AT568="","",VLOOKUP(AT568,[1]字段!H:I,2,0))</f>
        <v>运营费用-客服费</v>
      </c>
      <c r="AZ568" s="31">
        <f t="shared" si="59"/>
        <v>0</v>
      </c>
      <c r="BA568" s="31">
        <f t="shared" si="60"/>
        <v>0</v>
      </c>
      <c r="BB568" s="31">
        <f t="shared" si="61"/>
        <v>0</v>
      </c>
      <c r="BC568" s="31">
        <f t="shared" si="63"/>
        <v>0</v>
      </c>
    </row>
    <row r="569" spans="1:55" ht="28.5" customHeight="1">
      <c r="A569" s="32"/>
      <c r="B569" s="32"/>
      <c r="C569" s="32"/>
      <c r="D569" s="40"/>
      <c r="E569" s="39" t="s">
        <v>91</v>
      </c>
      <c r="F569" s="39" t="s">
        <v>92</v>
      </c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  <c r="AA569" s="29"/>
      <c r="AB569" s="29"/>
      <c r="AC569" s="29"/>
      <c r="AD569" s="29"/>
      <c r="AE569" s="29"/>
      <c r="AJ569"/>
      <c r="AK569"/>
      <c r="AL569"/>
      <c r="AM569"/>
      <c r="AN569"/>
      <c r="AO569"/>
      <c r="AP569"/>
      <c r="AQ569"/>
      <c r="AR569"/>
      <c r="AS569"/>
      <c r="AT569" s="4" t="str">
        <f t="shared" si="62"/>
        <v>运营费用办公费用</v>
      </c>
      <c r="AU569" s="4" t="str">
        <f t="shared" si="57"/>
        <v>企业业务支持部</v>
      </c>
      <c r="AV569" s="4" t="str">
        <f t="shared" si="58"/>
        <v>运营费用</v>
      </c>
      <c r="AW569" s="4" t="str">
        <f>IFERROR(VLOOKUP(AV569,[1]字段!A:B,2,0),"")</f>
        <v>运营费用</v>
      </c>
      <c r="AX569" s="30" t="str">
        <f>IF(AW569="人力费用",IF(E569="","",VLOOKUP(E569,[1]字段!D:E,2,0)),AW569)</f>
        <v>运营费用</v>
      </c>
      <c r="AY569" s="30" t="str">
        <f>IF(AT569="","",VLOOKUP(AT569,[1]字段!H:I,2,0))</f>
        <v>运营费用-运营其他</v>
      </c>
      <c r="AZ569" s="31">
        <f t="shared" si="59"/>
        <v>0</v>
      </c>
      <c r="BA569" s="31">
        <f t="shared" si="60"/>
        <v>0</v>
      </c>
      <c r="BB569" s="31">
        <f t="shared" si="61"/>
        <v>0</v>
      </c>
      <c r="BC569" s="31">
        <f t="shared" si="63"/>
        <v>0</v>
      </c>
    </row>
    <row r="570" spans="1:55" ht="28.5" customHeight="1">
      <c r="A570" s="32"/>
      <c r="B570" s="32"/>
      <c r="C570" s="32"/>
      <c r="D570" s="40"/>
      <c r="E570" s="39" t="s">
        <v>170</v>
      </c>
      <c r="F570" s="39" t="s">
        <v>171</v>
      </c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  <c r="AA570" s="29"/>
      <c r="AB570" s="29"/>
      <c r="AC570" s="29"/>
      <c r="AD570" s="29"/>
      <c r="AE570" s="29"/>
      <c r="AJ570"/>
      <c r="AK570"/>
      <c r="AL570"/>
      <c r="AM570"/>
      <c r="AN570"/>
      <c r="AO570"/>
      <c r="AP570"/>
      <c r="AQ570"/>
      <c r="AR570"/>
      <c r="AS570"/>
      <c r="AT570" s="4" t="str">
        <f t="shared" si="62"/>
        <v>运营费用技术服务费</v>
      </c>
      <c r="AU570" s="4" t="str">
        <f t="shared" si="57"/>
        <v>企业业务支持部</v>
      </c>
      <c r="AV570" s="4" t="str">
        <f t="shared" si="58"/>
        <v>运营费用</v>
      </c>
      <c r="AW570" s="4" t="str">
        <f>IFERROR(VLOOKUP(AV570,[1]字段!A:B,2,0),"")</f>
        <v>运营费用</v>
      </c>
      <c r="AX570" s="30" t="str">
        <f>IF(AW570="人力费用",IF(E570="","",VLOOKUP(E570,[1]字段!D:E,2,0)),AW570)</f>
        <v>运营费用</v>
      </c>
      <c r="AY570" s="30" t="str">
        <f>IF(AT570="","",VLOOKUP(AT570,[1]字段!H:I,2,0))</f>
        <v>运营费用-运营其他</v>
      </c>
      <c r="AZ570" s="31">
        <f t="shared" si="59"/>
        <v>0</v>
      </c>
      <c r="BA570" s="31">
        <f t="shared" si="60"/>
        <v>0</v>
      </c>
      <c r="BB570" s="31">
        <f t="shared" si="61"/>
        <v>0</v>
      </c>
      <c r="BC570" s="31">
        <f t="shared" si="63"/>
        <v>0</v>
      </c>
    </row>
    <row r="571" spans="1:55" ht="28.5" customHeight="1">
      <c r="A571" s="32"/>
      <c r="B571" s="32"/>
      <c r="C571" s="32"/>
      <c r="D571" s="40"/>
      <c r="E571" s="39" t="s">
        <v>172</v>
      </c>
      <c r="F571" s="39" t="s">
        <v>173</v>
      </c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  <c r="AA571" s="29"/>
      <c r="AB571" s="29"/>
      <c r="AC571" s="29"/>
      <c r="AD571" s="29"/>
      <c r="AE571" s="29"/>
      <c r="AJ571"/>
      <c r="AK571"/>
      <c r="AL571"/>
      <c r="AM571"/>
      <c r="AN571"/>
      <c r="AO571"/>
      <c r="AP571"/>
      <c r="AQ571"/>
      <c r="AR571"/>
      <c r="AS571"/>
      <c r="AT571" s="4" t="str">
        <f t="shared" si="62"/>
        <v>运营费用客服费</v>
      </c>
      <c r="AU571" s="4" t="str">
        <f t="shared" si="57"/>
        <v>企业业务支持部</v>
      </c>
      <c r="AV571" s="4" t="str">
        <f t="shared" si="58"/>
        <v>运营费用</v>
      </c>
      <c r="AW571" s="4" t="str">
        <f>IFERROR(VLOOKUP(AV571,[1]字段!A:B,2,0),"")</f>
        <v>运营费用</v>
      </c>
      <c r="AX571" s="30" t="str">
        <f>IF(AW571="人力费用",IF(E571="","",VLOOKUP(E571,[1]字段!D:E,2,0)),AW571)</f>
        <v>运营费用</v>
      </c>
      <c r="AY571" s="30" t="str">
        <f>IF(AT571="","",VLOOKUP(AT571,[1]字段!H:I,2,0))</f>
        <v>运营费用-客服费</v>
      </c>
      <c r="AZ571" s="31">
        <f t="shared" si="59"/>
        <v>0</v>
      </c>
      <c r="BA571" s="31">
        <f t="shared" si="60"/>
        <v>0</v>
      </c>
      <c r="BB571" s="31">
        <f t="shared" si="61"/>
        <v>0</v>
      </c>
      <c r="BC571" s="31">
        <f t="shared" si="63"/>
        <v>0</v>
      </c>
    </row>
    <row r="572" spans="1:55" ht="28.5" customHeight="1">
      <c r="A572" s="32"/>
      <c r="B572" s="32"/>
      <c r="C572" s="41"/>
      <c r="D572" s="42"/>
      <c r="E572" s="39" t="s">
        <v>83</v>
      </c>
      <c r="F572" s="39" t="s">
        <v>84</v>
      </c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  <c r="AA572" s="29"/>
      <c r="AB572" s="29"/>
      <c r="AC572" s="29"/>
      <c r="AD572" s="29"/>
      <c r="AE572" s="29"/>
      <c r="AJ572"/>
      <c r="AK572"/>
      <c r="AL572"/>
      <c r="AM572"/>
      <c r="AN572"/>
      <c r="AO572"/>
      <c r="AP572"/>
      <c r="AQ572"/>
      <c r="AR572"/>
      <c r="AS572"/>
      <c r="AT572" s="4" t="str">
        <f t="shared" si="62"/>
        <v>运营费用其他外包服务费</v>
      </c>
      <c r="AU572" s="4" t="str">
        <f t="shared" si="57"/>
        <v>企业业务支持部</v>
      </c>
      <c r="AV572" s="4" t="str">
        <f t="shared" si="58"/>
        <v>运营费用</v>
      </c>
      <c r="AW572" s="4" t="str">
        <f>IFERROR(VLOOKUP(AV572,[1]字段!A:B,2,0),"")</f>
        <v>运营费用</v>
      </c>
      <c r="AX572" s="30" t="str">
        <f>IF(AW572="人力费用",IF(E572="","",VLOOKUP(E572,[1]字段!D:E,2,0)),AW572)</f>
        <v>运营费用</v>
      </c>
      <c r="AY572" s="30" t="str">
        <f>IF(AT572="","",VLOOKUP(AT572,[1]字段!H:I,2,0))</f>
        <v>运营费用-外包服务费</v>
      </c>
      <c r="AZ572" s="31">
        <f t="shared" si="59"/>
        <v>0</v>
      </c>
      <c r="BA572" s="31">
        <f t="shared" si="60"/>
        <v>0</v>
      </c>
      <c r="BB572" s="31">
        <f t="shared" si="61"/>
        <v>0</v>
      </c>
      <c r="BC572" s="31">
        <f t="shared" si="63"/>
        <v>0</v>
      </c>
    </row>
    <row r="573" spans="1:55" ht="28.5" customHeight="1">
      <c r="C573" s="33" t="s">
        <v>65</v>
      </c>
      <c r="D573" s="34" t="s">
        <v>66</v>
      </c>
      <c r="E573" s="35"/>
      <c r="F573" s="36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  <c r="AA573" s="29"/>
      <c r="AB573" s="29"/>
      <c r="AC573" s="29"/>
      <c r="AD573" s="29"/>
      <c r="AE573" s="29"/>
      <c r="AJ573"/>
      <c r="AK573"/>
      <c r="AL573"/>
      <c r="AM573"/>
      <c r="AN573"/>
      <c r="AO573"/>
      <c r="AP573"/>
      <c r="AQ573"/>
      <c r="AR573"/>
      <c r="AS573"/>
      <c r="AT573" s="4" t="str">
        <f t="shared" si="62"/>
        <v>IT费用</v>
      </c>
      <c r="AU573" s="4" t="str">
        <f t="shared" si="57"/>
        <v>企业业务支持部</v>
      </c>
      <c r="AV573" s="4" t="str">
        <f t="shared" si="58"/>
        <v>IT科技费用</v>
      </c>
      <c r="AW573" s="4" t="str">
        <f>IFERROR(VLOOKUP(AV573,[1]字段!A:B,2,0),"")</f>
        <v>IT费用</v>
      </c>
      <c r="AX573" s="30" t="str">
        <f>IF(AW573="人力费用",IF(E573="","",VLOOKUP(E573,[1]字段!D:E,2,0)),AW573)</f>
        <v>IT费用</v>
      </c>
      <c r="AY573" s="30">
        <f>IF(AT573="","",VLOOKUP(AT573,[1]字段!H:I,2,0))</f>
        <v>0</v>
      </c>
      <c r="AZ573" s="31">
        <f t="shared" si="59"/>
        <v>0</v>
      </c>
      <c r="BA573" s="31">
        <f t="shared" si="60"/>
        <v>0</v>
      </c>
      <c r="BB573" s="31">
        <f t="shared" si="61"/>
        <v>0</v>
      </c>
      <c r="BC573" s="31">
        <f t="shared" si="63"/>
        <v>0</v>
      </c>
    </row>
    <row r="574" spans="1:55" ht="28.5" customHeight="1">
      <c r="A574" s="32"/>
      <c r="B574" s="32"/>
      <c r="C574" s="43"/>
      <c r="D574" s="43"/>
      <c r="E574" s="39" t="s">
        <v>71</v>
      </c>
      <c r="F574" s="39" t="s">
        <v>72</v>
      </c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  <c r="AA574" s="29"/>
      <c r="AB574" s="29"/>
      <c r="AC574" s="29"/>
      <c r="AD574" s="29"/>
      <c r="AE574" s="29"/>
      <c r="AJ574"/>
      <c r="AK574"/>
      <c r="AL574"/>
      <c r="AM574"/>
      <c r="AN574"/>
      <c r="AO574"/>
      <c r="AP574"/>
      <c r="AQ574"/>
      <c r="AR574"/>
      <c r="AS574"/>
      <c r="AT574" s="4" t="str">
        <f t="shared" si="62"/>
        <v>IT费用办公IT设备折旧费</v>
      </c>
      <c r="AU574" s="4" t="str">
        <f t="shared" si="57"/>
        <v>企业业务支持部</v>
      </c>
      <c r="AV574" s="4" t="str">
        <f t="shared" si="58"/>
        <v>IT科技费用</v>
      </c>
      <c r="AW574" s="4" t="str">
        <f>IFERROR(VLOOKUP(AV574,[1]字段!A:B,2,0),"")</f>
        <v>IT费用</v>
      </c>
      <c r="AX574" s="30" t="str">
        <f>IF(AW574="人力费用",IF(E574="","",VLOOKUP(E574,[1]字段!D:E,2,0)),AW574)</f>
        <v>IT费用</v>
      </c>
      <c r="AY574" s="30" t="str">
        <f>IF(AT574="","",VLOOKUP(AT574,[1]字段!H:I,2,0))</f>
        <v>IT费用</v>
      </c>
      <c r="AZ574" s="31">
        <f t="shared" si="59"/>
        <v>0</v>
      </c>
      <c r="BA574" s="31">
        <f t="shared" si="60"/>
        <v>0</v>
      </c>
      <c r="BB574" s="31">
        <f t="shared" si="61"/>
        <v>0</v>
      </c>
      <c r="BC574" s="31">
        <f t="shared" si="63"/>
        <v>0</v>
      </c>
    </row>
    <row r="575" spans="1:55" ht="28.5" customHeight="1">
      <c r="C575" s="33" t="s">
        <v>93</v>
      </c>
      <c r="D575" s="34" t="s">
        <v>94</v>
      </c>
      <c r="E575" s="35"/>
      <c r="F575" s="36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  <c r="AA575" s="29"/>
      <c r="AB575" s="29"/>
      <c r="AC575" s="29"/>
      <c r="AD575" s="29"/>
      <c r="AE575" s="29"/>
      <c r="AJ575"/>
      <c r="AK575"/>
      <c r="AL575"/>
      <c r="AM575"/>
      <c r="AN575"/>
      <c r="AO575"/>
      <c r="AP575"/>
      <c r="AQ575"/>
      <c r="AR575"/>
      <c r="AS575"/>
      <c r="AT575" s="4" t="str">
        <f t="shared" si="62"/>
        <v>日常费用</v>
      </c>
      <c r="AU575" s="4" t="str">
        <f t="shared" si="57"/>
        <v>企业业务支持部</v>
      </c>
      <c r="AV575" s="4" t="str">
        <f t="shared" si="58"/>
        <v>日常费用</v>
      </c>
      <c r="AW575" s="4" t="str">
        <f>IFERROR(VLOOKUP(AV575,[1]字段!A:B,2,0),"")</f>
        <v>日常费用</v>
      </c>
      <c r="AX575" s="30" t="str">
        <f>IF(AW575="人力费用",IF(E575="","",VLOOKUP(E575,[1]字段!D:E,2,0)),AW575)</f>
        <v>日常费用</v>
      </c>
      <c r="AY575" s="30">
        <f>IF(AT575="","",VLOOKUP(AT575,[1]字段!H:I,2,0))</f>
        <v>0</v>
      </c>
      <c r="AZ575" s="31">
        <f t="shared" si="59"/>
        <v>0</v>
      </c>
      <c r="BA575" s="31">
        <f t="shared" si="60"/>
        <v>0</v>
      </c>
      <c r="BB575" s="31">
        <f t="shared" si="61"/>
        <v>0</v>
      </c>
      <c r="BC575" s="31">
        <f t="shared" si="63"/>
        <v>0</v>
      </c>
    </row>
    <row r="576" spans="1:55" ht="28.5" customHeight="1">
      <c r="A576" s="32"/>
      <c r="B576" s="32"/>
      <c r="C576" s="37"/>
      <c r="D576" s="38"/>
      <c r="E576" s="39" t="s">
        <v>91</v>
      </c>
      <c r="F576" s="39" t="s">
        <v>92</v>
      </c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  <c r="AA576" s="29"/>
      <c r="AB576" s="29"/>
      <c r="AC576" s="29"/>
      <c r="AD576" s="29"/>
      <c r="AE576" s="29"/>
      <c r="AJ576"/>
      <c r="AK576"/>
      <c r="AL576"/>
      <c r="AM576"/>
      <c r="AN576"/>
      <c r="AO576"/>
      <c r="AP576"/>
      <c r="AQ576"/>
      <c r="AR576"/>
      <c r="AS576"/>
      <c r="AT576" s="4" t="str">
        <f t="shared" si="62"/>
        <v>日常费用办公费用</v>
      </c>
      <c r="AU576" s="4" t="str">
        <f t="shared" si="57"/>
        <v>企业业务支持部</v>
      </c>
      <c r="AV576" s="4" t="str">
        <f t="shared" si="58"/>
        <v>日常费用</v>
      </c>
      <c r="AW576" s="4" t="str">
        <f>IFERROR(VLOOKUP(AV576,[1]字段!A:B,2,0),"")</f>
        <v>日常费用</v>
      </c>
      <c r="AX576" s="30" t="str">
        <f>IF(AW576="人力费用",IF(E576="","",VLOOKUP(E576,[1]字段!D:E,2,0)),AW576)</f>
        <v>日常费用</v>
      </c>
      <c r="AY576" s="30" t="str">
        <f>IF(AT576="","",VLOOKUP(AT576,[1]字段!H:I,2,0))</f>
        <v>日常费用-其他</v>
      </c>
      <c r="AZ576" s="31">
        <f t="shared" si="59"/>
        <v>0</v>
      </c>
      <c r="BA576" s="31">
        <f t="shared" si="60"/>
        <v>0</v>
      </c>
      <c r="BB576" s="31">
        <f t="shared" si="61"/>
        <v>0</v>
      </c>
      <c r="BC576" s="31">
        <f t="shared" si="63"/>
        <v>0</v>
      </c>
    </row>
    <row r="577" spans="1:55" ht="28.5" customHeight="1">
      <c r="A577" s="32"/>
      <c r="B577" s="32"/>
      <c r="C577" s="32"/>
      <c r="D577" s="40"/>
      <c r="E577" s="39" t="s">
        <v>170</v>
      </c>
      <c r="F577" s="39" t="s">
        <v>171</v>
      </c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  <c r="AA577" s="29"/>
      <c r="AB577" s="29"/>
      <c r="AC577" s="29"/>
      <c r="AD577" s="29"/>
      <c r="AE577" s="29"/>
      <c r="AJ577"/>
      <c r="AK577"/>
      <c r="AL577"/>
      <c r="AM577"/>
      <c r="AN577"/>
      <c r="AO577"/>
      <c r="AP577"/>
      <c r="AQ577"/>
      <c r="AR577"/>
      <c r="AS577"/>
      <c r="AT577" s="4" t="str">
        <f t="shared" si="62"/>
        <v>日常费用技术服务费</v>
      </c>
      <c r="AU577" s="4" t="str">
        <f t="shared" si="57"/>
        <v>企业业务支持部</v>
      </c>
      <c r="AV577" s="4" t="str">
        <f t="shared" si="58"/>
        <v>日常费用</v>
      </c>
      <c r="AW577" s="4" t="str">
        <f>IFERROR(VLOOKUP(AV577,[1]字段!A:B,2,0),"")</f>
        <v>日常费用</v>
      </c>
      <c r="AX577" s="30" t="str">
        <f>IF(AW577="人力费用",IF(E577="","",VLOOKUP(E577,[1]字段!D:E,2,0)),AW577)</f>
        <v>日常费用</v>
      </c>
      <c r="AY577" s="30" t="str">
        <f>IF(AT577="","",VLOOKUP(AT577,[1]字段!H:I,2,0))</f>
        <v>日常费用-其他</v>
      </c>
      <c r="AZ577" s="31">
        <f t="shared" si="59"/>
        <v>0</v>
      </c>
      <c r="BA577" s="31">
        <f t="shared" si="60"/>
        <v>0</v>
      </c>
      <c r="BB577" s="31">
        <f t="shared" si="61"/>
        <v>0</v>
      </c>
      <c r="BC577" s="31">
        <f t="shared" si="63"/>
        <v>0</v>
      </c>
    </row>
    <row r="578" spans="1:55" ht="28.5" customHeight="1">
      <c r="A578" s="32"/>
      <c r="B578" s="32"/>
      <c r="C578" s="32"/>
      <c r="D578" s="40"/>
      <c r="E578" s="39" t="s">
        <v>95</v>
      </c>
      <c r="F578" s="39" t="s">
        <v>96</v>
      </c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  <c r="AA578" s="29"/>
      <c r="AB578" s="29"/>
      <c r="AC578" s="29"/>
      <c r="AD578" s="29"/>
      <c r="AE578" s="29"/>
      <c r="AJ578"/>
      <c r="AK578"/>
      <c r="AL578"/>
      <c r="AM578"/>
      <c r="AN578"/>
      <c r="AO578"/>
      <c r="AP578"/>
      <c r="AQ578"/>
      <c r="AR578"/>
      <c r="AS578"/>
      <c r="AT578" s="4" t="str">
        <f t="shared" si="62"/>
        <v>日常费用业务招待费</v>
      </c>
      <c r="AU578" s="4" t="str">
        <f t="shared" si="57"/>
        <v>企业业务支持部</v>
      </c>
      <c r="AV578" s="4" t="str">
        <f t="shared" si="58"/>
        <v>日常费用</v>
      </c>
      <c r="AW578" s="4" t="str">
        <f>IFERROR(VLOOKUP(AV578,[1]字段!A:B,2,0),"")</f>
        <v>日常费用</v>
      </c>
      <c r="AX578" s="30" t="str">
        <f>IF(AW578="人力费用",IF(E578="","",VLOOKUP(E578,[1]字段!D:E,2,0)),AW578)</f>
        <v>日常费用</v>
      </c>
      <c r="AY578" s="30" t="str">
        <f>IF(AT578="","",VLOOKUP(AT578,[1]字段!H:I,2,0))</f>
        <v>日常费用-其他</v>
      </c>
      <c r="AZ578" s="31">
        <f t="shared" si="59"/>
        <v>0</v>
      </c>
      <c r="BA578" s="31">
        <f t="shared" si="60"/>
        <v>0</v>
      </c>
      <c r="BB578" s="31">
        <f t="shared" si="61"/>
        <v>0</v>
      </c>
      <c r="BC578" s="31">
        <f t="shared" si="63"/>
        <v>0</v>
      </c>
    </row>
    <row r="579" spans="1:55" ht="28.5" customHeight="1">
      <c r="A579" s="32"/>
      <c r="B579" s="32"/>
      <c r="C579" s="32"/>
      <c r="D579" s="40"/>
      <c r="E579" s="39" t="s">
        <v>139</v>
      </c>
      <c r="F579" s="39" t="s">
        <v>140</v>
      </c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  <c r="AA579" s="29"/>
      <c r="AB579" s="29"/>
      <c r="AC579" s="29"/>
      <c r="AD579" s="29"/>
      <c r="AE579" s="29"/>
      <c r="AJ579"/>
      <c r="AK579"/>
      <c r="AL579"/>
      <c r="AM579"/>
      <c r="AN579"/>
      <c r="AO579"/>
      <c r="AP579"/>
      <c r="AQ579"/>
      <c r="AR579"/>
      <c r="AS579"/>
      <c r="AT579" s="4" t="str">
        <f t="shared" si="62"/>
        <v>日常费用差旅费</v>
      </c>
      <c r="AU579" s="4" t="str">
        <f t="shared" si="57"/>
        <v>企业业务支持部</v>
      </c>
      <c r="AV579" s="4" t="str">
        <f t="shared" si="58"/>
        <v>日常费用</v>
      </c>
      <c r="AW579" s="4" t="str">
        <f>IFERROR(VLOOKUP(AV579,[1]字段!A:B,2,0),"")</f>
        <v>日常费用</v>
      </c>
      <c r="AX579" s="30" t="str">
        <f>IF(AW579="人力费用",IF(E579="","",VLOOKUP(E579,[1]字段!D:E,2,0)),AW579)</f>
        <v>日常费用</v>
      </c>
      <c r="AY579" s="30" t="str">
        <f>IF(AT579="","",VLOOKUP(AT579,[1]字段!H:I,2,0))</f>
        <v>日常费用-其他</v>
      </c>
      <c r="AZ579" s="31">
        <f t="shared" si="59"/>
        <v>0</v>
      </c>
      <c r="BA579" s="31">
        <f t="shared" si="60"/>
        <v>0</v>
      </c>
      <c r="BB579" s="31">
        <f t="shared" si="61"/>
        <v>0</v>
      </c>
      <c r="BC579" s="31">
        <f t="shared" si="63"/>
        <v>0</v>
      </c>
    </row>
    <row r="580" spans="1:55" ht="28.5" customHeight="1">
      <c r="A580" s="41"/>
      <c r="B580" s="41"/>
      <c r="C580" s="41"/>
      <c r="D580" s="42"/>
      <c r="E580" s="39" t="s">
        <v>104</v>
      </c>
      <c r="F580" s="39" t="s">
        <v>105</v>
      </c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  <c r="AA580" s="29"/>
      <c r="AB580" s="29"/>
      <c r="AC580" s="29"/>
      <c r="AD580" s="29"/>
      <c r="AE580" s="29"/>
      <c r="AJ580"/>
      <c r="AK580"/>
      <c r="AL580"/>
      <c r="AM580"/>
      <c r="AN580"/>
      <c r="AO580"/>
      <c r="AP580"/>
      <c r="AQ580"/>
      <c r="AR580"/>
      <c r="AS580"/>
      <c r="AT580" s="4" t="str">
        <f t="shared" si="62"/>
        <v>日常费用会议费</v>
      </c>
      <c r="AU580" s="4" t="str">
        <f t="shared" si="57"/>
        <v>企业业务支持部</v>
      </c>
      <c r="AV580" s="4" t="str">
        <f t="shared" si="58"/>
        <v>日常费用</v>
      </c>
      <c r="AW580" s="4" t="str">
        <f>IFERROR(VLOOKUP(AV580,[1]字段!A:B,2,0),"")</f>
        <v>日常费用</v>
      </c>
      <c r="AX580" s="30" t="str">
        <f>IF(AW580="人力费用",IF(E580="","",VLOOKUP(E580,[1]字段!D:E,2,0)),AW580)</f>
        <v>日常费用</v>
      </c>
      <c r="AY580" s="30" t="str">
        <f>IF(AT580="","",VLOOKUP(AT580,[1]字段!H:I,2,0))</f>
        <v>日常费用-其他</v>
      </c>
      <c r="AZ580" s="31">
        <f t="shared" si="59"/>
        <v>0</v>
      </c>
      <c r="BA580" s="31">
        <f t="shared" si="60"/>
        <v>0</v>
      </c>
      <c r="BB580" s="31">
        <f t="shared" si="61"/>
        <v>0</v>
      </c>
      <c r="BC580" s="31">
        <f t="shared" si="63"/>
        <v>0</v>
      </c>
    </row>
    <row r="581" spans="1:55" ht="28.5" customHeight="1">
      <c r="A581" s="25"/>
      <c r="B581" s="26" t="s">
        <v>189</v>
      </c>
      <c r="C581" s="27"/>
      <c r="D581" s="27"/>
      <c r="E581" s="27"/>
      <c r="F581" s="28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  <c r="AA581" s="29"/>
      <c r="AB581" s="29"/>
      <c r="AC581" s="29"/>
      <c r="AD581" s="29"/>
      <c r="AE581" s="29"/>
      <c r="AJ581"/>
      <c r="AK581"/>
      <c r="AL581"/>
      <c r="AM581"/>
      <c r="AN581"/>
      <c r="AO581"/>
      <c r="AP581"/>
      <c r="AQ581"/>
      <c r="AR581"/>
      <c r="AS581"/>
      <c r="AT581" s="4" t="str">
        <f t="shared" si="62"/>
        <v/>
      </c>
      <c r="AU581" s="4" t="str">
        <f t="shared" ref="AU581:AU644" si="64">IF(B581="",AU580,B581)</f>
        <v>票据业务部</v>
      </c>
      <c r="AV581" s="4" t="str">
        <f t="shared" ref="AV581:AV644" si="65">IF(B581&lt;&gt;"","",IF(D581="",AV580,D581))</f>
        <v/>
      </c>
      <c r="AW581" s="4" t="str">
        <f>IFERROR(VLOOKUP(AV581,[1]字段!A:B,2,0),"")</f>
        <v/>
      </c>
      <c r="AX581" s="30" t="str">
        <f>IF(AW581="人力费用",IF(E581="","",VLOOKUP(E581,[1]字段!D:E,2,0)),AW581)</f>
        <v/>
      </c>
      <c r="AY581" s="30" t="str">
        <f>IF(AT581="","",VLOOKUP(AT581,[1]字段!H:I,2,0))</f>
        <v/>
      </c>
      <c r="AZ581" s="31">
        <f>IF($E581="",0,SUMIF($G$1:$AB$1,AZ$4,$G581:$AB581))</f>
        <v>0</v>
      </c>
      <c r="BA581" s="31">
        <f t="shared" ref="BA581:BA644" si="66">IF($E581="",0,SUMIF($G$1:$AE$1,BA$4,$G581:$AE581))</f>
        <v>0</v>
      </c>
      <c r="BB581" s="31">
        <f t="shared" ref="BB581:BB644" si="67">AZ581+BA581</f>
        <v>0</v>
      </c>
      <c r="BC581" s="31">
        <f t="shared" si="63"/>
        <v>0</v>
      </c>
    </row>
    <row r="582" spans="1:55" ht="28.5" customHeight="1">
      <c r="A582" s="32"/>
      <c r="B582" s="32"/>
      <c r="C582" s="33" t="s">
        <v>39</v>
      </c>
      <c r="D582" s="34" t="s">
        <v>40</v>
      </c>
      <c r="E582" s="35"/>
      <c r="F582" s="36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  <c r="AA582" s="29"/>
      <c r="AB582" s="29"/>
      <c r="AC582" s="29"/>
      <c r="AD582" s="29"/>
      <c r="AE582" s="29"/>
      <c r="AJ582"/>
      <c r="AK582"/>
      <c r="AL582"/>
      <c r="AM582"/>
      <c r="AN582"/>
      <c r="AO582"/>
      <c r="AP582"/>
      <c r="AQ582"/>
      <c r="AR582"/>
      <c r="AS582"/>
      <c r="AT582" s="4" t="str">
        <f t="shared" ref="AT582:AT645" si="68">AX582&amp;F582</f>
        <v/>
      </c>
      <c r="AU582" s="4" t="str">
        <f t="shared" si="64"/>
        <v>票据业务部</v>
      </c>
      <c r="AV582" s="4" t="str">
        <f t="shared" si="65"/>
        <v>人力费用</v>
      </c>
      <c r="AW582" s="4" t="str">
        <f>IFERROR(VLOOKUP(AV582,[1]字段!A:B,2,0),"")</f>
        <v>人力费用</v>
      </c>
      <c r="AX582" s="30" t="str">
        <f>IF(AW582="人力费用",IF(E582="","",VLOOKUP(E582,[1]字段!D:E,2,0)),AW582)</f>
        <v/>
      </c>
      <c r="AY582" s="30" t="str">
        <f>IF(AT582="","",VLOOKUP(AT582,[1]字段!H:I,2,0))</f>
        <v/>
      </c>
      <c r="AZ582" s="31">
        <f t="shared" ref="AZ582:AZ645" si="69">IF($E582="",0,SUMIF($G$1:$AB$1,AZ$4,$G582:$AB582))</f>
        <v>0</v>
      </c>
      <c r="BA582" s="31">
        <f t="shared" si="66"/>
        <v>0</v>
      </c>
      <c r="BB582" s="31">
        <f t="shared" si="67"/>
        <v>0</v>
      </c>
      <c r="BC582" s="31">
        <f t="shared" ref="BC582:BC645" si="70">IF(E582="",0,SUM(G582:AE582)-AZ582-BA582)</f>
        <v>0</v>
      </c>
    </row>
    <row r="583" spans="1:55" ht="28.5" customHeight="1">
      <c r="A583" s="32"/>
      <c r="B583" s="32"/>
      <c r="C583" s="37"/>
      <c r="D583" s="38"/>
      <c r="E583" s="39" t="s">
        <v>41</v>
      </c>
      <c r="F583" s="39" t="s">
        <v>42</v>
      </c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  <c r="AA583" s="29"/>
      <c r="AB583" s="29"/>
      <c r="AC583" s="29"/>
      <c r="AD583" s="29"/>
      <c r="AE583" s="29"/>
      <c r="AJ583"/>
      <c r="AK583"/>
      <c r="AL583"/>
      <c r="AM583"/>
      <c r="AN583"/>
      <c r="AO583"/>
      <c r="AP583"/>
      <c r="AQ583"/>
      <c r="AR583"/>
      <c r="AS583"/>
      <c r="AT583" s="4" t="str">
        <f t="shared" si="68"/>
        <v>1.0倍人力基础工资</v>
      </c>
      <c r="AU583" s="4" t="str">
        <f t="shared" si="64"/>
        <v>票据业务部</v>
      </c>
      <c r="AV583" s="4" t="str">
        <f t="shared" si="65"/>
        <v>人力费用</v>
      </c>
      <c r="AW583" s="4" t="str">
        <f>IFERROR(VLOOKUP(AV583,[1]字段!A:B,2,0),"")</f>
        <v>人力费用</v>
      </c>
      <c r="AX583" s="30" t="str">
        <f>IF(AW583="人力费用",IF(E583="","",VLOOKUP(E583,[1]字段!D:E,2,0)),AW583)</f>
        <v>1.0倍人力</v>
      </c>
      <c r="AY583" s="30" t="str">
        <f>IF(AT583="","",VLOOKUP(AT583,[1]字段!H:I,2,0))</f>
        <v>1.0倍人力</v>
      </c>
      <c r="AZ583" s="31">
        <f t="shared" si="69"/>
        <v>0</v>
      </c>
      <c r="BA583" s="31">
        <f t="shared" si="66"/>
        <v>0</v>
      </c>
      <c r="BB583" s="31">
        <f t="shared" si="67"/>
        <v>0</v>
      </c>
      <c r="BC583" s="31">
        <f t="shared" si="70"/>
        <v>0</v>
      </c>
    </row>
    <row r="584" spans="1:55" ht="28.5" customHeight="1">
      <c r="A584" s="32"/>
      <c r="B584" s="32"/>
      <c r="C584" s="32"/>
      <c r="D584" s="40"/>
      <c r="E584" s="39">
        <v>5501010602</v>
      </c>
      <c r="F584" s="3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  <c r="AA584" s="29"/>
      <c r="AB584" s="29"/>
      <c r="AC584" s="29"/>
      <c r="AD584" s="29"/>
      <c r="AE584" s="29"/>
      <c r="AJ584"/>
      <c r="AK584"/>
      <c r="AL584"/>
      <c r="AM584"/>
      <c r="AN584"/>
      <c r="AO584"/>
      <c r="AP584"/>
      <c r="AQ584"/>
      <c r="AR584"/>
      <c r="AS584"/>
      <c r="AT584" s="4" t="str">
        <f t="shared" si="68"/>
        <v>利润分享</v>
      </c>
      <c r="AU584" s="4" t="str">
        <f t="shared" si="64"/>
        <v>票据业务部</v>
      </c>
      <c r="AV584" s="4" t="str">
        <f t="shared" si="65"/>
        <v>人力费用</v>
      </c>
      <c r="AW584" s="4" t="str">
        <f>IFERROR(VLOOKUP(AV584,[1]字段!A:B,2,0),"")</f>
        <v>人力费用</v>
      </c>
      <c r="AX584" s="30" t="str">
        <f>IF(AW584="人力费用",IF(E584="","",VLOOKUP(E584,[1]字段!D:E,2,0)),AW584)</f>
        <v>利润分享</v>
      </c>
      <c r="AY584" s="30" t="str">
        <f>IF(AT584="","",VLOOKUP(AT584,[1]字段!H:I,2,0))</f>
        <v>利润分享</v>
      </c>
      <c r="AZ584" s="31">
        <f t="shared" si="69"/>
        <v>0</v>
      </c>
      <c r="BA584" s="31">
        <f t="shared" si="66"/>
        <v>0</v>
      </c>
      <c r="BB584" s="31">
        <f t="shared" si="67"/>
        <v>0</v>
      </c>
      <c r="BC584" s="31">
        <f t="shared" si="70"/>
        <v>0</v>
      </c>
    </row>
    <row r="585" spans="1:55" ht="28.5" customHeight="1">
      <c r="A585" s="32"/>
      <c r="B585" s="32"/>
      <c r="C585" s="32"/>
      <c r="D585" s="40"/>
      <c r="E585" s="39">
        <v>5501010603</v>
      </c>
      <c r="F585" s="3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  <c r="AA585" s="29"/>
      <c r="AB585" s="29"/>
      <c r="AC585" s="29"/>
      <c r="AD585" s="29"/>
      <c r="AE585" s="29"/>
      <c r="AJ585"/>
      <c r="AK585"/>
      <c r="AL585"/>
      <c r="AM585"/>
      <c r="AN585"/>
      <c r="AO585"/>
      <c r="AP585"/>
      <c r="AQ585"/>
      <c r="AR585"/>
      <c r="AS585"/>
      <c r="AT585" s="4" t="str">
        <f t="shared" si="68"/>
        <v>留任奖励</v>
      </c>
      <c r="AU585" s="4" t="str">
        <f t="shared" si="64"/>
        <v>票据业务部</v>
      </c>
      <c r="AV585" s="4" t="str">
        <f t="shared" si="65"/>
        <v>人力费用</v>
      </c>
      <c r="AW585" s="4" t="str">
        <f>IFERROR(VLOOKUP(AV585,[1]字段!A:B,2,0),"")</f>
        <v>人力费用</v>
      </c>
      <c r="AX585" s="30" t="str">
        <f>IF(AW585="人力费用",IF(E585="","",VLOOKUP(E585,[1]字段!D:E,2,0)),AW585)</f>
        <v>留任奖励</v>
      </c>
      <c r="AY585" s="30" t="str">
        <f>IF(AT585="","",VLOOKUP(AT585,[1]字段!H:I,2,0))</f>
        <v>留任奖励</v>
      </c>
      <c r="AZ585" s="31">
        <f t="shared" si="69"/>
        <v>0</v>
      </c>
      <c r="BA585" s="31">
        <f t="shared" si="66"/>
        <v>0</v>
      </c>
      <c r="BB585" s="31">
        <f t="shared" si="67"/>
        <v>0</v>
      </c>
      <c r="BC585" s="31">
        <f t="shared" si="70"/>
        <v>0</v>
      </c>
    </row>
    <row r="586" spans="1:55" ht="28.5" customHeight="1">
      <c r="A586" s="32"/>
      <c r="B586" s="32"/>
      <c r="C586" s="32"/>
      <c r="D586" s="40"/>
      <c r="E586" s="39">
        <v>5501010604</v>
      </c>
      <c r="F586" s="3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  <c r="AA586" s="29"/>
      <c r="AB586" s="29"/>
      <c r="AC586" s="29"/>
      <c r="AD586" s="29"/>
      <c r="AE586" s="29"/>
      <c r="AJ586"/>
      <c r="AK586"/>
      <c r="AL586"/>
      <c r="AM586"/>
      <c r="AN586"/>
      <c r="AO586"/>
      <c r="AP586"/>
      <c r="AQ586"/>
      <c r="AR586"/>
      <c r="AS586"/>
      <c r="AT586" s="4" t="str">
        <f t="shared" si="68"/>
        <v>1.0倍人力</v>
      </c>
      <c r="AU586" s="4" t="str">
        <f t="shared" si="64"/>
        <v>票据业务部</v>
      </c>
      <c r="AV586" s="4" t="str">
        <f t="shared" si="65"/>
        <v>人力费用</v>
      </c>
      <c r="AW586" s="4" t="str">
        <f>IFERROR(VLOOKUP(AV586,[1]字段!A:B,2,0),"")</f>
        <v>人力费用</v>
      </c>
      <c r="AX586" s="30" t="str">
        <f>IF(AW586="人力费用",IF(E586="","",VLOOKUP(E586,[1]字段!D:E,2,0)),AW586)</f>
        <v>1.0倍人力</v>
      </c>
      <c r="AY586" s="30" t="str">
        <f>IF(AT586="","",VLOOKUP(AT586,[1]字段!H:I,2,0))</f>
        <v>1.0倍人力</v>
      </c>
      <c r="AZ586" s="31">
        <f t="shared" si="69"/>
        <v>0</v>
      </c>
      <c r="BA586" s="31">
        <f t="shared" si="66"/>
        <v>0</v>
      </c>
      <c r="BB586" s="31">
        <f t="shared" si="67"/>
        <v>0</v>
      </c>
      <c r="BC586" s="31">
        <f t="shared" si="70"/>
        <v>0</v>
      </c>
    </row>
    <row r="587" spans="1:55" ht="28.5" customHeight="1">
      <c r="A587" s="32"/>
      <c r="B587" s="32"/>
      <c r="C587" s="32"/>
      <c r="D587" s="40"/>
      <c r="E587" s="39" t="s">
        <v>43</v>
      </c>
      <c r="F587" s="39" t="s">
        <v>44</v>
      </c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  <c r="AA587" s="29"/>
      <c r="AB587" s="29"/>
      <c r="AC587" s="29"/>
      <c r="AD587" s="29"/>
      <c r="AE587" s="29"/>
      <c r="AJ587"/>
      <c r="AK587"/>
      <c r="AL587"/>
      <c r="AM587"/>
      <c r="AN587"/>
      <c r="AO587"/>
      <c r="AP587"/>
      <c r="AQ587"/>
      <c r="AR587"/>
      <c r="AS587"/>
      <c r="AT587" s="4" t="str">
        <f t="shared" si="68"/>
        <v>1.0倍人力团队建设费</v>
      </c>
      <c r="AU587" s="4" t="str">
        <f t="shared" si="64"/>
        <v>票据业务部</v>
      </c>
      <c r="AV587" s="4" t="str">
        <f t="shared" si="65"/>
        <v>人力费用</v>
      </c>
      <c r="AW587" s="4" t="str">
        <f>IFERROR(VLOOKUP(AV587,[1]字段!A:B,2,0),"")</f>
        <v>人力费用</v>
      </c>
      <c r="AX587" s="30" t="str">
        <f>IF(AW587="人力费用",IF(E587="","",VLOOKUP(E587,[1]字段!D:E,2,0)),AW587)</f>
        <v>1.0倍人力</v>
      </c>
      <c r="AY587" s="30" t="str">
        <f>IF(AT587="","",VLOOKUP(AT587,[1]字段!H:I,2,0))</f>
        <v>1.0倍人力</v>
      </c>
      <c r="AZ587" s="31">
        <f t="shared" si="69"/>
        <v>0</v>
      </c>
      <c r="BA587" s="31">
        <f t="shared" si="66"/>
        <v>0</v>
      </c>
      <c r="BB587" s="31">
        <f t="shared" si="67"/>
        <v>0</v>
      </c>
      <c r="BC587" s="31">
        <f t="shared" si="70"/>
        <v>0</v>
      </c>
    </row>
    <row r="588" spans="1:55" ht="28.5" customHeight="1">
      <c r="A588" s="32"/>
      <c r="B588" s="32"/>
      <c r="C588" s="32"/>
      <c r="D588" s="40"/>
      <c r="E588" s="39" t="s">
        <v>45</v>
      </c>
      <c r="F588" s="39" t="s">
        <v>46</v>
      </c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  <c r="AA588" s="29"/>
      <c r="AB588" s="29"/>
      <c r="AC588" s="29"/>
      <c r="AD588" s="29"/>
      <c r="AE588" s="29"/>
      <c r="AJ588"/>
      <c r="AK588"/>
      <c r="AL588"/>
      <c r="AM588"/>
      <c r="AN588"/>
      <c r="AO588"/>
      <c r="AP588"/>
      <c r="AQ588"/>
      <c r="AR588"/>
      <c r="AS588"/>
      <c r="AT588" s="4" t="str">
        <f t="shared" si="68"/>
        <v>1.0倍人力其他职工福利费</v>
      </c>
      <c r="AU588" s="4" t="str">
        <f t="shared" si="64"/>
        <v>票据业务部</v>
      </c>
      <c r="AV588" s="4" t="str">
        <f t="shared" si="65"/>
        <v>人力费用</v>
      </c>
      <c r="AW588" s="4" t="str">
        <f>IFERROR(VLOOKUP(AV588,[1]字段!A:B,2,0),"")</f>
        <v>人力费用</v>
      </c>
      <c r="AX588" s="30" t="str">
        <f>IF(AW588="人力费用",IF(E588="","",VLOOKUP(E588,[1]字段!D:E,2,0)),AW588)</f>
        <v>1.0倍人力</v>
      </c>
      <c r="AY588" s="30" t="str">
        <f>IF(AT588="","",VLOOKUP(AT588,[1]字段!H:I,2,0))</f>
        <v>1.0倍人力</v>
      </c>
      <c r="AZ588" s="31">
        <f t="shared" si="69"/>
        <v>0</v>
      </c>
      <c r="BA588" s="31">
        <f t="shared" si="66"/>
        <v>0</v>
      </c>
      <c r="BB588" s="31">
        <f t="shared" si="67"/>
        <v>0</v>
      </c>
      <c r="BC588" s="31">
        <f t="shared" si="70"/>
        <v>0</v>
      </c>
    </row>
    <row r="589" spans="1:55" ht="28.5" customHeight="1">
      <c r="A589" s="32"/>
      <c r="B589" s="32"/>
      <c r="C589" s="32"/>
      <c r="D589" s="40"/>
      <c r="E589" s="39" t="s">
        <v>47</v>
      </c>
      <c r="F589" s="39" t="s">
        <v>48</v>
      </c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  <c r="AA589" s="29"/>
      <c r="AB589" s="29"/>
      <c r="AC589" s="29"/>
      <c r="AD589" s="29"/>
      <c r="AE589" s="29"/>
      <c r="AJ589"/>
      <c r="AK589"/>
      <c r="AL589"/>
      <c r="AM589"/>
      <c r="AN589"/>
      <c r="AO589"/>
      <c r="AP589"/>
      <c r="AQ589"/>
      <c r="AR589"/>
      <c r="AS589"/>
      <c r="AT589" s="4" t="str">
        <f t="shared" si="68"/>
        <v>1.0倍人力工会经费</v>
      </c>
      <c r="AU589" s="4" t="str">
        <f t="shared" si="64"/>
        <v>票据业务部</v>
      </c>
      <c r="AV589" s="4" t="str">
        <f t="shared" si="65"/>
        <v>人力费用</v>
      </c>
      <c r="AW589" s="4" t="str">
        <f>IFERROR(VLOOKUP(AV589,[1]字段!A:B,2,0),"")</f>
        <v>人力费用</v>
      </c>
      <c r="AX589" s="30" t="str">
        <f>IF(AW589="人力费用",IF(E589="","",VLOOKUP(E589,[1]字段!D:E,2,0)),AW589)</f>
        <v>1.0倍人力</v>
      </c>
      <c r="AY589" s="30" t="str">
        <f>IF(AT589="","",VLOOKUP(AT589,[1]字段!H:I,2,0))</f>
        <v>1.0倍人力</v>
      </c>
      <c r="AZ589" s="31">
        <f t="shared" si="69"/>
        <v>0</v>
      </c>
      <c r="BA589" s="31">
        <f t="shared" si="66"/>
        <v>0</v>
      </c>
      <c r="BB589" s="31">
        <f t="shared" si="67"/>
        <v>0</v>
      </c>
      <c r="BC589" s="31">
        <f t="shared" si="70"/>
        <v>0</v>
      </c>
    </row>
    <row r="590" spans="1:55" ht="28.5" customHeight="1">
      <c r="A590" s="32"/>
      <c r="B590" s="32"/>
      <c r="C590" s="32"/>
      <c r="D590" s="40"/>
      <c r="E590" s="39" t="s">
        <v>49</v>
      </c>
      <c r="F590" s="39" t="s">
        <v>50</v>
      </c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  <c r="AA590" s="29"/>
      <c r="AB590" s="29"/>
      <c r="AC590" s="29"/>
      <c r="AD590" s="29"/>
      <c r="AE590" s="29"/>
      <c r="AJ590"/>
      <c r="AK590"/>
      <c r="AL590"/>
      <c r="AM590"/>
      <c r="AN590"/>
      <c r="AO590"/>
      <c r="AP590"/>
      <c r="AQ590"/>
      <c r="AR590"/>
      <c r="AS590"/>
      <c r="AT590" s="4" t="str">
        <f t="shared" si="68"/>
        <v>1.0倍人力基本养老保险</v>
      </c>
      <c r="AU590" s="4" t="str">
        <f t="shared" si="64"/>
        <v>票据业务部</v>
      </c>
      <c r="AV590" s="4" t="str">
        <f t="shared" si="65"/>
        <v>人力费用</v>
      </c>
      <c r="AW590" s="4" t="str">
        <f>IFERROR(VLOOKUP(AV590,[1]字段!A:B,2,0),"")</f>
        <v>人力费用</v>
      </c>
      <c r="AX590" s="30" t="str">
        <f>IF(AW590="人力费用",IF(E590="","",VLOOKUP(E590,[1]字段!D:E,2,0)),AW590)</f>
        <v>1.0倍人力</v>
      </c>
      <c r="AY590" s="30" t="str">
        <f>IF(AT590="","",VLOOKUP(AT590,[1]字段!H:I,2,0))</f>
        <v>1.0倍人力</v>
      </c>
      <c r="AZ590" s="31">
        <f t="shared" si="69"/>
        <v>0</v>
      </c>
      <c r="BA590" s="31">
        <f t="shared" si="66"/>
        <v>0</v>
      </c>
      <c r="BB590" s="31">
        <f t="shared" si="67"/>
        <v>0</v>
      </c>
      <c r="BC590" s="31">
        <f t="shared" si="70"/>
        <v>0</v>
      </c>
    </row>
    <row r="591" spans="1:55" ht="28.5" customHeight="1">
      <c r="A591" s="32"/>
      <c r="B591" s="32"/>
      <c r="C591" s="32"/>
      <c r="D591" s="40"/>
      <c r="E591" s="39" t="s">
        <v>51</v>
      </c>
      <c r="F591" s="39" t="s">
        <v>52</v>
      </c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  <c r="AA591" s="29"/>
      <c r="AB591" s="29"/>
      <c r="AC591" s="29"/>
      <c r="AD591" s="29"/>
      <c r="AE591" s="29"/>
      <c r="AJ591"/>
      <c r="AK591"/>
      <c r="AL591"/>
      <c r="AM591"/>
      <c r="AN591"/>
      <c r="AO591"/>
      <c r="AP591"/>
      <c r="AQ591"/>
      <c r="AR591"/>
      <c r="AS591"/>
      <c r="AT591" s="4" t="str">
        <f t="shared" si="68"/>
        <v>1.0倍人力基本医疗保险</v>
      </c>
      <c r="AU591" s="4" t="str">
        <f t="shared" si="64"/>
        <v>票据业务部</v>
      </c>
      <c r="AV591" s="4" t="str">
        <f t="shared" si="65"/>
        <v>人力费用</v>
      </c>
      <c r="AW591" s="4" t="str">
        <f>IFERROR(VLOOKUP(AV591,[1]字段!A:B,2,0),"")</f>
        <v>人力费用</v>
      </c>
      <c r="AX591" s="30" t="str">
        <f>IF(AW591="人力费用",IF(E591="","",VLOOKUP(E591,[1]字段!D:E,2,0)),AW591)</f>
        <v>1.0倍人力</v>
      </c>
      <c r="AY591" s="30" t="str">
        <f>IF(AT591="","",VLOOKUP(AT591,[1]字段!H:I,2,0))</f>
        <v>1.0倍人力</v>
      </c>
      <c r="AZ591" s="31">
        <f t="shared" si="69"/>
        <v>0</v>
      </c>
      <c r="BA591" s="31">
        <f t="shared" si="66"/>
        <v>0</v>
      </c>
      <c r="BB591" s="31">
        <f t="shared" si="67"/>
        <v>0</v>
      </c>
      <c r="BC591" s="31">
        <f t="shared" si="70"/>
        <v>0</v>
      </c>
    </row>
    <row r="592" spans="1:55" ht="28.5" customHeight="1">
      <c r="A592" s="32"/>
      <c r="B592" s="32"/>
      <c r="C592" s="32"/>
      <c r="D592" s="40"/>
      <c r="E592" s="39" t="s">
        <v>53</v>
      </c>
      <c r="F592" s="39" t="s">
        <v>54</v>
      </c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  <c r="AA592" s="29"/>
      <c r="AB592" s="29"/>
      <c r="AC592" s="29"/>
      <c r="AD592" s="29"/>
      <c r="AE592" s="29"/>
      <c r="AJ592"/>
      <c r="AK592"/>
      <c r="AL592"/>
      <c r="AM592"/>
      <c r="AN592"/>
      <c r="AO592"/>
      <c r="AP592"/>
      <c r="AQ592"/>
      <c r="AR592"/>
      <c r="AS592"/>
      <c r="AT592" s="4" t="str">
        <f t="shared" si="68"/>
        <v>1.0倍人力工伤保险</v>
      </c>
      <c r="AU592" s="4" t="str">
        <f t="shared" si="64"/>
        <v>票据业务部</v>
      </c>
      <c r="AV592" s="4" t="str">
        <f t="shared" si="65"/>
        <v>人力费用</v>
      </c>
      <c r="AW592" s="4" t="str">
        <f>IFERROR(VLOOKUP(AV592,[1]字段!A:B,2,0),"")</f>
        <v>人力费用</v>
      </c>
      <c r="AX592" s="30" t="str">
        <f>IF(AW592="人力费用",IF(E592="","",VLOOKUP(E592,[1]字段!D:E,2,0)),AW592)</f>
        <v>1.0倍人力</v>
      </c>
      <c r="AY592" s="30" t="str">
        <f>IF(AT592="","",VLOOKUP(AT592,[1]字段!H:I,2,0))</f>
        <v>1.0倍人力</v>
      </c>
      <c r="AZ592" s="31">
        <f t="shared" si="69"/>
        <v>0</v>
      </c>
      <c r="BA592" s="31">
        <f t="shared" si="66"/>
        <v>0</v>
      </c>
      <c r="BB592" s="31">
        <f t="shared" si="67"/>
        <v>0</v>
      </c>
      <c r="BC592" s="31">
        <f t="shared" si="70"/>
        <v>0</v>
      </c>
    </row>
    <row r="593" spans="1:55" ht="28.5" customHeight="1">
      <c r="A593" s="32"/>
      <c r="B593" s="32"/>
      <c r="C593" s="32"/>
      <c r="D593" s="40"/>
      <c r="E593" s="39" t="s">
        <v>55</v>
      </c>
      <c r="F593" s="39" t="s">
        <v>56</v>
      </c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  <c r="AA593" s="29"/>
      <c r="AB593" s="29"/>
      <c r="AC593" s="29"/>
      <c r="AD593" s="29"/>
      <c r="AE593" s="29"/>
      <c r="AJ593"/>
      <c r="AK593"/>
      <c r="AL593"/>
      <c r="AM593"/>
      <c r="AN593"/>
      <c r="AO593"/>
      <c r="AP593"/>
      <c r="AQ593"/>
      <c r="AR593"/>
      <c r="AS593"/>
      <c r="AT593" s="4" t="str">
        <f t="shared" si="68"/>
        <v>1.0倍人力生育保险</v>
      </c>
      <c r="AU593" s="4" t="str">
        <f t="shared" si="64"/>
        <v>票据业务部</v>
      </c>
      <c r="AV593" s="4" t="str">
        <f t="shared" si="65"/>
        <v>人力费用</v>
      </c>
      <c r="AW593" s="4" t="str">
        <f>IFERROR(VLOOKUP(AV593,[1]字段!A:B,2,0),"")</f>
        <v>人力费用</v>
      </c>
      <c r="AX593" s="30" t="str">
        <f>IF(AW593="人力费用",IF(E593="","",VLOOKUP(E593,[1]字段!D:E,2,0)),AW593)</f>
        <v>1.0倍人力</v>
      </c>
      <c r="AY593" s="30" t="str">
        <f>IF(AT593="","",VLOOKUP(AT593,[1]字段!H:I,2,0))</f>
        <v>1.0倍人力</v>
      </c>
      <c r="AZ593" s="31">
        <f t="shared" si="69"/>
        <v>0</v>
      </c>
      <c r="BA593" s="31">
        <f t="shared" si="66"/>
        <v>0</v>
      </c>
      <c r="BB593" s="31">
        <f t="shared" si="67"/>
        <v>0</v>
      </c>
      <c r="BC593" s="31">
        <f t="shared" si="70"/>
        <v>0</v>
      </c>
    </row>
    <row r="594" spans="1:55" ht="28.5" customHeight="1">
      <c r="A594" s="32"/>
      <c r="B594" s="32"/>
      <c r="C594" s="32"/>
      <c r="D594" s="40"/>
      <c r="E594" s="39" t="s">
        <v>57</v>
      </c>
      <c r="F594" s="39" t="s">
        <v>58</v>
      </c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  <c r="AA594" s="29"/>
      <c r="AB594" s="29"/>
      <c r="AC594" s="29"/>
      <c r="AD594" s="29"/>
      <c r="AE594" s="29"/>
      <c r="AJ594"/>
      <c r="AK594"/>
      <c r="AL594"/>
      <c r="AM594"/>
      <c r="AN594"/>
      <c r="AO594"/>
      <c r="AP594"/>
      <c r="AQ594"/>
      <c r="AR594"/>
      <c r="AS594"/>
      <c r="AT594" s="4" t="str">
        <f t="shared" si="68"/>
        <v>1.0倍人力失业保险</v>
      </c>
      <c r="AU594" s="4" t="str">
        <f t="shared" si="64"/>
        <v>票据业务部</v>
      </c>
      <c r="AV594" s="4" t="str">
        <f t="shared" si="65"/>
        <v>人力费用</v>
      </c>
      <c r="AW594" s="4" t="str">
        <f>IFERROR(VLOOKUP(AV594,[1]字段!A:B,2,0),"")</f>
        <v>人力费用</v>
      </c>
      <c r="AX594" s="30" t="str">
        <f>IF(AW594="人力费用",IF(E594="","",VLOOKUP(E594,[1]字段!D:E,2,0)),AW594)</f>
        <v>1.0倍人力</v>
      </c>
      <c r="AY594" s="30" t="str">
        <f>IF(AT594="","",VLOOKUP(AT594,[1]字段!H:I,2,0))</f>
        <v>1.0倍人力</v>
      </c>
      <c r="AZ594" s="31">
        <f t="shared" si="69"/>
        <v>0</v>
      </c>
      <c r="BA594" s="31">
        <f t="shared" si="66"/>
        <v>0</v>
      </c>
      <c r="BB594" s="31">
        <f t="shared" si="67"/>
        <v>0</v>
      </c>
      <c r="BC594" s="31">
        <f t="shared" si="70"/>
        <v>0</v>
      </c>
    </row>
    <row r="595" spans="1:55" ht="28.5" customHeight="1">
      <c r="A595" s="32"/>
      <c r="B595" s="32"/>
      <c r="C595" s="41"/>
      <c r="D595" s="42"/>
      <c r="E595" s="39" t="s">
        <v>59</v>
      </c>
      <c r="F595" s="39" t="s">
        <v>60</v>
      </c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  <c r="AA595" s="29"/>
      <c r="AB595" s="29"/>
      <c r="AC595" s="29"/>
      <c r="AD595" s="29"/>
      <c r="AE595" s="29"/>
      <c r="AJ595"/>
      <c r="AK595"/>
      <c r="AL595"/>
      <c r="AM595"/>
      <c r="AN595"/>
      <c r="AO595"/>
      <c r="AP595"/>
      <c r="AQ595"/>
      <c r="AR595"/>
      <c r="AS595"/>
      <c r="AT595" s="4" t="str">
        <f t="shared" si="68"/>
        <v>1.0倍人力住房公积金</v>
      </c>
      <c r="AU595" s="4" t="str">
        <f t="shared" si="64"/>
        <v>票据业务部</v>
      </c>
      <c r="AV595" s="4" t="str">
        <f t="shared" si="65"/>
        <v>人力费用</v>
      </c>
      <c r="AW595" s="4" t="str">
        <f>IFERROR(VLOOKUP(AV595,[1]字段!A:B,2,0),"")</f>
        <v>人力费用</v>
      </c>
      <c r="AX595" s="30" t="str">
        <f>IF(AW595="人力费用",IF(E595="","",VLOOKUP(E595,[1]字段!D:E,2,0)),AW595)</f>
        <v>1.0倍人力</v>
      </c>
      <c r="AY595" s="30" t="str">
        <f>IF(AT595="","",VLOOKUP(AT595,[1]字段!H:I,2,0))</f>
        <v>1.0倍人力</v>
      </c>
      <c r="AZ595" s="31">
        <f t="shared" si="69"/>
        <v>0</v>
      </c>
      <c r="BA595" s="31">
        <f t="shared" si="66"/>
        <v>0</v>
      </c>
      <c r="BB595" s="31">
        <f t="shared" si="67"/>
        <v>0</v>
      </c>
      <c r="BC595" s="31">
        <f t="shared" si="70"/>
        <v>0</v>
      </c>
    </row>
    <row r="596" spans="1:55" ht="28.5" customHeight="1">
      <c r="C596" s="33" t="s">
        <v>162</v>
      </c>
      <c r="D596" s="34" t="s">
        <v>163</v>
      </c>
      <c r="E596" s="35"/>
      <c r="F596" s="36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  <c r="AA596" s="29"/>
      <c r="AB596" s="29"/>
      <c r="AC596" s="29"/>
      <c r="AD596" s="29"/>
      <c r="AE596" s="29"/>
      <c r="AJ596"/>
      <c r="AK596"/>
      <c r="AL596"/>
      <c r="AM596"/>
      <c r="AN596"/>
      <c r="AO596"/>
      <c r="AP596"/>
      <c r="AQ596"/>
      <c r="AR596"/>
      <c r="AS596"/>
      <c r="AT596" s="4" t="str">
        <f t="shared" si="68"/>
        <v>运营费用</v>
      </c>
      <c r="AU596" s="4" t="str">
        <f t="shared" si="64"/>
        <v>票据业务部</v>
      </c>
      <c r="AV596" s="4" t="str">
        <f t="shared" si="65"/>
        <v>运营费用</v>
      </c>
      <c r="AW596" s="4" t="str">
        <f>IFERROR(VLOOKUP(AV596,[1]字段!A:B,2,0),"")</f>
        <v>运营费用</v>
      </c>
      <c r="AX596" s="30" t="str">
        <f>IF(AW596="人力费用",IF(E596="","",VLOOKUP(E596,[1]字段!D:E,2,0)),AW596)</f>
        <v>运营费用</v>
      </c>
      <c r="AY596" s="30">
        <f>IF(AT596="","",VLOOKUP(AT596,[1]字段!H:I,2,0))</f>
        <v>0</v>
      </c>
      <c r="AZ596" s="31">
        <f t="shared" si="69"/>
        <v>0</v>
      </c>
      <c r="BA596" s="31">
        <f t="shared" si="66"/>
        <v>0</v>
      </c>
      <c r="BB596" s="31">
        <f t="shared" si="67"/>
        <v>0</v>
      </c>
      <c r="BC596" s="31">
        <f t="shared" si="70"/>
        <v>0</v>
      </c>
    </row>
    <row r="597" spans="1:55" ht="28.5" customHeight="1">
      <c r="A597" s="32"/>
      <c r="B597" s="32"/>
      <c r="C597" s="43"/>
      <c r="D597" s="43"/>
      <c r="E597" s="39" t="s">
        <v>83</v>
      </c>
      <c r="F597" s="39" t="s">
        <v>84</v>
      </c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  <c r="AA597" s="29"/>
      <c r="AB597" s="29"/>
      <c r="AC597" s="29"/>
      <c r="AD597" s="29"/>
      <c r="AE597" s="29"/>
      <c r="AJ597"/>
      <c r="AK597"/>
      <c r="AL597"/>
      <c r="AM597"/>
      <c r="AN597"/>
      <c r="AO597"/>
      <c r="AP597"/>
      <c r="AQ597"/>
      <c r="AR597"/>
      <c r="AS597"/>
      <c r="AT597" s="4" t="str">
        <f t="shared" si="68"/>
        <v>运营费用其他外包服务费</v>
      </c>
      <c r="AU597" s="4" t="str">
        <f t="shared" si="64"/>
        <v>票据业务部</v>
      </c>
      <c r="AV597" s="4" t="str">
        <f t="shared" si="65"/>
        <v>运营费用</v>
      </c>
      <c r="AW597" s="4" t="str">
        <f>IFERROR(VLOOKUP(AV597,[1]字段!A:B,2,0),"")</f>
        <v>运营费用</v>
      </c>
      <c r="AX597" s="30" t="str">
        <f>IF(AW597="人力费用",IF(E597="","",VLOOKUP(E597,[1]字段!D:E,2,0)),AW597)</f>
        <v>运营费用</v>
      </c>
      <c r="AY597" s="30" t="str">
        <f>IF(AT597="","",VLOOKUP(AT597,[1]字段!H:I,2,0))</f>
        <v>运营费用-外包服务费</v>
      </c>
      <c r="AZ597" s="31">
        <f t="shared" si="69"/>
        <v>0</v>
      </c>
      <c r="BA597" s="31">
        <f t="shared" si="66"/>
        <v>0</v>
      </c>
      <c r="BB597" s="31">
        <f t="shared" si="67"/>
        <v>0</v>
      </c>
      <c r="BC597" s="31">
        <f t="shared" si="70"/>
        <v>0</v>
      </c>
    </row>
    <row r="598" spans="1:55" ht="28.5" customHeight="1">
      <c r="C598" s="33" t="s">
        <v>93</v>
      </c>
      <c r="D598" s="34" t="s">
        <v>94</v>
      </c>
      <c r="E598" s="35"/>
      <c r="F598" s="36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  <c r="AA598" s="29"/>
      <c r="AB598" s="29"/>
      <c r="AC598" s="29"/>
      <c r="AD598" s="29"/>
      <c r="AE598" s="29"/>
      <c r="AJ598"/>
      <c r="AK598"/>
      <c r="AL598"/>
      <c r="AM598"/>
      <c r="AN598"/>
      <c r="AO598"/>
      <c r="AP598"/>
      <c r="AQ598"/>
      <c r="AR598"/>
      <c r="AS598"/>
      <c r="AT598" s="4" t="str">
        <f t="shared" si="68"/>
        <v>日常费用</v>
      </c>
      <c r="AU598" s="4" t="str">
        <f t="shared" si="64"/>
        <v>票据业务部</v>
      </c>
      <c r="AV598" s="4" t="str">
        <f t="shared" si="65"/>
        <v>日常费用</v>
      </c>
      <c r="AW598" s="4" t="str">
        <f>IFERROR(VLOOKUP(AV598,[1]字段!A:B,2,0),"")</f>
        <v>日常费用</v>
      </c>
      <c r="AX598" s="30" t="str">
        <f>IF(AW598="人力费用",IF(E598="","",VLOOKUP(E598,[1]字段!D:E,2,0)),AW598)</f>
        <v>日常费用</v>
      </c>
      <c r="AY598" s="30">
        <f>IF(AT598="","",VLOOKUP(AT598,[1]字段!H:I,2,0))</f>
        <v>0</v>
      </c>
      <c r="AZ598" s="31">
        <f t="shared" si="69"/>
        <v>0</v>
      </c>
      <c r="BA598" s="31">
        <f t="shared" si="66"/>
        <v>0</v>
      </c>
      <c r="BB598" s="31">
        <f t="shared" si="67"/>
        <v>0</v>
      </c>
      <c r="BC598" s="31">
        <f t="shared" si="70"/>
        <v>0</v>
      </c>
    </row>
    <row r="599" spans="1:55" ht="28.5" customHeight="1">
      <c r="A599" s="32"/>
      <c r="B599" s="32"/>
      <c r="C599" s="37"/>
      <c r="D599" s="38"/>
      <c r="E599" s="39" t="s">
        <v>95</v>
      </c>
      <c r="F599" s="39" t="s">
        <v>96</v>
      </c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  <c r="AA599" s="29"/>
      <c r="AB599" s="29"/>
      <c r="AC599" s="29"/>
      <c r="AD599" s="29"/>
      <c r="AE599" s="29"/>
      <c r="AJ599"/>
      <c r="AK599"/>
      <c r="AL599"/>
      <c r="AM599"/>
      <c r="AN599"/>
      <c r="AO599"/>
      <c r="AP599"/>
      <c r="AQ599"/>
      <c r="AR599"/>
      <c r="AS599"/>
      <c r="AT599" s="4" t="str">
        <f t="shared" si="68"/>
        <v>日常费用业务招待费</v>
      </c>
      <c r="AU599" s="4" t="str">
        <f t="shared" si="64"/>
        <v>票据业务部</v>
      </c>
      <c r="AV599" s="4" t="str">
        <f t="shared" si="65"/>
        <v>日常费用</v>
      </c>
      <c r="AW599" s="4" t="str">
        <f>IFERROR(VLOOKUP(AV599,[1]字段!A:B,2,0),"")</f>
        <v>日常费用</v>
      </c>
      <c r="AX599" s="30" t="str">
        <f>IF(AW599="人力费用",IF(E599="","",VLOOKUP(E599,[1]字段!D:E,2,0)),AW599)</f>
        <v>日常费用</v>
      </c>
      <c r="AY599" s="30" t="str">
        <f>IF(AT599="","",VLOOKUP(AT599,[1]字段!H:I,2,0))</f>
        <v>日常费用-其他</v>
      </c>
      <c r="AZ599" s="31">
        <f t="shared" si="69"/>
        <v>0</v>
      </c>
      <c r="BA599" s="31">
        <f t="shared" si="66"/>
        <v>0</v>
      </c>
      <c r="BB599" s="31">
        <f t="shared" si="67"/>
        <v>0</v>
      </c>
      <c r="BC599" s="31">
        <f t="shared" si="70"/>
        <v>0</v>
      </c>
    </row>
    <row r="600" spans="1:55" ht="28.5" customHeight="1">
      <c r="A600" s="41"/>
      <c r="B600" s="41"/>
      <c r="C600" s="41"/>
      <c r="D600" s="42"/>
      <c r="E600" s="39" t="s">
        <v>139</v>
      </c>
      <c r="F600" s="39" t="s">
        <v>140</v>
      </c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  <c r="AA600" s="29"/>
      <c r="AB600" s="29"/>
      <c r="AC600" s="29"/>
      <c r="AD600" s="29"/>
      <c r="AE600" s="29"/>
      <c r="AJ600"/>
      <c r="AK600"/>
      <c r="AL600"/>
      <c r="AM600"/>
      <c r="AN600"/>
      <c r="AO600"/>
      <c r="AP600"/>
      <c r="AQ600"/>
      <c r="AR600"/>
      <c r="AS600"/>
      <c r="AT600" s="4" t="str">
        <f t="shared" si="68"/>
        <v>日常费用差旅费</v>
      </c>
      <c r="AU600" s="4" t="str">
        <f t="shared" si="64"/>
        <v>票据业务部</v>
      </c>
      <c r="AV600" s="4" t="str">
        <f t="shared" si="65"/>
        <v>日常费用</v>
      </c>
      <c r="AW600" s="4" t="str">
        <f>IFERROR(VLOOKUP(AV600,[1]字段!A:B,2,0),"")</f>
        <v>日常费用</v>
      </c>
      <c r="AX600" s="30" t="str">
        <f>IF(AW600="人力费用",IF(E600="","",VLOOKUP(E600,[1]字段!D:E,2,0)),AW600)</f>
        <v>日常费用</v>
      </c>
      <c r="AY600" s="30" t="str">
        <f>IF(AT600="","",VLOOKUP(AT600,[1]字段!H:I,2,0))</f>
        <v>日常费用-其他</v>
      </c>
      <c r="AZ600" s="31">
        <f t="shared" si="69"/>
        <v>0</v>
      </c>
      <c r="BA600" s="31">
        <f t="shared" si="66"/>
        <v>0</v>
      </c>
      <c r="BB600" s="31">
        <f t="shared" si="67"/>
        <v>0</v>
      </c>
      <c r="BC600" s="31">
        <f t="shared" si="70"/>
        <v>0</v>
      </c>
    </row>
    <row r="601" spans="1:55" ht="28.5" customHeight="1">
      <c r="A601" s="25"/>
      <c r="B601" s="26" t="s">
        <v>190</v>
      </c>
      <c r="C601" s="27"/>
      <c r="D601" s="27"/>
      <c r="E601" s="27"/>
      <c r="F601" s="28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  <c r="AA601" s="29"/>
      <c r="AB601" s="29"/>
      <c r="AC601" s="29"/>
      <c r="AD601" s="29"/>
      <c r="AE601" s="29"/>
      <c r="AJ601"/>
      <c r="AK601"/>
      <c r="AL601"/>
      <c r="AM601"/>
      <c r="AN601"/>
      <c r="AO601"/>
      <c r="AP601"/>
      <c r="AQ601"/>
      <c r="AR601"/>
      <c r="AS601"/>
      <c r="AT601" s="4" t="str">
        <f t="shared" si="68"/>
        <v/>
      </c>
      <c r="AU601" s="4" t="str">
        <f t="shared" si="64"/>
        <v>企业数字营销部</v>
      </c>
      <c r="AV601" s="4" t="str">
        <f t="shared" si="65"/>
        <v/>
      </c>
      <c r="AW601" s="4" t="str">
        <f>IFERROR(VLOOKUP(AV601,[1]字段!A:B,2,0),"")</f>
        <v/>
      </c>
      <c r="AX601" s="30" t="str">
        <f>IF(AW601="人力费用",IF(E601="","",VLOOKUP(E601,[1]字段!D:E,2,0)),AW601)</f>
        <v/>
      </c>
      <c r="AY601" s="30" t="str">
        <f>IF(AT601="","",VLOOKUP(AT601,[1]字段!H:I,2,0))</f>
        <v/>
      </c>
      <c r="AZ601" s="31">
        <f t="shared" si="69"/>
        <v>0</v>
      </c>
      <c r="BA601" s="31">
        <f t="shared" si="66"/>
        <v>0</v>
      </c>
      <c r="BB601" s="31">
        <f t="shared" si="67"/>
        <v>0</v>
      </c>
      <c r="BC601" s="31">
        <f t="shared" si="70"/>
        <v>0</v>
      </c>
    </row>
    <row r="602" spans="1:55" ht="28.5" customHeight="1">
      <c r="A602" s="32"/>
      <c r="B602" s="32"/>
      <c r="C602" s="33" t="s">
        <v>39</v>
      </c>
      <c r="D602" s="34" t="s">
        <v>40</v>
      </c>
      <c r="E602" s="35"/>
      <c r="F602" s="36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  <c r="AA602" s="29"/>
      <c r="AB602" s="29"/>
      <c r="AC602" s="29"/>
      <c r="AD602" s="29"/>
      <c r="AE602" s="29"/>
      <c r="AJ602"/>
      <c r="AK602"/>
      <c r="AL602"/>
      <c r="AM602"/>
      <c r="AN602"/>
      <c r="AO602"/>
      <c r="AP602"/>
      <c r="AQ602"/>
      <c r="AR602"/>
      <c r="AS602"/>
      <c r="AT602" s="4" t="str">
        <f t="shared" si="68"/>
        <v/>
      </c>
      <c r="AU602" s="4" t="str">
        <f t="shared" si="64"/>
        <v>企业数字营销部</v>
      </c>
      <c r="AV602" s="4" t="str">
        <f t="shared" si="65"/>
        <v>人力费用</v>
      </c>
      <c r="AW602" s="4" t="str">
        <f>IFERROR(VLOOKUP(AV602,[1]字段!A:B,2,0),"")</f>
        <v>人力费用</v>
      </c>
      <c r="AX602" s="30" t="str">
        <f>IF(AW602="人力费用",IF(E602="","",VLOOKUP(E602,[1]字段!D:E,2,0)),AW602)</f>
        <v/>
      </c>
      <c r="AY602" s="30" t="str">
        <f>IF(AT602="","",VLOOKUP(AT602,[1]字段!H:I,2,0))</f>
        <v/>
      </c>
      <c r="AZ602" s="31">
        <f t="shared" si="69"/>
        <v>0</v>
      </c>
      <c r="BA602" s="31">
        <f t="shared" si="66"/>
        <v>0</v>
      </c>
      <c r="BB602" s="31">
        <f t="shared" si="67"/>
        <v>0</v>
      </c>
      <c r="BC602" s="31">
        <f t="shared" si="70"/>
        <v>0</v>
      </c>
    </row>
    <row r="603" spans="1:55" ht="28.5" customHeight="1">
      <c r="A603" s="32"/>
      <c r="B603" s="32"/>
      <c r="C603" s="37"/>
      <c r="D603" s="38"/>
      <c r="E603" s="39" t="s">
        <v>41</v>
      </c>
      <c r="F603" s="39" t="s">
        <v>42</v>
      </c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  <c r="AA603" s="29"/>
      <c r="AB603" s="29"/>
      <c r="AC603" s="29"/>
      <c r="AD603" s="29"/>
      <c r="AE603" s="29"/>
      <c r="AJ603"/>
      <c r="AK603"/>
      <c r="AL603"/>
      <c r="AM603"/>
      <c r="AN603"/>
      <c r="AO603"/>
      <c r="AP603"/>
      <c r="AQ603"/>
      <c r="AR603"/>
      <c r="AS603"/>
      <c r="AT603" s="4" t="str">
        <f t="shared" si="68"/>
        <v>1.0倍人力基础工资</v>
      </c>
      <c r="AU603" s="4" t="str">
        <f t="shared" si="64"/>
        <v>企业数字营销部</v>
      </c>
      <c r="AV603" s="4" t="str">
        <f t="shared" si="65"/>
        <v>人力费用</v>
      </c>
      <c r="AW603" s="4" t="str">
        <f>IFERROR(VLOOKUP(AV603,[1]字段!A:B,2,0),"")</f>
        <v>人力费用</v>
      </c>
      <c r="AX603" s="30" t="str">
        <f>IF(AW603="人力费用",IF(E603="","",VLOOKUP(E603,[1]字段!D:E,2,0)),AW603)</f>
        <v>1.0倍人力</v>
      </c>
      <c r="AY603" s="30" t="str">
        <f>IF(AT603="","",VLOOKUP(AT603,[1]字段!H:I,2,0))</f>
        <v>1.0倍人力</v>
      </c>
      <c r="AZ603" s="31">
        <f t="shared" si="69"/>
        <v>0</v>
      </c>
      <c r="BA603" s="31">
        <f t="shared" si="66"/>
        <v>0</v>
      </c>
      <c r="BB603" s="31">
        <f t="shared" si="67"/>
        <v>0</v>
      </c>
      <c r="BC603" s="31">
        <f t="shared" si="70"/>
        <v>0</v>
      </c>
    </row>
    <row r="604" spans="1:55" ht="28.5" customHeight="1">
      <c r="A604" s="32"/>
      <c r="B604" s="32"/>
      <c r="C604" s="32"/>
      <c r="D604" s="40"/>
      <c r="E604" s="39">
        <v>5501010602</v>
      </c>
      <c r="F604" s="3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  <c r="AA604" s="29"/>
      <c r="AB604" s="29"/>
      <c r="AC604" s="29"/>
      <c r="AD604" s="29"/>
      <c r="AE604" s="29"/>
      <c r="AJ604"/>
      <c r="AK604"/>
      <c r="AL604"/>
      <c r="AM604"/>
      <c r="AN604"/>
      <c r="AO604"/>
      <c r="AP604"/>
      <c r="AQ604"/>
      <c r="AR604"/>
      <c r="AS604"/>
      <c r="AT604" s="4" t="str">
        <f t="shared" si="68"/>
        <v>利润分享</v>
      </c>
      <c r="AU604" s="4" t="str">
        <f t="shared" si="64"/>
        <v>企业数字营销部</v>
      </c>
      <c r="AV604" s="4" t="str">
        <f t="shared" si="65"/>
        <v>人力费用</v>
      </c>
      <c r="AW604" s="4" t="str">
        <f>IFERROR(VLOOKUP(AV604,[1]字段!A:B,2,0),"")</f>
        <v>人力费用</v>
      </c>
      <c r="AX604" s="30" t="str">
        <f>IF(AW604="人力费用",IF(E604="","",VLOOKUP(E604,[1]字段!D:E,2,0)),AW604)</f>
        <v>利润分享</v>
      </c>
      <c r="AY604" s="30" t="str">
        <f>IF(AT604="","",VLOOKUP(AT604,[1]字段!H:I,2,0))</f>
        <v>利润分享</v>
      </c>
      <c r="AZ604" s="31">
        <f t="shared" si="69"/>
        <v>0</v>
      </c>
      <c r="BA604" s="31">
        <f t="shared" si="66"/>
        <v>0</v>
      </c>
      <c r="BB604" s="31">
        <f t="shared" si="67"/>
        <v>0</v>
      </c>
      <c r="BC604" s="31">
        <f t="shared" si="70"/>
        <v>0</v>
      </c>
    </row>
    <row r="605" spans="1:55" ht="28.5" customHeight="1">
      <c r="A605" s="32"/>
      <c r="B605" s="32"/>
      <c r="C605" s="32"/>
      <c r="D605" s="40"/>
      <c r="E605" s="39">
        <v>5501010603</v>
      </c>
      <c r="F605" s="3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  <c r="AA605" s="29"/>
      <c r="AB605" s="29"/>
      <c r="AC605" s="29"/>
      <c r="AD605" s="29"/>
      <c r="AE605" s="29"/>
      <c r="AJ605"/>
      <c r="AK605"/>
      <c r="AL605"/>
      <c r="AM605"/>
      <c r="AN605"/>
      <c r="AO605"/>
      <c r="AP605"/>
      <c r="AQ605"/>
      <c r="AR605"/>
      <c r="AS605"/>
      <c r="AT605" s="4" t="str">
        <f t="shared" si="68"/>
        <v>留任奖励</v>
      </c>
      <c r="AU605" s="4" t="str">
        <f t="shared" si="64"/>
        <v>企业数字营销部</v>
      </c>
      <c r="AV605" s="4" t="str">
        <f t="shared" si="65"/>
        <v>人力费用</v>
      </c>
      <c r="AW605" s="4" t="str">
        <f>IFERROR(VLOOKUP(AV605,[1]字段!A:B,2,0),"")</f>
        <v>人力费用</v>
      </c>
      <c r="AX605" s="30" t="str">
        <f>IF(AW605="人力费用",IF(E605="","",VLOOKUP(E605,[1]字段!D:E,2,0)),AW605)</f>
        <v>留任奖励</v>
      </c>
      <c r="AY605" s="30" t="str">
        <f>IF(AT605="","",VLOOKUP(AT605,[1]字段!H:I,2,0))</f>
        <v>留任奖励</v>
      </c>
      <c r="AZ605" s="31">
        <f t="shared" si="69"/>
        <v>0</v>
      </c>
      <c r="BA605" s="31">
        <f t="shared" si="66"/>
        <v>0</v>
      </c>
      <c r="BB605" s="31">
        <f t="shared" si="67"/>
        <v>0</v>
      </c>
      <c r="BC605" s="31">
        <f t="shared" si="70"/>
        <v>0</v>
      </c>
    </row>
    <row r="606" spans="1:55" ht="28.5" customHeight="1">
      <c r="A606" s="32"/>
      <c r="B606" s="32"/>
      <c r="C606" s="32"/>
      <c r="D606" s="40"/>
      <c r="E606" s="39">
        <v>5501010604</v>
      </c>
      <c r="F606" s="3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  <c r="AA606" s="29"/>
      <c r="AB606" s="29"/>
      <c r="AC606" s="29"/>
      <c r="AD606" s="29"/>
      <c r="AE606" s="29"/>
      <c r="AJ606"/>
      <c r="AK606"/>
      <c r="AL606"/>
      <c r="AM606"/>
      <c r="AN606"/>
      <c r="AO606"/>
      <c r="AP606"/>
      <c r="AQ606"/>
      <c r="AR606"/>
      <c r="AS606"/>
      <c r="AT606" s="4" t="str">
        <f t="shared" si="68"/>
        <v>1.0倍人力</v>
      </c>
      <c r="AU606" s="4" t="str">
        <f t="shared" si="64"/>
        <v>企业数字营销部</v>
      </c>
      <c r="AV606" s="4" t="str">
        <f t="shared" si="65"/>
        <v>人力费用</v>
      </c>
      <c r="AW606" s="4" t="str">
        <f>IFERROR(VLOOKUP(AV606,[1]字段!A:B,2,0),"")</f>
        <v>人力费用</v>
      </c>
      <c r="AX606" s="30" t="str">
        <f>IF(AW606="人力费用",IF(E606="","",VLOOKUP(E606,[1]字段!D:E,2,0)),AW606)</f>
        <v>1.0倍人力</v>
      </c>
      <c r="AY606" s="30" t="str">
        <f>IF(AT606="","",VLOOKUP(AT606,[1]字段!H:I,2,0))</f>
        <v>1.0倍人力</v>
      </c>
      <c r="AZ606" s="31">
        <f t="shared" si="69"/>
        <v>0</v>
      </c>
      <c r="BA606" s="31">
        <f t="shared" si="66"/>
        <v>0</v>
      </c>
      <c r="BB606" s="31">
        <f t="shared" si="67"/>
        <v>0</v>
      </c>
      <c r="BC606" s="31">
        <f t="shared" si="70"/>
        <v>0</v>
      </c>
    </row>
    <row r="607" spans="1:55" ht="28.5" customHeight="1">
      <c r="A607" s="32"/>
      <c r="B607" s="32"/>
      <c r="C607" s="32"/>
      <c r="D607" s="40"/>
      <c r="E607" s="39" t="s">
        <v>43</v>
      </c>
      <c r="F607" s="39" t="s">
        <v>44</v>
      </c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  <c r="AA607" s="29"/>
      <c r="AB607" s="29"/>
      <c r="AC607" s="29"/>
      <c r="AD607" s="29"/>
      <c r="AE607" s="29"/>
      <c r="AJ607"/>
      <c r="AK607"/>
      <c r="AL607"/>
      <c r="AM607"/>
      <c r="AN607"/>
      <c r="AO607"/>
      <c r="AP607"/>
      <c r="AQ607"/>
      <c r="AR607"/>
      <c r="AS607"/>
      <c r="AT607" s="4" t="str">
        <f t="shared" si="68"/>
        <v>1.0倍人力团队建设费</v>
      </c>
      <c r="AU607" s="4" t="str">
        <f t="shared" si="64"/>
        <v>企业数字营销部</v>
      </c>
      <c r="AV607" s="4" t="str">
        <f t="shared" si="65"/>
        <v>人力费用</v>
      </c>
      <c r="AW607" s="4" t="str">
        <f>IFERROR(VLOOKUP(AV607,[1]字段!A:B,2,0),"")</f>
        <v>人力费用</v>
      </c>
      <c r="AX607" s="30" t="str">
        <f>IF(AW607="人力费用",IF(E607="","",VLOOKUP(E607,[1]字段!D:E,2,0)),AW607)</f>
        <v>1.0倍人力</v>
      </c>
      <c r="AY607" s="30" t="str">
        <f>IF(AT607="","",VLOOKUP(AT607,[1]字段!H:I,2,0))</f>
        <v>1.0倍人力</v>
      </c>
      <c r="AZ607" s="31">
        <f t="shared" si="69"/>
        <v>0</v>
      </c>
      <c r="BA607" s="31">
        <f t="shared" si="66"/>
        <v>0</v>
      </c>
      <c r="BB607" s="31">
        <f t="shared" si="67"/>
        <v>0</v>
      </c>
      <c r="BC607" s="31">
        <f t="shared" si="70"/>
        <v>0</v>
      </c>
    </row>
    <row r="608" spans="1:55" ht="28.5" customHeight="1">
      <c r="A608" s="32"/>
      <c r="B608" s="32"/>
      <c r="C608" s="32"/>
      <c r="D608" s="40"/>
      <c r="E608" s="39" t="s">
        <v>45</v>
      </c>
      <c r="F608" s="39" t="s">
        <v>46</v>
      </c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  <c r="AA608" s="29"/>
      <c r="AB608" s="29"/>
      <c r="AC608" s="29"/>
      <c r="AD608" s="29"/>
      <c r="AE608" s="29"/>
      <c r="AJ608"/>
      <c r="AK608"/>
      <c r="AL608"/>
      <c r="AM608"/>
      <c r="AN608"/>
      <c r="AO608"/>
      <c r="AP608"/>
      <c r="AQ608"/>
      <c r="AR608"/>
      <c r="AS608"/>
      <c r="AT608" s="4" t="str">
        <f t="shared" si="68"/>
        <v>1.0倍人力其他职工福利费</v>
      </c>
      <c r="AU608" s="4" t="str">
        <f t="shared" si="64"/>
        <v>企业数字营销部</v>
      </c>
      <c r="AV608" s="4" t="str">
        <f t="shared" si="65"/>
        <v>人力费用</v>
      </c>
      <c r="AW608" s="4" t="str">
        <f>IFERROR(VLOOKUP(AV608,[1]字段!A:B,2,0),"")</f>
        <v>人力费用</v>
      </c>
      <c r="AX608" s="30" t="str">
        <f>IF(AW608="人力费用",IF(E608="","",VLOOKUP(E608,[1]字段!D:E,2,0)),AW608)</f>
        <v>1.0倍人力</v>
      </c>
      <c r="AY608" s="30" t="str">
        <f>IF(AT608="","",VLOOKUP(AT608,[1]字段!H:I,2,0))</f>
        <v>1.0倍人力</v>
      </c>
      <c r="AZ608" s="31">
        <f t="shared" si="69"/>
        <v>0</v>
      </c>
      <c r="BA608" s="31">
        <f t="shared" si="66"/>
        <v>0</v>
      </c>
      <c r="BB608" s="31">
        <f t="shared" si="67"/>
        <v>0</v>
      </c>
      <c r="BC608" s="31">
        <f t="shared" si="70"/>
        <v>0</v>
      </c>
    </row>
    <row r="609" spans="1:55" ht="28.5" customHeight="1">
      <c r="A609" s="32"/>
      <c r="B609" s="32"/>
      <c r="C609" s="32"/>
      <c r="D609" s="40"/>
      <c r="E609" s="39" t="s">
        <v>47</v>
      </c>
      <c r="F609" s="39" t="s">
        <v>48</v>
      </c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  <c r="AA609" s="29"/>
      <c r="AB609" s="29"/>
      <c r="AC609" s="29"/>
      <c r="AD609" s="29"/>
      <c r="AE609" s="29"/>
      <c r="AJ609"/>
      <c r="AK609"/>
      <c r="AL609"/>
      <c r="AM609"/>
      <c r="AN609"/>
      <c r="AO609"/>
      <c r="AP609"/>
      <c r="AQ609"/>
      <c r="AR609"/>
      <c r="AS609"/>
      <c r="AT609" s="4" t="str">
        <f t="shared" si="68"/>
        <v>1.0倍人力工会经费</v>
      </c>
      <c r="AU609" s="4" t="str">
        <f t="shared" si="64"/>
        <v>企业数字营销部</v>
      </c>
      <c r="AV609" s="4" t="str">
        <f t="shared" si="65"/>
        <v>人力费用</v>
      </c>
      <c r="AW609" s="4" t="str">
        <f>IFERROR(VLOOKUP(AV609,[1]字段!A:B,2,0),"")</f>
        <v>人力费用</v>
      </c>
      <c r="AX609" s="30" t="str">
        <f>IF(AW609="人力费用",IF(E609="","",VLOOKUP(E609,[1]字段!D:E,2,0)),AW609)</f>
        <v>1.0倍人力</v>
      </c>
      <c r="AY609" s="30" t="str">
        <f>IF(AT609="","",VLOOKUP(AT609,[1]字段!H:I,2,0))</f>
        <v>1.0倍人力</v>
      </c>
      <c r="AZ609" s="31">
        <f t="shared" si="69"/>
        <v>0</v>
      </c>
      <c r="BA609" s="31">
        <f t="shared" si="66"/>
        <v>0</v>
      </c>
      <c r="BB609" s="31">
        <f t="shared" si="67"/>
        <v>0</v>
      </c>
      <c r="BC609" s="31">
        <f t="shared" si="70"/>
        <v>0</v>
      </c>
    </row>
    <row r="610" spans="1:55" ht="28.5" customHeight="1">
      <c r="A610" s="32"/>
      <c r="B610" s="32"/>
      <c r="C610" s="32"/>
      <c r="D610" s="40"/>
      <c r="E610" s="39" t="s">
        <v>49</v>
      </c>
      <c r="F610" s="39" t="s">
        <v>50</v>
      </c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  <c r="AA610" s="29"/>
      <c r="AB610" s="29"/>
      <c r="AC610" s="29"/>
      <c r="AD610" s="29"/>
      <c r="AE610" s="29"/>
      <c r="AJ610"/>
      <c r="AK610"/>
      <c r="AL610"/>
      <c r="AM610"/>
      <c r="AN610"/>
      <c r="AO610"/>
      <c r="AP610"/>
      <c r="AQ610"/>
      <c r="AR610"/>
      <c r="AS610"/>
      <c r="AT610" s="4" t="str">
        <f t="shared" si="68"/>
        <v>1.0倍人力基本养老保险</v>
      </c>
      <c r="AU610" s="4" t="str">
        <f t="shared" si="64"/>
        <v>企业数字营销部</v>
      </c>
      <c r="AV610" s="4" t="str">
        <f t="shared" si="65"/>
        <v>人力费用</v>
      </c>
      <c r="AW610" s="4" t="str">
        <f>IFERROR(VLOOKUP(AV610,[1]字段!A:B,2,0),"")</f>
        <v>人力费用</v>
      </c>
      <c r="AX610" s="30" t="str">
        <f>IF(AW610="人力费用",IF(E610="","",VLOOKUP(E610,[1]字段!D:E,2,0)),AW610)</f>
        <v>1.0倍人力</v>
      </c>
      <c r="AY610" s="30" t="str">
        <f>IF(AT610="","",VLOOKUP(AT610,[1]字段!H:I,2,0))</f>
        <v>1.0倍人力</v>
      </c>
      <c r="AZ610" s="31">
        <f t="shared" si="69"/>
        <v>0</v>
      </c>
      <c r="BA610" s="31">
        <f t="shared" si="66"/>
        <v>0</v>
      </c>
      <c r="BB610" s="31">
        <f t="shared" si="67"/>
        <v>0</v>
      </c>
      <c r="BC610" s="31">
        <f t="shared" si="70"/>
        <v>0</v>
      </c>
    </row>
    <row r="611" spans="1:55" ht="28.5" customHeight="1">
      <c r="A611" s="32"/>
      <c r="B611" s="32"/>
      <c r="C611" s="32"/>
      <c r="D611" s="40"/>
      <c r="E611" s="39" t="s">
        <v>51</v>
      </c>
      <c r="F611" s="39" t="s">
        <v>52</v>
      </c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  <c r="AA611" s="29"/>
      <c r="AB611" s="29"/>
      <c r="AC611" s="29"/>
      <c r="AD611" s="29"/>
      <c r="AE611" s="29"/>
      <c r="AJ611"/>
      <c r="AK611"/>
      <c r="AL611"/>
      <c r="AM611"/>
      <c r="AN611"/>
      <c r="AO611"/>
      <c r="AP611"/>
      <c r="AQ611"/>
      <c r="AR611"/>
      <c r="AS611"/>
      <c r="AT611" s="4" t="str">
        <f t="shared" si="68"/>
        <v>1.0倍人力基本医疗保险</v>
      </c>
      <c r="AU611" s="4" t="str">
        <f t="shared" si="64"/>
        <v>企业数字营销部</v>
      </c>
      <c r="AV611" s="4" t="str">
        <f t="shared" si="65"/>
        <v>人力费用</v>
      </c>
      <c r="AW611" s="4" t="str">
        <f>IFERROR(VLOOKUP(AV611,[1]字段!A:B,2,0),"")</f>
        <v>人力费用</v>
      </c>
      <c r="AX611" s="30" t="str">
        <f>IF(AW611="人力费用",IF(E611="","",VLOOKUP(E611,[1]字段!D:E,2,0)),AW611)</f>
        <v>1.0倍人力</v>
      </c>
      <c r="AY611" s="30" t="str">
        <f>IF(AT611="","",VLOOKUP(AT611,[1]字段!H:I,2,0))</f>
        <v>1.0倍人力</v>
      </c>
      <c r="AZ611" s="31">
        <f t="shared" si="69"/>
        <v>0</v>
      </c>
      <c r="BA611" s="31">
        <f t="shared" si="66"/>
        <v>0</v>
      </c>
      <c r="BB611" s="31">
        <f t="shared" si="67"/>
        <v>0</v>
      </c>
      <c r="BC611" s="31">
        <f t="shared" si="70"/>
        <v>0</v>
      </c>
    </row>
    <row r="612" spans="1:55" ht="28.5" customHeight="1">
      <c r="A612" s="32"/>
      <c r="B612" s="32"/>
      <c r="C612" s="32"/>
      <c r="D612" s="40"/>
      <c r="E612" s="39" t="s">
        <v>53</v>
      </c>
      <c r="F612" s="39" t="s">
        <v>54</v>
      </c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  <c r="AA612" s="29"/>
      <c r="AB612" s="29"/>
      <c r="AC612" s="29"/>
      <c r="AD612" s="29"/>
      <c r="AE612" s="29"/>
      <c r="AJ612"/>
      <c r="AK612"/>
      <c r="AL612"/>
      <c r="AM612"/>
      <c r="AN612"/>
      <c r="AO612"/>
      <c r="AP612"/>
      <c r="AQ612"/>
      <c r="AR612"/>
      <c r="AS612"/>
      <c r="AT612" s="4" t="str">
        <f t="shared" si="68"/>
        <v>1.0倍人力工伤保险</v>
      </c>
      <c r="AU612" s="4" t="str">
        <f t="shared" si="64"/>
        <v>企业数字营销部</v>
      </c>
      <c r="AV612" s="4" t="str">
        <f t="shared" si="65"/>
        <v>人力费用</v>
      </c>
      <c r="AW612" s="4" t="str">
        <f>IFERROR(VLOOKUP(AV612,[1]字段!A:B,2,0),"")</f>
        <v>人力费用</v>
      </c>
      <c r="AX612" s="30" t="str">
        <f>IF(AW612="人力费用",IF(E612="","",VLOOKUP(E612,[1]字段!D:E,2,0)),AW612)</f>
        <v>1.0倍人力</v>
      </c>
      <c r="AY612" s="30" t="str">
        <f>IF(AT612="","",VLOOKUP(AT612,[1]字段!H:I,2,0))</f>
        <v>1.0倍人力</v>
      </c>
      <c r="AZ612" s="31">
        <f t="shared" si="69"/>
        <v>0</v>
      </c>
      <c r="BA612" s="31">
        <f t="shared" si="66"/>
        <v>0</v>
      </c>
      <c r="BB612" s="31">
        <f t="shared" si="67"/>
        <v>0</v>
      </c>
      <c r="BC612" s="31">
        <f t="shared" si="70"/>
        <v>0</v>
      </c>
    </row>
    <row r="613" spans="1:55" ht="28.5" customHeight="1">
      <c r="A613" s="32"/>
      <c r="B613" s="32"/>
      <c r="C613" s="32"/>
      <c r="D613" s="40"/>
      <c r="E613" s="39" t="s">
        <v>55</v>
      </c>
      <c r="F613" s="39" t="s">
        <v>56</v>
      </c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  <c r="AA613" s="29"/>
      <c r="AB613" s="29"/>
      <c r="AC613" s="29"/>
      <c r="AD613" s="29"/>
      <c r="AE613" s="29"/>
      <c r="AJ613"/>
      <c r="AK613"/>
      <c r="AL613"/>
      <c r="AM613"/>
      <c r="AN613"/>
      <c r="AO613"/>
      <c r="AP613"/>
      <c r="AQ613"/>
      <c r="AR613"/>
      <c r="AS613"/>
      <c r="AT613" s="4" t="str">
        <f t="shared" si="68"/>
        <v>1.0倍人力生育保险</v>
      </c>
      <c r="AU613" s="4" t="str">
        <f t="shared" si="64"/>
        <v>企业数字营销部</v>
      </c>
      <c r="AV613" s="4" t="str">
        <f t="shared" si="65"/>
        <v>人力费用</v>
      </c>
      <c r="AW613" s="4" t="str">
        <f>IFERROR(VLOOKUP(AV613,[1]字段!A:B,2,0),"")</f>
        <v>人力费用</v>
      </c>
      <c r="AX613" s="30" t="str">
        <f>IF(AW613="人力费用",IF(E613="","",VLOOKUP(E613,[1]字段!D:E,2,0)),AW613)</f>
        <v>1.0倍人力</v>
      </c>
      <c r="AY613" s="30" t="str">
        <f>IF(AT613="","",VLOOKUP(AT613,[1]字段!H:I,2,0))</f>
        <v>1.0倍人力</v>
      </c>
      <c r="AZ613" s="31">
        <f t="shared" si="69"/>
        <v>0</v>
      </c>
      <c r="BA613" s="31">
        <f t="shared" si="66"/>
        <v>0</v>
      </c>
      <c r="BB613" s="31">
        <f t="shared" si="67"/>
        <v>0</v>
      </c>
      <c r="BC613" s="31">
        <f t="shared" si="70"/>
        <v>0</v>
      </c>
    </row>
    <row r="614" spans="1:55" ht="28.5" customHeight="1">
      <c r="A614" s="32"/>
      <c r="B614" s="32"/>
      <c r="C614" s="32"/>
      <c r="D614" s="40"/>
      <c r="E614" s="39" t="s">
        <v>57</v>
      </c>
      <c r="F614" s="39" t="s">
        <v>58</v>
      </c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  <c r="AA614" s="29"/>
      <c r="AB614" s="29"/>
      <c r="AC614" s="29"/>
      <c r="AD614" s="29"/>
      <c r="AE614" s="29"/>
      <c r="AJ614"/>
      <c r="AK614"/>
      <c r="AL614"/>
      <c r="AM614"/>
      <c r="AN614"/>
      <c r="AO614"/>
      <c r="AP614"/>
      <c r="AQ614"/>
      <c r="AR614"/>
      <c r="AS614"/>
      <c r="AT614" s="4" t="str">
        <f t="shared" si="68"/>
        <v>1.0倍人力失业保险</v>
      </c>
      <c r="AU614" s="4" t="str">
        <f t="shared" si="64"/>
        <v>企业数字营销部</v>
      </c>
      <c r="AV614" s="4" t="str">
        <f t="shared" si="65"/>
        <v>人力费用</v>
      </c>
      <c r="AW614" s="4" t="str">
        <f>IFERROR(VLOOKUP(AV614,[1]字段!A:B,2,0),"")</f>
        <v>人力费用</v>
      </c>
      <c r="AX614" s="30" t="str">
        <f>IF(AW614="人力费用",IF(E614="","",VLOOKUP(E614,[1]字段!D:E,2,0)),AW614)</f>
        <v>1.0倍人力</v>
      </c>
      <c r="AY614" s="30" t="str">
        <f>IF(AT614="","",VLOOKUP(AT614,[1]字段!H:I,2,0))</f>
        <v>1.0倍人力</v>
      </c>
      <c r="AZ614" s="31">
        <f t="shared" si="69"/>
        <v>0</v>
      </c>
      <c r="BA614" s="31">
        <f t="shared" si="66"/>
        <v>0</v>
      </c>
      <c r="BB614" s="31">
        <f t="shared" si="67"/>
        <v>0</v>
      </c>
      <c r="BC614" s="31">
        <f t="shared" si="70"/>
        <v>0</v>
      </c>
    </row>
    <row r="615" spans="1:55" ht="28.5" customHeight="1">
      <c r="A615" s="32"/>
      <c r="B615" s="32"/>
      <c r="C615" s="32"/>
      <c r="D615" s="40"/>
      <c r="E615" s="39" t="s">
        <v>59</v>
      </c>
      <c r="F615" s="39" t="s">
        <v>60</v>
      </c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  <c r="AA615" s="29"/>
      <c r="AB615" s="29"/>
      <c r="AC615" s="29"/>
      <c r="AD615" s="29"/>
      <c r="AE615" s="29"/>
      <c r="AJ615"/>
      <c r="AK615"/>
      <c r="AL615"/>
      <c r="AM615"/>
      <c r="AN615"/>
      <c r="AO615"/>
      <c r="AP615"/>
      <c r="AQ615"/>
      <c r="AR615"/>
      <c r="AS615"/>
      <c r="AT615" s="4" t="str">
        <f t="shared" si="68"/>
        <v>1.0倍人力住房公积金</v>
      </c>
      <c r="AU615" s="4" t="str">
        <f t="shared" si="64"/>
        <v>企业数字营销部</v>
      </c>
      <c r="AV615" s="4" t="str">
        <f t="shared" si="65"/>
        <v>人力费用</v>
      </c>
      <c r="AW615" s="4" t="str">
        <f>IFERROR(VLOOKUP(AV615,[1]字段!A:B,2,0),"")</f>
        <v>人力费用</v>
      </c>
      <c r="AX615" s="30" t="str">
        <f>IF(AW615="人力费用",IF(E615="","",VLOOKUP(E615,[1]字段!D:E,2,0)),AW615)</f>
        <v>1.0倍人力</v>
      </c>
      <c r="AY615" s="30" t="str">
        <f>IF(AT615="","",VLOOKUP(AT615,[1]字段!H:I,2,0))</f>
        <v>1.0倍人力</v>
      </c>
      <c r="AZ615" s="31">
        <f t="shared" si="69"/>
        <v>0</v>
      </c>
      <c r="BA615" s="31">
        <f t="shared" si="66"/>
        <v>0</v>
      </c>
      <c r="BB615" s="31">
        <f t="shared" si="67"/>
        <v>0</v>
      </c>
      <c r="BC615" s="31">
        <f t="shared" si="70"/>
        <v>0</v>
      </c>
    </row>
    <row r="616" spans="1:55" ht="28.5" customHeight="1">
      <c r="A616" s="32"/>
      <c r="B616" s="32"/>
      <c r="C616" s="41"/>
      <c r="D616" s="42"/>
      <c r="E616" s="39" t="s">
        <v>100</v>
      </c>
      <c r="F616" s="39" t="s">
        <v>101</v>
      </c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  <c r="AA616" s="29"/>
      <c r="AB616" s="29"/>
      <c r="AC616" s="29"/>
      <c r="AD616" s="29"/>
      <c r="AE616" s="29"/>
      <c r="AJ616"/>
      <c r="AK616"/>
      <c r="AL616"/>
      <c r="AM616"/>
      <c r="AN616"/>
      <c r="AO616"/>
      <c r="AP616"/>
      <c r="AQ616"/>
      <c r="AR616"/>
      <c r="AS616"/>
      <c r="AT616" s="4" t="str">
        <f t="shared" si="68"/>
        <v>劳务支出劳务支出</v>
      </c>
      <c r="AU616" s="4" t="str">
        <f t="shared" si="64"/>
        <v>企业数字营销部</v>
      </c>
      <c r="AV616" s="4" t="str">
        <f t="shared" si="65"/>
        <v>人力费用</v>
      </c>
      <c r="AW616" s="4" t="str">
        <f>IFERROR(VLOOKUP(AV616,[1]字段!A:B,2,0),"")</f>
        <v>人力费用</v>
      </c>
      <c r="AX616" s="30" t="str">
        <f>IF(AW616="人力费用",IF(E616="","",VLOOKUP(E616,[1]字段!D:E,2,0)),AW616)</f>
        <v>劳务支出</v>
      </c>
      <c r="AY616" s="30" t="str">
        <f>IF(AT616="","",VLOOKUP(AT616,[1]字段!H:I,2,0))</f>
        <v>劳务支出</v>
      </c>
      <c r="AZ616" s="31">
        <f t="shared" si="69"/>
        <v>0</v>
      </c>
      <c r="BA616" s="31">
        <f t="shared" si="66"/>
        <v>0</v>
      </c>
      <c r="BB616" s="31">
        <f t="shared" si="67"/>
        <v>0</v>
      </c>
      <c r="BC616" s="31">
        <f t="shared" si="70"/>
        <v>0</v>
      </c>
    </row>
    <row r="617" spans="1:55" ht="28.5" customHeight="1">
      <c r="C617" s="33" t="s">
        <v>107</v>
      </c>
      <c r="D617" s="34" t="s">
        <v>108</v>
      </c>
      <c r="E617" s="35"/>
      <c r="F617" s="36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  <c r="AA617" s="29"/>
      <c r="AB617" s="29"/>
      <c r="AC617" s="29"/>
      <c r="AD617" s="29"/>
      <c r="AE617" s="29"/>
      <c r="AJ617"/>
      <c r="AK617"/>
      <c r="AL617"/>
      <c r="AM617"/>
      <c r="AN617"/>
      <c r="AO617"/>
      <c r="AP617"/>
      <c r="AQ617"/>
      <c r="AR617"/>
      <c r="AS617"/>
      <c r="AT617" s="4" t="str">
        <f t="shared" si="68"/>
        <v>营销费用</v>
      </c>
      <c r="AU617" s="4" t="str">
        <f t="shared" si="64"/>
        <v>企业数字营销部</v>
      </c>
      <c r="AV617" s="4" t="str">
        <f t="shared" si="65"/>
        <v>营销费用</v>
      </c>
      <c r="AW617" s="4" t="str">
        <f>IFERROR(VLOOKUP(AV617,[1]字段!A:B,2,0),"")</f>
        <v>营销费用</v>
      </c>
      <c r="AX617" s="30" t="str">
        <f>IF(AW617="人力费用",IF(E617="","",VLOOKUP(E617,[1]字段!D:E,2,0)),AW617)</f>
        <v>营销费用</v>
      </c>
      <c r="AY617" s="30">
        <f>IF(AT617="","",VLOOKUP(AT617,[1]字段!H:I,2,0))</f>
        <v>0</v>
      </c>
      <c r="AZ617" s="31">
        <f t="shared" si="69"/>
        <v>0</v>
      </c>
      <c r="BA617" s="31">
        <f t="shared" si="66"/>
        <v>0</v>
      </c>
      <c r="BB617" s="31">
        <f t="shared" si="67"/>
        <v>0</v>
      </c>
      <c r="BC617" s="31">
        <f t="shared" si="70"/>
        <v>0</v>
      </c>
    </row>
    <row r="618" spans="1:55" ht="28.5" customHeight="1">
      <c r="A618" s="32"/>
      <c r="B618" s="32"/>
      <c r="C618" s="37"/>
      <c r="D618" s="38"/>
      <c r="E618" s="39" t="s">
        <v>109</v>
      </c>
      <c r="F618" s="39" t="s">
        <v>110</v>
      </c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  <c r="AA618" s="29"/>
      <c r="AB618" s="29"/>
      <c r="AC618" s="29"/>
      <c r="AD618" s="29"/>
      <c r="AE618" s="29"/>
      <c r="AJ618"/>
      <c r="AK618"/>
      <c r="AL618"/>
      <c r="AM618"/>
      <c r="AN618"/>
      <c r="AO618"/>
      <c r="AP618"/>
      <c r="AQ618"/>
      <c r="AR618"/>
      <c r="AS618"/>
      <c r="AT618" s="4" t="str">
        <f t="shared" si="68"/>
        <v>营销费用广告费</v>
      </c>
      <c r="AU618" s="4" t="str">
        <f t="shared" si="64"/>
        <v>企业数字营销部</v>
      </c>
      <c r="AV618" s="4" t="str">
        <f t="shared" si="65"/>
        <v>营销费用</v>
      </c>
      <c r="AW618" s="4" t="str">
        <f>IFERROR(VLOOKUP(AV618,[1]字段!A:B,2,0),"")</f>
        <v>营销费用</v>
      </c>
      <c r="AX618" s="30" t="str">
        <f>IF(AW618="人力费用",IF(E618="","",VLOOKUP(E618,[1]字段!D:E,2,0)),AW618)</f>
        <v>营销费用</v>
      </c>
      <c r="AY618" s="30" t="str">
        <f>IF(AT618="","",VLOOKUP(AT618,[1]字段!H:I,2,0))</f>
        <v>营销费用</v>
      </c>
      <c r="AZ618" s="31">
        <f t="shared" si="69"/>
        <v>0</v>
      </c>
      <c r="BA618" s="31">
        <f t="shared" si="66"/>
        <v>0</v>
      </c>
      <c r="BB618" s="31">
        <f t="shared" si="67"/>
        <v>0</v>
      </c>
      <c r="BC618" s="31">
        <f t="shared" si="70"/>
        <v>0</v>
      </c>
    </row>
    <row r="619" spans="1:55" ht="28.5" customHeight="1">
      <c r="A619" s="32"/>
      <c r="B619" s="32"/>
      <c r="C619" s="32"/>
      <c r="D619" s="40"/>
      <c r="E619" s="39" t="s">
        <v>168</v>
      </c>
      <c r="F619" s="39" t="s">
        <v>169</v>
      </c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  <c r="AA619" s="29"/>
      <c r="AB619" s="29"/>
      <c r="AC619" s="29"/>
      <c r="AD619" s="29"/>
      <c r="AE619" s="29"/>
      <c r="AJ619"/>
      <c r="AK619"/>
      <c r="AL619"/>
      <c r="AM619"/>
      <c r="AN619"/>
      <c r="AO619"/>
      <c r="AP619"/>
      <c r="AQ619"/>
      <c r="AR619"/>
      <c r="AS619"/>
      <c r="AT619" s="4" t="str">
        <f t="shared" si="68"/>
        <v>营销费用坐席租用费</v>
      </c>
      <c r="AU619" s="4" t="str">
        <f t="shared" si="64"/>
        <v>企业数字营销部</v>
      </c>
      <c r="AV619" s="4" t="str">
        <f t="shared" si="65"/>
        <v>营销费用</v>
      </c>
      <c r="AW619" s="4" t="str">
        <f>IFERROR(VLOOKUP(AV619,[1]字段!A:B,2,0),"")</f>
        <v>营销费用</v>
      </c>
      <c r="AX619" s="30" t="str">
        <f>IF(AW619="人力费用",IF(E619="","",VLOOKUP(E619,[1]字段!D:E,2,0)),AW619)</f>
        <v>营销费用</v>
      </c>
      <c r="AY619" s="30" t="str">
        <f>IF(AT619="","",VLOOKUP(AT619,[1]字段!H:I,2,0))</f>
        <v>营销费用</v>
      </c>
      <c r="AZ619" s="31">
        <f t="shared" si="69"/>
        <v>0</v>
      </c>
      <c r="BA619" s="31">
        <f t="shared" si="66"/>
        <v>0</v>
      </c>
      <c r="BB619" s="31">
        <f t="shared" si="67"/>
        <v>0</v>
      </c>
      <c r="BC619" s="31">
        <f t="shared" si="70"/>
        <v>0</v>
      </c>
    </row>
    <row r="620" spans="1:55" ht="28.5" customHeight="1">
      <c r="A620" s="32"/>
      <c r="B620" s="32"/>
      <c r="C620" s="32"/>
      <c r="D620" s="40"/>
      <c r="E620" s="39" t="s">
        <v>91</v>
      </c>
      <c r="F620" s="39" t="s">
        <v>92</v>
      </c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  <c r="AA620" s="29"/>
      <c r="AB620" s="29"/>
      <c r="AC620" s="29"/>
      <c r="AD620" s="29"/>
      <c r="AE620" s="29"/>
      <c r="AJ620"/>
      <c r="AK620"/>
      <c r="AL620"/>
      <c r="AM620"/>
      <c r="AN620"/>
      <c r="AO620"/>
      <c r="AP620"/>
      <c r="AQ620"/>
      <c r="AR620"/>
      <c r="AS620"/>
      <c r="AT620" s="4" t="str">
        <f t="shared" si="68"/>
        <v>营销费用办公费用</v>
      </c>
      <c r="AU620" s="4" t="str">
        <f t="shared" si="64"/>
        <v>企业数字营销部</v>
      </c>
      <c r="AV620" s="4" t="str">
        <f t="shared" si="65"/>
        <v>营销费用</v>
      </c>
      <c r="AW620" s="4" t="str">
        <f>IFERROR(VLOOKUP(AV620,[1]字段!A:B,2,0),"")</f>
        <v>营销费用</v>
      </c>
      <c r="AX620" s="30" t="str">
        <f>IF(AW620="人力费用",IF(E620="","",VLOOKUP(E620,[1]字段!D:E,2,0)),AW620)</f>
        <v>营销费用</v>
      </c>
      <c r="AY620" s="30" t="str">
        <f>IF(AT620="","",VLOOKUP(AT620,[1]字段!H:I,2,0))</f>
        <v>营销费用</v>
      </c>
      <c r="AZ620" s="31">
        <f t="shared" si="69"/>
        <v>0</v>
      </c>
      <c r="BA620" s="31">
        <f t="shared" si="66"/>
        <v>0</v>
      </c>
      <c r="BB620" s="31">
        <f t="shared" si="67"/>
        <v>0</v>
      </c>
      <c r="BC620" s="31">
        <f t="shared" si="70"/>
        <v>0</v>
      </c>
    </row>
    <row r="621" spans="1:55" ht="28.5" customHeight="1">
      <c r="A621" s="32"/>
      <c r="B621" s="32"/>
      <c r="C621" s="32"/>
      <c r="D621" s="40"/>
      <c r="E621" s="39" t="s">
        <v>172</v>
      </c>
      <c r="F621" s="39" t="s">
        <v>173</v>
      </c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  <c r="AA621" s="29"/>
      <c r="AB621" s="29"/>
      <c r="AC621" s="29"/>
      <c r="AD621" s="29"/>
      <c r="AE621" s="29"/>
      <c r="AJ621"/>
      <c r="AK621"/>
      <c r="AL621"/>
      <c r="AM621"/>
      <c r="AN621"/>
      <c r="AO621"/>
      <c r="AP621"/>
      <c r="AQ621"/>
      <c r="AR621"/>
      <c r="AS621"/>
      <c r="AT621" s="4" t="str">
        <f t="shared" si="68"/>
        <v>营销费用客服费</v>
      </c>
      <c r="AU621" s="4" t="str">
        <f t="shared" si="64"/>
        <v>企业数字营销部</v>
      </c>
      <c r="AV621" s="4" t="str">
        <f t="shared" si="65"/>
        <v>营销费用</v>
      </c>
      <c r="AW621" s="4" t="str">
        <f>IFERROR(VLOOKUP(AV621,[1]字段!A:B,2,0),"")</f>
        <v>营销费用</v>
      </c>
      <c r="AX621" s="30" t="str">
        <f>IF(AW621="人力费用",IF(E621="","",VLOOKUP(E621,[1]字段!D:E,2,0)),AW621)</f>
        <v>营销费用</v>
      </c>
      <c r="AY621" s="30" t="str">
        <f>IF(AT621="","",VLOOKUP(AT621,[1]字段!H:I,2,0))</f>
        <v>营销费用</v>
      </c>
      <c r="AZ621" s="31">
        <f t="shared" si="69"/>
        <v>0</v>
      </c>
      <c r="BA621" s="31">
        <f t="shared" si="66"/>
        <v>0</v>
      </c>
      <c r="BB621" s="31">
        <f t="shared" si="67"/>
        <v>0</v>
      </c>
      <c r="BC621" s="31">
        <f t="shared" si="70"/>
        <v>0</v>
      </c>
    </row>
    <row r="622" spans="1:55" ht="28.5" customHeight="1">
      <c r="A622" s="32"/>
      <c r="B622" s="32"/>
      <c r="C622" s="32"/>
      <c r="D622" s="40"/>
      <c r="E622" s="39" t="s">
        <v>111</v>
      </c>
      <c r="F622" s="39" t="s">
        <v>112</v>
      </c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  <c r="AA622" s="29"/>
      <c r="AB622" s="29"/>
      <c r="AC622" s="29"/>
      <c r="AD622" s="29"/>
      <c r="AE622" s="29"/>
      <c r="AJ622"/>
      <c r="AK622"/>
      <c r="AL622"/>
      <c r="AM622"/>
      <c r="AN622"/>
      <c r="AO622"/>
      <c r="AP622"/>
      <c r="AQ622"/>
      <c r="AR622"/>
      <c r="AS622"/>
      <c r="AT622" s="4" t="str">
        <f t="shared" si="68"/>
        <v>营销费用业务宣传费</v>
      </c>
      <c r="AU622" s="4" t="str">
        <f t="shared" si="64"/>
        <v>企业数字营销部</v>
      </c>
      <c r="AV622" s="4" t="str">
        <f t="shared" si="65"/>
        <v>营销费用</v>
      </c>
      <c r="AW622" s="4" t="str">
        <f>IFERROR(VLOOKUP(AV622,[1]字段!A:B,2,0),"")</f>
        <v>营销费用</v>
      </c>
      <c r="AX622" s="30" t="str">
        <f>IF(AW622="人力费用",IF(E622="","",VLOOKUP(E622,[1]字段!D:E,2,0)),AW622)</f>
        <v>营销费用</v>
      </c>
      <c r="AY622" s="30" t="str">
        <f>IF(AT622="","",VLOOKUP(AT622,[1]字段!H:I,2,0))</f>
        <v>营销费用</v>
      </c>
      <c r="AZ622" s="31">
        <f t="shared" si="69"/>
        <v>0</v>
      </c>
      <c r="BA622" s="31">
        <f t="shared" si="66"/>
        <v>0</v>
      </c>
      <c r="BB622" s="31">
        <f t="shared" si="67"/>
        <v>0</v>
      </c>
      <c r="BC622" s="31">
        <f t="shared" si="70"/>
        <v>0</v>
      </c>
    </row>
    <row r="623" spans="1:55" ht="28.5" customHeight="1">
      <c r="A623" s="32"/>
      <c r="B623" s="32"/>
      <c r="C623" s="41"/>
      <c r="D623" s="42"/>
      <c r="E623" s="39" t="s">
        <v>104</v>
      </c>
      <c r="F623" s="39" t="s">
        <v>105</v>
      </c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  <c r="AA623" s="29"/>
      <c r="AB623" s="29"/>
      <c r="AC623" s="29"/>
      <c r="AD623" s="29"/>
      <c r="AE623" s="29"/>
      <c r="AJ623"/>
      <c r="AK623"/>
      <c r="AL623"/>
      <c r="AM623"/>
      <c r="AN623"/>
      <c r="AO623"/>
      <c r="AP623"/>
      <c r="AQ623"/>
      <c r="AR623"/>
      <c r="AS623"/>
      <c r="AT623" s="4" t="str">
        <f t="shared" si="68"/>
        <v>营销费用会议费</v>
      </c>
      <c r="AU623" s="4" t="str">
        <f t="shared" si="64"/>
        <v>企业数字营销部</v>
      </c>
      <c r="AV623" s="4" t="str">
        <f t="shared" si="65"/>
        <v>营销费用</v>
      </c>
      <c r="AW623" s="4" t="str">
        <f>IFERROR(VLOOKUP(AV623,[1]字段!A:B,2,0),"")</f>
        <v>营销费用</v>
      </c>
      <c r="AX623" s="30" t="str">
        <f>IF(AW623="人力费用",IF(E623="","",VLOOKUP(E623,[1]字段!D:E,2,0)),AW623)</f>
        <v>营销费用</v>
      </c>
      <c r="AY623" s="30" t="str">
        <f>IF(AT623="","",VLOOKUP(AT623,[1]字段!H:I,2,0))</f>
        <v>营销费用</v>
      </c>
      <c r="AZ623" s="31">
        <f t="shared" si="69"/>
        <v>0</v>
      </c>
      <c r="BA623" s="31">
        <f t="shared" si="66"/>
        <v>0</v>
      </c>
      <c r="BB623" s="31">
        <f t="shared" si="67"/>
        <v>0</v>
      </c>
      <c r="BC623" s="31">
        <f t="shared" si="70"/>
        <v>0</v>
      </c>
    </row>
    <row r="624" spans="1:55" ht="28.5" customHeight="1">
      <c r="C624" s="33" t="s">
        <v>162</v>
      </c>
      <c r="D624" s="34" t="s">
        <v>163</v>
      </c>
      <c r="E624" s="35"/>
      <c r="F624" s="36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  <c r="AA624" s="29"/>
      <c r="AB624" s="29"/>
      <c r="AC624" s="29"/>
      <c r="AD624" s="29"/>
      <c r="AE624" s="29"/>
      <c r="AJ624"/>
      <c r="AK624"/>
      <c r="AL624"/>
      <c r="AM624"/>
      <c r="AN624"/>
      <c r="AO624"/>
      <c r="AP624"/>
      <c r="AQ624"/>
      <c r="AR624"/>
      <c r="AS624"/>
      <c r="AT624" s="4" t="str">
        <f t="shared" si="68"/>
        <v>运营费用</v>
      </c>
      <c r="AU624" s="4" t="str">
        <f t="shared" si="64"/>
        <v>企业数字营销部</v>
      </c>
      <c r="AV624" s="4" t="str">
        <f t="shared" si="65"/>
        <v>运营费用</v>
      </c>
      <c r="AW624" s="4" t="str">
        <f>IFERROR(VLOOKUP(AV624,[1]字段!A:B,2,0),"")</f>
        <v>运营费用</v>
      </c>
      <c r="AX624" s="30" t="str">
        <f>IF(AW624="人力费用",IF(E624="","",VLOOKUP(E624,[1]字段!D:E,2,0)),AW624)</f>
        <v>运营费用</v>
      </c>
      <c r="AY624" s="30">
        <f>IF(AT624="","",VLOOKUP(AT624,[1]字段!H:I,2,0))</f>
        <v>0</v>
      </c>
      <c r="AZ624" s="31">
        <f t="shared" si="69"/>
        <v>0</v>
      </c>
      <c r="BA624" s="31">
        <f t="shared" si="66"/>
        <v>0</v>
      </c>
      <c r="BB624" s="31">
        <f t="shared" si="67"/>
        <v>0</v>
      </c>
      <c r="BC624" s="31">
        <f t="shared" si="70"/>
        <v>0</v>
      </c>
    </row>
    <row r="625" spans="1:55" ht="28.5" customHeight="1">
      <c r="A625" s="32"/>
      <c r="B625" s="32"/>
      <c r="C625" s="37"/>
      <c r="D625" s="38"/>
      <c r="E625" s="39" t="s">
        <v>168</v>
      </c>
      <c r="F625" s="39" t="s">
        <v>169</v>
      </c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  <c r="AA625" s="29"/>
      <c r="AB625" s="29"/>
      <c r="AC625" s="29"/>
      <c r="AD625" s="29"/>
      <c r="AE625" s="29"/>
      <c r="AJ625"/>
      <c r="AK625"/>
      <c r="AL625"/>
      <c r="AM625"/>
      <c r="AN625"/>
      <c r="AO625"/>
      <c r="AP625"/>
      <c r="AQ625"/>
      <c r="AR625"/>
      <c r="AS625"/>
      <c r="AT625" s="4" t="str">
        <f t="shared" si="68"/>
        <v>运营费用坐席租用费</v>
      </c>
      <c r="AU625" s="4" t="str">
        <f t="shared" si="64"/>
        <v>企业数字营销部</v>
      </c>
      <c r="AV625" s="4" t="str">
        <f t="shared" si="65"/>
        <v>运营费用</v>
      </c>
      <c r="AW625" s="4" t="str">
        <f>IFERROR(VLOOKUP(AV625,[1]字段!A:B,2,0),"")</f>
        <v>运营费用</v>
      </c>
      <c r="AX625" s="30" t="str">
        <f>IF(AW625="人力费用",IF(E625="","",VLOOKUP(E625,[1]字段!D:E,2,0)),AW625)</f>
        <v>运营费用</v>
      </c>
      <c r="AY625" s="30" t="str">
        <f>IF(AT625="","",VLOOKUP(AT625,[1]字段!H:I,2,0))</f>
        <v>运营费用-客服费</v>
      </c>
      <c r="AZ625" s="31">
        <f t="shared" si="69"/>
        <v>0</v>
      </c>
      <c r="BA625" s="31">
        <f t="shared" si="66"/>
        <v>0</v>
      </c>
      <c r="BB625" s="31">
        <f t="shared" si="67"/>
        <v>0</v>
      </c>
      <c r="BC625" s="31">
        <f t="shared" si="70"/>
        <v>0</v>
      </c>
    </row>
    <row r="626" spans="1:55" ht="28.5" customHeight="1">
      <c r="A626" s="32"/>
      <c r="B626" s="32"/>
      <c r="C626" s="41"/>
      <c r="D626" s="42"/>
      <c r="E626" s="39" t="s">
        <v>83</v>
      </c>
      <c r="F626" s="39" t="s">
        <v>84</v>
      </c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  <c r="AA626" s="29"/>
      <c r="AB626" s="29"/>
      <c r="AC626" s="29"/>
      <c r="AD626" s="29"/>
      <c r="AE626" s="29"/>
      <c r="AJ626"/>
      <c r="AK626"/>
      <c r="AL626"/>
      <c r="AM626"/>
      <c r="AN626"/>
      <c r="AO626"/>
      <c r="AP626"/>
      <c r="AQ626"/>
      <c r="AR626"/>
      <c r="AS626"/>
      <c r="AT626" s="4" t="str">
        <f t="shared" si="68"/>
        <v>运营费用其他外包服务费</v>
      </c>
      <c r="AU626" s="4" t="str">
        <f t="shared" si="64"/>
        <v>企业数字营销部</v>
      </c>
      <c r="AV626" s="4" t="str">
        <f t="shared" si="65"/>
        <v>运营费用</v>
      </c>
      <c r="AW626" s="4" t="str">
        <f>IFERROR(VLOOKUP(AV626,[1]字段!A:B,2,0),"")</f>
        <v>运营费用</v>
      </c>
      <c r="AX626" s="30" t="str">
        <f>IF(AW626="人力费用",IF(E626="","",VLOOKUP(E626,[1]字段!D:E,2,0)),AW626)</f>
        <v>运营费用</v>
      </c>
      <c r="AY626" s="30" t="str">
        <f>IF(AT626="","",VLOOKUP(AT626,[1]字段!H:I,2,0))</f>
        <v>运营费用-外包服务费</v>
      </c>
      <c r="AZ626" s="31">
        <f t="shared" si="69"/>
        <v>0</v>
      </c>
      <c r="BA626" s="31">
        <f t="shared" si="66"/>
        <v>0</v>
      </c>
      <c r="BB626" s="31">
        <f t="shared" si="67"/>
        <v>0</v>
      </c>
      <c r="BC626" s="31">
        <f t="shared" si="70"/>
        <v>0</v>
      </c>
    </row>
    <row r="627" spans="1:55" ht="28.5" customHeight="1">
      <c r="C627" s="33" t="s">
        <v>65</v>
      </c>
      <c r="D627" s="34" t="s">
        <v>66</v>
      </c>
      <c r="E627" s="35"/>
      <c r="F627" s="36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  <c r="AA627" s="29"/>
      <c r="AB627" s="29"/>
      <c r="AC627" s="29"/>
      <c r="AD627" s="29"/>
      <c r="AE627" s="29"/>
      <c r="AJ627"/>
      <c r="AK627"/>
      <c r="AL627"/>
      <c r="AM627"/>
      <c r="AN627"/>
      <c r="AO627"/>
      <c r="AP627"/>
      <c r="AQ627"/>
      <c r="AR627"/>
      <c r="AS627"/>
      <c r="AT627" s="4" t="str">
        <f t="shared" si="68"/>
        <v>IT费用</v>
      </c>
      <c r="AU627" s="4" t="str">
        <f t="shared" si="64"/>
        <v>企业数字营销部</v>
      </c>
      <c r="AV627" s="4" t="str">
        <f t="shared" si="65"/>
        <v>IT科技费用</v>
      </c>
      <c r="AW627" s="4" t="str">
        <f>IFERROR(VLOOKUP(AV627,[1]字段!A:B,2,0),"")</f>
        <v>IT费用</v>
      </c>
      <c r="AX627" s="30" t="str">
        <f>IF(AW627="人力费用",IF(E627="","",VLOOKUP(E627,[1]字段!D:E,2,0)),AW627)</f>
        <v>IT费用</v>
      </c>
      <c r="AY627" s="30">
        <f>IF(AT627="","",VLOOKUP(AT627,[1]字段!H:I,2,0))</f>
        <v>0</v>
      </c>
      <c r="AZ627" s="31">
        <f t="shared" si="69"/>
        <v>0</v>
      </c>
      <c r="BA627" s="31">
        <f t="shared" si="66"/>
        <v>0</v>
      </c>
      <c r="BB627" s="31">
        <f t="shared" si="67"/>
        <v>0</v>
      </c>
      <c r="BC627" s="31">
        <f t="shared" si="70"/>
        <v>0</v>
      </c>
    </row>
    <row r="628" spans="1:55" ht="28.5" customHeight="1">
      <c r="A628" s="32"/>
      <c r="B628" s="32"/>
      <c r="C628" s="37"/>
      <c r="D628" s="38"/>
      <c r="E628" s="39" t="s">
        <v>67</v>
      </c>
      <c r="F628" s="39" t="s">
        <v>68</v>
      </c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  <c r="AA628" s="29"/>
      <c r="AB628" s="29"/>
      <c r="AC628" s="29"/>
      <c r="AD628" s="29"/>
      <c r="AE628" s="29"/>
      <c r="AJ628"/>
      <c r="AK628"/>
      <c r="AL628"/>
      <c r="AM628"/>
      <c r="AN628"/>
      <c r="AO628"/>
      <c r="AP628"/>
      <c r="AQ628"/>
      <c r="AR628"/>
      <c r="AS628"/>
      <c r="AT628" s="4" t="str">
        <f t="shared" si="68"/>
        <v>IT费用一般运营设备折旧费</v>
      </c>
      <c r="AU628" s="4" t="str">
        <f t="shared" si="64"/>
        <v>企业数字营销部</v>
      </c>
      <c r="AV628" s="4" t="str">
        <f t="shared" si="65"/>
        <v>IT科技费用</v>
      </c>
      <c r="AW628" s="4" t="str">
        <f>IFERROR(VLOOKUP(AV628,[1]字段!A:B,2,0),"")</f>
        <v>IT费用</v>
      </c>
      <c r="AX628" s="30" t="str">
        <f>IF(AW628="人力费用",IF(E628="","",VLOOKUP(E628,[1]字段!D:E,2,0)),AW628)</f>
        <v>IT费用</v>
      </c>
      <c r="AY628" s="30" t="str">
        <f>IF(AT628="","",VLOOKUP(AT628,[1]字段!H:I,2,0))</f>
        <v>IT费用</v>
      </c>
      <c r="AZ628" s="31">
        <f t="shared" si="69"/>
        <v>0</v>
      </c>
      <c r="BA628" s="31">
        <f t="shared" si="66"/>
        <v>0</v>
      </c>
      <c r="BB628" s="31">
        <f t="shared" si="67"/>
        <v>0</v>
      </c>
      <c r="BC628" s="31">
        <f t="shared" si="70"/>
        <v>0</v>
      </c>
    </row>
    <row r="629" spans="1:55" ht="28.5" customHeight="1">
      <c r="A629" s="32"/>
      <c r="B629" s="32"/>
      <c r="C629" s="32"/>
      <c r="D629" s="40"/>
      <c r="E629" s="39" t="s">
        <v>71</v>
      </c>
      <c r="F629" s="39" t="s">
        <v>72</v>
      </c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  <c r="AA629" s="29"/>
      <c r="AB629" s="29"/>
      <c r="AC629" s="29"/>
      <c r="AD629" s="29"/>
      <c r="AE629" s="29"/>
      <c r="AJ629"/>
      <c r="AK629"/>
      <c r="AL629"/>
      <c r="AM629"/>
      <c r="AN629"/>
      <c r="AO629"/>
      <c r="AP629"/>
      <c r="AQ629"/>
      <c r="AR629"/>
      <c r="AS629"/>
      <c r="AT629" s="4" t="str">
        <f t="shared" si="68"/>
        <v>IT费用办公IT设备折旧费</v>
      </c>
      <c r="AU629" s="4" t="str">
        <f t="shared" si="64"/>
        <v>企业数字营销部</v>
      </c>
      <c r="AV629" s="4" t="str">
        <f t="shared" si="65"/>
        <v>IT科技费用</v>
      </c>
      <c r="AW629" s="4" t="str">
        <f>IFERROR(VLOOKUP(AV629,[1]字段!A:B,2,0),"")</f>
        <v>IT费用</v>
      </c>
      <c r="AX629" s="30" t="str">
        <f>IF(AW629="人力费用",IF(E629="","",VLOOKUP(E629,[1]字段!D:E,2,0)),AW629)</f>
        <v>IT费用</v>
      </c>
      <c r="AY629" s="30" t="str">
        <f>IF(AT629="","",VLOOKUP(AT629,[1]字段!H:I,2,0))</f>
        <v>IT费用</v>
      </c>
      <c r="AZ629" s="31">
        <f t="shared" si="69"/>
        <v>0</v>
      </c>
      <c r="BA629" s="31">
        <f t="shared" si="66"/>
        <v>0</v>
      </c>
      <c r="BB629" s="31">
        <f t="shared" si="67"/>
        <v>0</v>
      </c>
      <c r="BC629" s="31">
        <f t="shared" si="70"/>
        <v>0</v>
      </c>
    </row>
    <row r="630" spans="1:55" ht="28.5" customHeight="1">
      <c r="A630" s="32"/>
      <c r="B630" s="32"/>
      <c r="C630" s="32"/>
      <c r="D630" s="40"/>
      <c r="E630" s="39" t="s">
        <v>73</v>
      </c>
      <c r="F630" s="39" t="s">
        <v>74</v>
      </c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  <c r="AA630" s="29"/>
      <c r="AB630" s="29"/>
      <c r="AC630" s="29"/>
      <c r="AD630" s="29"/>
      <c r="AE630" s="29"/>
      <c r="AJ630"/>
      <c r="AK630"/>
      <c r="AL630"/>
      <c r="AM630"/>
      <c r="AN630"/>
      <c r="AO630"/>
      <c r="AP630"/>
      <c r="AQ630"/>
      <c r="AR630"/>
      <c r="AS630"/>
      <c r="AT630" s="4" t="str">
        <f t="shared" si="68"/>
        <v>IT费用计算机软件摊销</v>
      </c>
      <c r="AU630" s="4" t="str">
        <f t="shared" si="64"/>
        <v>企业数字营销部</v>
      </c>
      <c r="AV630" s="4" t="str">
        <f t="shared" si="65"/>
        <v>IT科技费用</v>
      </c>
      <c r="AW630" s="4" t="str">
        <f>IFERROR(VLOOKUP(AV630,[1]字段!A:B,2,0),"")</f>
        <v>IT费用</v>
      </c>
      <c r="AX630" s="30" t="str">
        <f>IF(AW630="人力费用",IF(E630="","",VLOOKUP(E630,[1]字段!D:E,2,0)),AW630)</f>
        <v>IT费用</v>
      </c>
      <c r="AY630" s="30" t="str">
        <f>IF(AT630="","",VLOOKUP(AT630,[1]字段!H:I,2,0))</f>
        <v>IT费用</v>
      </c>
      <c r="AZ630" s="31">
        <f t="shared" si="69"/>
        <v>0</v>
      </c>
      <c r="BA630" s="31">
        <f t="shared" si="66"/>
        <v>0</v>
      </c>
      <c r="BB630" s="31">
        <f t="shared" si="67"/>
        <v>0</v>
      </c>
      <c r="BC630" s="31">
        <f t="shared" si="70"/>
        <v>0</v>
      </c>
    </row>
    <row r="631" spans="1:55" ht="28.5" customHeight="1">
      <c r="A631" s="32"/>
      <c r="B631" s="32"/>
      <c r="C631" s="41"/>
      <c r="D631" s="42"/>
      <c r="E631" s="39" t="s">
        <v>81</v>
      </c>
      <c r="F631" s="39" t="s">
        <v>82</v>
      </c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  <c r="AA631" s="29"/>
      <c r="AB631" s="29"/>
      <c r="AC631" s="29"/>
      <c r="AD631" s="29"/>
      <c r="AE631" s="29"/>
      <c r="AJ631"/>
      <c r="AK631"/>
      <c r="AL631"/>
      <c r="AM631"/>
      <c r="AN631"/>
      <c r="AO631"/>
      <c r="AP631"/>
      <c r="AQ631"/>
      <c r="AR631"/>
      <c r="AS631"/>
      <c r="AT631" s="4" t="str">
        <f t="shared" si="68"/>
        <v>IT费用电子设备运转费 </v>
      </c>
      <c r="AU631" s="4" t="str">
        <f t="shared" si="64"/>
        <v>企业数字营销部</v>
      </c>
      <c r="AV631" s="4" t="str">
        <f t="shared" si="65"/>
        <v>IT科技费用</v>
      </c>
      <c r="AW631" s="4" t="str">
        <f>IFERROR(VLOOKUP(AV631,[1]字段!A:B,2,0),"")</f>
        <v>IT费用</v>
      </c>
      <c r="AX631" s="30" t="str">
        <f>IF(AW631="人力费用",IF(E631="","",VLOOKUP(E631,[1]字段!D:E,2,0)),AW631)</f>
        <v>IT费用</v>
      </c>
      <c r="AY631" s="30" t="str">
        <f>IF(AT631="","",VLOOKUP(AT631,[1]字段!H:I,2,0))</f>
        <v>IT费用</v>
      </c>
      <c r="AZ631" s="31">
        <f t="shared" si="69"/>
        <v>0</v>
      </c>
      <c r="BA631" s="31">
        <f t="shared" si="66"/>
        <v>0</v>
      </c>
      <c r="BB631" s="31">
        <f t="shared" si="67"/>
        <v>0</v>
      </c>
      <c r="BC631" s="31">
        <f t="shared" si="70"/>
        <v>0</v>
      </c>
    </row>
    <row r="632" spans="1:55" ht="28.5" customHeight="1">
      <c r="C632" s="33" t="s">
        <v>93</v>
      </c>
      <c r="D632" s="34" t="s">
        <v>94</v>
      </c>
      <c r="E632" s="35"/>
      <c r="F632" s="36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  <c r="AA632" s="29"/>
      <c r="AB632" s="29"/>
      <c r="AC632" s="29"/>
      <c r="AD632" s="29"/>
      <c r="AE632" s="29"/>
      <c r="AJ632"/>
      <c r="AK632"/>
      <c r="AL632"/>
      <c r="AM632"/>
      <c r="AN632"/>
      <c r="AO632"/>
      <c r="AP632"/>
      <c r="AQ632"/>
      <c r="AR632"/>
      <c r="AS632"/>
      <c r="AT632" s="4" t="str">
        <f t="shared" si="68"/>
        <v>日常费用</v>
      </c>
      <c r="AU632" s="4" t="str">
        <f t="shared" si="64"/>
        <v>企业数字营销部</v>
      </c>
      <c r="AV632" s="4" t="str">
        <f t="shared" si="65"/>
        <v>日常费用</v>
      </c>
      <c r="AW632" s="4" t="str">
        <f>IFERROR(VLOOKUP(AV632,[1]字段!A:B,2,0),"")</f>
        <v>日常费用</v>
      </c>
      <c r="AX632" s="30" t="str">
        <f>IF(AW632="人力费用",IF(E632="","",VLOOKUP(E632,[1]字段!D:E,2,0)),AW632)</f>
        <v>日常费用</v>
      </c>
      <c r="AY632" s="30">
        <f>IF(AT632="","",VLOOKUP(AT632,[1]字段!H:I,2,0))</f>
        <v>0</v>
      </c>
      <c r="AZ632" s="31">
        <f t="shared" si="69"/>
        <v>0</v>
      </c>
      <c r="BA632" s="31">
        <f t="shared" si="66"/>
        <v>0</v>
      </c>
      <c r="BB632" s="31">
        <f t="shared" si="67"/>
        <v>0</v>
      </c>
      <c r="BC632" s="31">
        <f t="shared" si="70"/>
        <v>0</v>
      </c>
    </row>
    <row r="633" spans="1:55" ht="28.5" customHeight="1">
      <c r="A633" s="32"/>
      <c r="B633" s="32"/>
      <c r="C633" s="37"/>
      <c r="D633" s="38"/>
      <c r="E633" s="39" t="s">
        <v>87</v>
      </c>
      <c r="F633" s="39" t="s">
        <v>88</v>
      </c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  <c r="AA633" s="29"/>
      <c r="AB633" s="29"/>
      <c r="AC633" s="29"/>
      <c r="AD633" s="29"/>
      <c r="AE633" s="29"/>
      <c r="AJ633"/>
      <c r="AK633"/>
      <c r="AL633"/>
      <c r="AM633"/>
      <c r="AN633"/>
      <c r="AO633"/>
      <c r="AP633"/>
      <c r="AQ633"/>
      <c r="AR633"/>
      <c r="AS633"/>
      <c r="AT633" s="4" t="str">
        <f t="shared" si="68"/>
        <v>日常费用办公OA设备折旧费</v>
      </c>
      <c r="AU633" s="4" t="str">
        <f t="shared" si="64"/>
        <v>企业数字营销部</v>
      </c>
      <c r="AV633" s="4" t="str">
        <f t="shared" si="65"/>
        <v>日常费用</v>
      </c>
      <c r="AW633" s="4" t="str">
        <f>IFERROR(VLOOKUP(AV633,[1]字段!A:B,2,0),"")</f>
        <v>日常费用</v>
      </c>
      <c r="AX633" s="30" t="str">
        <f>IF(AW633="人力费用",IF(E633="","",VLOOKUP(E633,[1]字段!D:E,2,0)),AW633)</f>
        <v>日常费用</v>
      </c>
      <c r="AY633" s="30" t="str">
        <f>IF(AT633="","",VLOOKUP(AT633,[1]字段!H:I,2,0))</f>
        <v>日常费用-其他</v>
      </c>
      <c r="AZ633" s="31">
        <f t="shared" si="69"/>
        <v>0</v>
      </c>
      <c r="BA633" s="31">
        <f t="shared" si="66"/>
        <v>0</v>
      </c>
      <c r="BB633" s="31">
        <f t="shared" si="67"/>
        <v>0</v>
      </c>
      <c r="BC633" s="31">
        <f t="shared" si="70"/>
        <v>0</v>
      </c>
    </row>
    <row r="634" spans="1:55" ht="28.5" customHeight="1">
      <c r="A634" s="32"/>
      <c r="B634" s="32"/>
      <c r="C634" s="32"/>
      <c r="D634" s="40"/>
      <c r="E634" s="39" t="s">
        <v>89</v>
      </c>
      <c r="F634" s="39" t="s">
        <v>90</v>
      </c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  <c r="AA634" s="29"/>
      <c r="AB634" s="29"/>
      <c r="AC634" s="29"/>
      <c r="AD634" s="29"/>
      <c r="AE634" s="29"/>
      <c r="AJ634"/>
      <c r="AK634"/>
      <c r="AL634"/>
      <c r="AM634"/>
      <c r="AN634"/>
      <c r="AO634"/>
      <c r="AP634"/>
      <c r="AQ634"/>
      <c r="AR634"/>
      <c r="AS634"/>
      <c r="AT634" s="4" t="str">
        <f t="shared" si="68"/>
        <v>日常费用办公家具折旧费</v>
      </c>
      <c r="AU634" s="4" t="str">
        <f t="shared" si="64"/>
        <v>企业数字营销部</v>
      </c>
      <c r="AV634" s="4" t="str">
        <f t="shared" si="65"/>
        <v>日常费用</v>
      </c>
      <c r="AW634" s="4" t="str">
        <f>IFERROR(VLOOKUP(AV634,[1]字段!A:B,2,0),"")</f>
        <v>日常费用</v>
      </c>
      <c r="AX634" s="30" t="str">
        <f>IF(AW634="人力费用",IF(E634="","",VLOOKUP(E634,[1]字段!D:E,2,0)),AW634)</f>
        <v>日常费用</v>
      </c>
      <c r="AY634" s="30" t="str">
        <f>IF(AT634="","",VLOOKUP(AT634,[1]字段!H:I,2,0))</f>
        <v>日常费用-其他</v>
      </c>
      <c r="AZ634" s="31">
        <f t="shared" si="69"/>
        <v>0</v>
      </c>
      <c r="BA634" s="31">
        <f t="shared" si="66"/>
        <v>0</v>
      </c>
      <c r="BB634" s="31">
        <f t="shared" si="67"/>
        <v>0</v>
      </c>
      <c r="BC634" s="31">
        <f t="shared" si="70"/>
        <v>0</v>
      </c>
    </row>
    <row r="635" spans="1:55" ht="28.5" customHeight="1">
      <c r="A635" s="32"/>
      <c r="B635" s="32"/>
      <c r="C635" s="32"/>
      <c r="D635" s="40"/>
      <c r="E635" s="39" t="s">
        <v>77</v>
      </c>
      <c r="F635" s="39" t="s">
        <v>78</v>
      </c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  <c r="AA635" s="29"/>
      <c r="AB635" s="29"/>
      <c r="AC635" s="29"/>
      <c r="AD635" s="29"/>
      <c r="AE635" s="29"/>
      <c r="AJ635"/>
      <c r="AK635"/>
      <c r="AL635"/>
      <c r="AM635"/>
      <c r="AN635"/>
      <c r="AO635"/>
      <c r="AP635"/>
      <c r="AQ635"/>
      <c r="AR635"/>
      <c r="AS635"/>
      <c r="AT635" s="4" t="str">
        <f t="shared" si="68"/>
        <v>日常费用咨询费</v>
      </c>
      <c r="AU635" s="4" t="str">
        <f t="shared" si="64"/>
        <v>企业数字营销部</v>
      </c>
      <c r="AV635" s="4" t="str">
        <f t="shared" si="65"/>
        <v>日常费用</v>
      </c>
      <c r="AW635" s="4" t="str">
        <f>IFERROR(VLOOKUP(AV635,[1]字段!A:B,2,0),"")</f>
        <v>日常费用</v>
      </c>
      <c r="AX635" s="30" t="str">
        <f>IF(AW635="人力费用",IF(E635="","",VLOOKUP(E635,[1]字段!D:E,2,0)),AW635)</f>
        <v>日常费用</v>
      </c>
      <c r="AY635" s="30" t="str">
        <f>IF(AT635="","",VLOOKUP(AT635,[1]字段!H:I,2,0))</f>
        <v>日常费用-咨询费</v>
      </c>
      <c r="AZ635" s="31">
        <f t="shared" si="69"/>
        <v>0</v>
      </c>
      <c r="BA635" s="31">
        <f t="shared" si="66"/>
        <v>0</v>
      </c>
      <c r="BB635" s="31">
        <f t="shared" si="67"/>
        <v>0</v>
      </c>
      <c r="BC635" s="31">
        <f t="shared" si="70"/>
        <v>0</v>
      </c>
    </row>
    <row r="636" spans="1:55" ht="28.5" customHeight="1">
      <c r="A636" s="32"/>
      <c r="B636" s="32"/>
      <c r="C636" s="32"/>
      <c r="D636" s="40"/>
      <c r="E636" s="39" t="s">
        <v>95</v>
      </c>
      <c r="F636" s="39" t="s">
        <v>96</v>
      </c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  <c r="AA636" s="29"/>
      <c r="AB636" s="29"/>
      <c r="AC636" s="29"/>
      <c r="AD636" s="29"/>
      <c r="AE636" s="29"/>
      <c r="AJ636"/>
      <c r="AK636"/>
      <c r="AL636"/>
      <c r="AM636"/>
      <c r="AN636"/>
      <c r="AO636"/>
      <c r="AP636"/>
      <c r="AQ636"/>
      <c r="AR636"/>
      <c r="AS636"/>
      <c r="AT636" s="4" t="str">
        <f t="shared" si="68"/>
        <v>日常费用业务招待费</v>
      </c>
      <c r="AU636" s="4" t="str">
        <f t="shared" si="64"/>
        <v>企业数字营销部</v>
      </c>
      <c r="AV636" s="4" t="str">
        <f t="shared" si="65"/>
        <v>日常费用</v>
      </c>
      <c r="AW636" s="4" t="str">
        <f>IFERROR(VLOOKUP(AV636,[1]字段!A:B,2,0),"")</f>
        <v>日常费用</v>
      </c>
      <c r="AX636" s="30" t="str">
        <f>IF(AW636="人力费用",IF(E636="","",VLOOKUP(E636,[1]字段!D:E,2,0)),AW636)</f>
        <v>日常费用</v>
      </c>
      <c r="AY636" s="30" t="str">
        <f>IF(AT636="","",VLOOKUP(AT636,[1]字段!H:I,2,0))</f>
        <v>日常费用-其他</v>
      </c>
      <c r="AZ636" s="31">
        <f t="shared" si="69"/>
        <v>0</v>
      </c>
      <c r="BA636" s="31">
        <f t="shared" si="66"/>
        <v>0</v>
      </c>
      <c r="BB636" s="31">
        <f t="shared" si="67"/>
        <v>0</v>
      </c>
      <c r="BC636" s="31">
        <f t="shared" si="70"/>
        <v>0</v>
      </c>
    </row>
    <row r="637" spans="1:55" ht="28.5" customHeight="1">
      <c r="A637" s="41"/>
      <c r="B637" s="41"/>
      <c r="C637" s="41"/>
      <c r="D637" s="42"/>
      <c r="E637" s="39" t="s">
        <v>139</v>
      </c>
      <c r="F637" s="39" t="s">
        <v>140</v>
      </c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  <c r="AA637" s="29"/>
      <c r="AB637" s="29"/>
      <c r="AC637" s="29"/>
      <c r="AD637" s="29"/>
      <c r="AE637" s="29"/>
      <c r="AJ637"/>
      <c r="AK637"/>
      <c r="AL637"/>
      <c r="AM637"/>
      <c r="AN637"/>
      <c r="AO637"/>
      <c r="AP637"/>
      <c r="AQ637"/>
      <c r="AR637"/>
      <c r="AS637"/>
      <c r="AT637" s="4" t="str">
        <f t="shared" si="68"/>
        <v>日常费用差旅费</v>
      </c>
      <c r="AU637" s="4" t="str">
        <f t="shared" si="64"/>
        <v>企业数字营销部</v>
      </c>
      <c r="AV637" s="4" t="str">
        <f t="shared" si="65"/>
        <v>日常费用</v>
      </c>
      <c r="AW637" s="4" t="str">
        <f>IFERROR(VLOOKUP(AV637,[1]字段!A:B,2,0),"")</f>
        <v>日常费用</v>
      </c>
      <c r="AX637" s="30" t="str">
        <f>IF(AW637="人力费用",IF(E637="","",VLOOKUP(E637,[1]字段!D:E,2,0)),AW637)</f>
        <v>日常费用</v>
      </c>
      <c r="AY637" s="30" t="str">
        <f>IF(AT637="","",VLOOKUP(AT637,[1]字段!H:I,2,0))</f>
        <v>日常费用-其他</v>
      </c>
      <c r="AZ637" s="31">
        <f t="shared" si="69"/>
        <v>0</v>
      </c>
      <c r="BA637" s="31">
        <f t="shared" si="66"/>
        <v>0</v>
      </c>
      <c r="BB637" s="31">
        <f t="shared" si="67"/>
        <v>0</v>
      </c>
      <c r="BC637" s="31">
        <f t="shared" si="70"/>
        <v>0</v>
      </c>
    </row>
    <row r="638" spans="1:55" ht="28.5" customHeight="1">
      <c r="A638" s="25"/>
      <c r="B638" s="26" t="s">
        <v>191</v>
      </c>
      <c r="C638" s="27"/>
      <c r="D638" s="27"/>
      <c r="E638" s="27"/>
      <c r="F638" s="28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  <c r="AA638" s="29"/>
      <c r="AB638" s="29"/>
      <c r="AC638" s="29"/>
      <c r="AD638" s="29"/>
      <c r="AE638" s="29"/>
      <c r="AJ638"/>
      <c r="AK638"/>
      <c r="AL638"/>
      <c r="AM638"/>
      <c r="AN638"/>
      <c r="AO638"/>
      <c r="AP638"/>
      <c r="AQ638"/>
      <c r="AR638"/>
      <c r="AS638"/>
      <c r="AT638" s="4" t="str">
        <f t="shared" si="68"/>
        <v/>
      </c>
      <c r="AU638" s="4" t="str">
        <f t="shared" si="64"/>
        <v>企金数字智能应用部</v>
      </c>
      <c r="AV638" s="4" t="str">
        <f t="shared" si="65"/>
        <v/>
      </c>
      <c r="AW638" s="4" t="str">
        <f>IFERROR(VLOOKUP(AV638,[1]字段!A:B,2,0),"")</f>
        <v/>
      </c>
      <c r="AX638" s="30" t="str">
        <f>IF(AW638="人力费用",IF(E638="","",VLOOKUP(E638,[1]字段!D:E,2,0)),AW638)</f>
        <v/>
      </c>
      <c r="AY638" s="30" t="str">
        <f>IF(AT638="","",VLOOKUP(AT638,[1]字段!H:I,2,0))</f>
        <v/>
      </c>
      <c r="AZ638" s="31">
        <f t="shared" si="69"/>
        <v>0</v>
      </c>
      <c r="BA638" s="31">
        <f t="shared" si="66"/>
        <v>0</v>
      </c>
      <c r="BB638" s="31">
        <f t="shared" si="67"/>
        <v>0</v>
      </c>
      <c r="BC638" s="31">
        <f t="shared" si="70"/>
        <v>0</v>
      </c>
    </row>
    <row r="639" spans="1:55" ht="28.5" customHeight="1">
      <c r="A639" s="32"/>
      <c r="B639" s="32"/>
      <c r="C639" s="33" t="s">
        <v>39</v>
      </c>
      <c r="D639" s="34" t="s">
        <v>40</v>
      </c>
      <c r="E639" s="35"/>
      <c r="F639" s="36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  <c r="AA639" s="29"/>
      <c r="AB639" s="29"/>
      <c r="AC639" s="29"/>
      <c r="AD639" s="29"/>
      <c r="AE639" s="29"/>
      <c r="AJ639"/>
      <c r="AK639"/>
      <c r="AL639"/>
      <c r="AM639"/>
      <c r="AN639"/>
      <c r="AO639"/>
      <c r="AP639"/>
      <c r="AQ639"/>
      <c r="AR639"/>
      <c r="AS639"/>
      <c r="AT639" s="4" t="str">
        <f t="shared" si="68"/>
        <v/>
      </c>
      <c r="AU639" s="4" t="str">
        <f t="shared" si="64"/>
        <v>企金数字智能应用部</v>
      </c>
      <c r="AV639" s="4" t="str">
        <f t="shared" si="65"/>
        <v>人力费用</v>
      </c>
      <c r="AW639" s="4" t="str">
        <f>IFERROR(VLOOKUP(AV639,[1]字段!A:B,2,0),"")</f>
        <v>人力费用</v>
      </c>
      <c r="AX639" s="30" t="str">
        <f>IF(AW639="人力费用",IF(E639="","",VLOOKUP(E639,[1]字段!D:E,2,0)),AW639)</f>
        <v/>
      </c>
      <c r="AY639" s="30" t="str">
        <f>IF(AT639="","",VLOOKUP(AT639,[1]字段!H:I,2,0))</f>
        <v/>
      </c>
      <c r="AZ639" s="31">
        <f t="shared" si="69"/>
        <v>0</v>
      </c>
      <c r="BA639" s="31">
        <f t="shared" si="66"/>
        <v>0</v>
      </c>
      <c r="BB639" s="31">
        <f t="shared" si="67"/>
        <v>0</v>
      </c>
      <c r="BC639" s="31">
        <f t="shared" si="70"/>
        <v>0</v>
      </c>
    </row>
    <row r="640" spans="1:55" ht="28.5" customHeight="1">
      <c r="A640" s="32"/>
      <c r="B640" s="32"/>
      <c r="C640" s="43"/>
      <c r="D640" s="43"/>
      <c r="E640" s="39" t="s">
        <v>41</v>
      </c>
      <c r="F640" s="39" t="s">
        <v>42</v>
      </c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  <c r="AA640" s="29"/>
      <c r="AB640" s="29"/>
      <c r="AC640" s="29"/>
      <c r="AD640" s="29"/>
      <c r="AE640" s="29"/>
      <c r="AJ640"/>
      <c r="AK640"/>
      <c r="AL640"/>
      <c r="AM640"/>
      <c r="AN640"/>
      <c r="AO640"/>
      <c r="AP640"/>
      <c r="AQ640"/>
      <c r="AR640"/>
      <c r="AS640"/>
      <c r="AT640" s="4" t="str">
        <f t="shared" si="68"/>
        <v>1.0倍人力基础工资</v>
      </c>
      <c r="AU640" s="4" t="str">
        <f t="shared" si="64"/>
        <v>企金数字智能应用部</v>
      </c>
      <c r="AV640" s="4" t="str">
        <f t="shared" si="65"/>
        <v>人力费用</v>
      </c>
      <c r="AW640" s="4" t="str">
        <f>IFERROR(VLOOKUP(AV640,[1]字段!A:B,2,0),"")</f>
        <v>人力费用</v>
      </c>
      <c r="AX640" s="30" t="str">
        <f>IF(AW640="人力费用",IF(E640="","",VLOOKUP(E640,[1]字段!D:E,2,0)),AW640)</f>
        <v>1.0倍人力</v>
      </c>
      <c r="AY640" s="30" t="str">
        <f>IF(AT640="","",VLOOKUP(AT640,[1]字段!H:I,2,0))</f>
        <v>1.0倍人力</v>
      </c>
      <c r="AZ640" s="31">
        <f t="shared" si="69"/>
        <v>0</v>
      </c>
      <c r="BA640" s="31">
        <f t="shared" si="66"/>
        <v>0</v>
      </c>
      <c r="BB640" s="31">
        <f t="shared" si="67"/>
        <v>0</v>
      </c>
      <c r="BC640" s="31">
        <f t="shared" si="70"/>
        <v>0</v>
      </c>
    </row>
    <row r="641" spans="1:55" ht="28.5" customHeight="1">
      <c r="A641" s="32"/>
      <c r="B641" s="32"/>
      <c r="C641" s="32"/>
      <c r="D641" s="40"/>
      <c r="E641" s="39">
        <v>5501010602</v>
      </c>
      <c r="F641" s="3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  <c r="AA641" s="29"/>
      <c r="AB641" s="29"/>
      <c r="AC641" s="29"/>
      <c r="AD641" s="29"/>
      <c r="AE641" s="29"/>
      <c r="AJ641"/>
      <c r="AK641"/>
      <c r="AL641"/>
      <c r="AM641"/>
      <c r="AN641"/>
      <c r="AO641"/>
      <c r="AP641"/>
      <c r="AQ641"/>
      <c r="AR641"/>
      <c r="AS641"/>
      <c r="AT641" s="4" t="str">
        <f t="shared" si="68"/>
        <v>利润分享</v>
      </c>
      <c r="AU641" s="4" t="str">
        <f t="shared" si="64"/>
        <v>企金数字智能应用部</v>
      </c>
      <c r="AV641" s="4" t="str">
        <f t="shared" si="65"/>
        <v>人力费用</v>
      </c>
      <c r="AW641" s="4" t="str">
        <f>IFERROR(VLOOKUP(AV641,[1]字段!A:B,2,0),"")</f>
        <v>人力费用</v>
      </c>
      <c r="AX641" s="30" t="str">
        <f>IF(AW641="人力费用",IF(E641="","",VLOOKUP(E641,[1]字段!D:E,2,0)),AW641)</f>
        <v>利润分享</v>
      </c>
      <c r="AY641" s="30" t="str">
        <f>IF(AT641="","",VLOOKUP(AT641,[1]字段!H:I,2,0))</f>
        <v>利润分享</v>
      </c>
      <c r="AZ641" s="31">
        <f t="shared" si="69"/>
        <v>0</v>
      </c>
      <c r="BA641" s="31">
        <f t="shared" si="66"/>
        <v>0</v>
      </c>
      <c r="BB641" s="31">
        <f t="shared" si="67"/>
        <v>0</v>
      </c>
      <c r="BC641" s="31">
        <f t="shared" si="70"/>
        <v>0</v>
      </c>
    </row>
    <row r="642" spans="1:55" ht="28.5" customHeight="1">
      <c r="A642" s="32"/>
      <c r="B642" s="32"/>
      <c r="C642" s="32"/>
      <c r="D642" s="40"/>
      <c r="E642" s="39">
        <v>5501010603</v>
      </c>
      <c r="F642" s="3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  <c r="AA642" s="29"/>
      <c r="AB642" s="29"/>
      <c r="AC642" s="29"/>
      <c r="AD642" s="29"/>
      <c r="AE642" s="29"/>
      <c r="AJ642"/>
      <c r="AK642"/>
      <c r="AL642"/>
      <c r="AM642"/>
      <c r="AN642"/>
      <c r="AO642"/>
      <c r="AP642"/>
      <c r="AQ642"/>
      <c r="AR642"/>
      <c r="AS642"/>
      <c r="AT642" s="4" t="str">
        <f t="shared" si="68"/>
        <v>留任奖励</v>
      </c>
      <c r="AU642" s="4" t="str">
        <f t="shared" si="64"/>
        <v>企金数字智能应用部</v>
      </c>
      <c r="AV642" s="4" t="str">
        <f t="shared" si="65"/>
        <v>人力费用</v>
      </c>
      <c r="AW642" s="4" t="str">
        <f>IFERROR(VLOOKUP(AV642,[1]字段!A:B,2,0),"")</f>
        <v>人力费用</v>
      </c>
      <c r="AX642" s="30" t="str">
        <f>IF(AW642="人力费用",IF(E642="","",VLOOKUP(E642,[1]字段!D:E,2,0)),AW642)</f>
        <v>留任奖励</v>
      </c>
      <c r="AY642" s="30" t="str">
        <f>IF(AT642="","",VLOOKUP(AT642,[1]字段!H:I,2,0))</f>
        <v>留任奖励</v>
      </c>
      <c r="AZ642" s="31">
        <f t="shared" si="69"/>
        <v>0</v>
      </c>
      <c r="BA642" s="31">
        <f t="shared" si="66"/>
        <v>0</v>
      </c>
      <c r="BB642" s="31">
        <f t="shared" si="67"/>
        <v>0</v>
      </c>
      <c r="BC642" s="31">
        <f t="shared" si="70"/>
        <v>0</v>
      </c>
    </row>
    <row r="643" spans="1:55" ht="28.5" customHeight="1">
      <c r="A643" s="32"/>
      <c r="B643" s="32"/>
      <c r="C643" s="32"/>
      <c r="D643" s="40"/>
      <c r="E643" s="39">
        <v>5501010604</v>
      </c>
      <c r="F643" s="3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  <c r="AA643" s="29"/>
      <c r="AB643" s="29"/>
      <c r="AC643" s="29"/>
      <c r="AD643" s="29"/>
      <c r="AE643" s="29"/>
      <c r="AJ643"/>
      <c r="AK643"/>
      <c r="AL643"/>
      <c r="AM643"/>
      <c r="AN643"/>
      <c r="AO643"/>
      <c r="AP643"/>
      <c r="AQ643"/>
      <c r="AR643"/>
      <c r="AS643"/>
      <c r="AT643" s="4" t="str">
        <f t="shared" si="68"/>
        <v>1.0倍人力</v>
      </c>
      <c r="AU643" s="4" t="str">
        <f t="shared" si="64"/>
        <v>企金数字智能应用部</v>
      </c>
      <c r="AV643" s="4" t="str">
        <f t="shared" si="65"/>
        <v>人力费用</v>
      </c>
      <c r="AW643" s="4" t="str">
        <f>IFERROR(VLOOKUP(AV643,[1]字段!A:B,2,0),"")</f>
        <v>人力费用</v>
      </c>
      <c r="AX643" s="30" t="str">
        <f>IF(AW643="人力费用",IF(E643="","",VLOOKUP(E643,[1]字段!D:E,2,0)),AW643)</f>
        <v>1.0倍人力</v>
      </c>
      <c r="AY643" s="30" t="str">
        <f>IF(AT643="","",VLOOKUP(AT643,[1]字段!H:I,2,0))</f>
        <v>1.0倍人力</v>
      </c>
      <c r="AZ643" s="31">
        <f t="shared" si="69"/>
        <v>0</v>
      </c>
      <c r="BA643" s="31">
        <f t="shared" si="66"/>
        <v>0</v>
      </c>
      <c r="BB643" s="31">
        <f t="shared" si="67"/>
        <v>0</v>
      </c>
      <c r="BC643" s="31">
        <f t="shared" si="70"/>
        <v>0</v>
      </c>
    </row>
    <row r="644" spans="1:55" ht="28.5" customHeight="1">
      <c r="A644" s="32"/>
      <c r="B644" s="32"/>
      <c r="C644" s="32"/>
      <c r="D644" s="40"/>
      <c r="E644" s="39" t="s">
        <v>43</v>
      </c>
      <c r="F644" s="39" t="s">
        <v>44</v>
      </c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  <c r="AA644" s="29"/>
      <c r="AB644" s="29"/>
      <c r="AC644" s="29"/>
      <c r="AD644" s="29"/>
      <c r="AE644" s="29"/>
      <c r="AJ644"/>
      <c r="AK644"/>
      <c r="AL644"/>
      <c r="AM644"/>
      <c r="AN644"/>
      <c r="AO644"/>
      <c r="AP644"/>
      <c r="AQ644"/>
      <c r="AR644"/>
      <c r="AS644"/>
      <c r="AT644" s="4" t="str">
        <f t="shared" si="68"/>
        <v>1.0倍人力团队建设费</v>
      </c>
      <c r="AU644" s="4" t="str">
        <f t="shared" si="64"/>
        <v>企金数字智能应用部</v>
      </c>
      <c r="AV644" s="4" t="str">
        <f t="shared" si="65"/>
        <v>人力费用</v>
      </c>
      <c r="AW644" s="4" t="str">
        <f>IFERROR(VLOOKUP(AV644,[1]字段!A:B,2,0),"")</f>
        <v>人力费用</v>
      </c>
      <c r="AX644" s="30" t="str">
        <f>IF(AW644="人力费用",IF(E644="","",VLOOKUP(E644,[1]字段!D:E,2,0)),AW644)</f>
        <v>1.0倍人力</v>
      </c>
      <c r="AY644" s="30" t="str">
        <f>IF(AT644="","",VLOOKUP(AT644,[1]字段!H:I,2,0))</f>
        <v>1.0倍人力</v>
      </c>
      <c r="AZ644" s="31">
        <f t="shared" si="69"/>
        <v>0</v>
      </c>
      <c r="BA644" s="31">
        <f t="shared" si="66"/>
        <v>0</v>
      </c>
      <c r="BB644" s="31">
        <f t="shared" si="67"/>
        <v>0</v>
      </c>
      <c r="BC644" s="31">
        <f t="shared" si="70"/>
        <v>0</v>
      </c>
    </row>
    <row r="645" spans="1:55" ht="28.5" customHeight="1">
      <c r="A645" s="32"/>
      <c r="B645" s="32"/>
      <c r="C645" s="32"/>
      <c r="D645" s="40"/>
      <c r="E645" s="39" t="s">
        <v>45</v>
      </c>
      <c r="F645" s="39" t="s">
        <v>46</v>
      </c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  <c r="AA645" s="29"/>
      <c r="AB645" s="29"/>
      <c r="AC645" s="29"/>
      <c r="AD645" s="29"/>
      <c r="AE645" s="29"/>
      <c r="AJ645"/>
      <c r="AK645"/>
      <c r="AL645"/>
      <c r="AM645"/>
      <c r="AN645"/>
      <c r="AO645"/>
      <c r="AP645"/>
      <c r="AQ645"/>
      <c r="AR645"/>
      <c r="AS645"/>
      <c r="AT645" s="4" t="str">
        <f t="shared" si="68"/>
        <v>1.0倍人力其他职工福利费</v>
      </c>
      <c r="AU645" s="4" t="str">
        <f t="shared" ref="AU645:AU708" si="71">IF(B645="",AU644,B645)</f>
        <v>企金数字智能应用部</v>
      </c>
      <c r="AV645" s="4" t="str">
        <f t="shared" ref="AV645:AV708" si="72">IF(B645&lt;&gt;"","",IF(D645="",AV644,D645))</f>
        <v>人力费用</v>
      </c>
      <c r="AW645" s="4" t="str">
        <f>IFERROR(VLOOKUP(AV645,[1]字段!A:B,2,0),"")</f>
        <v>人力费用</v>
      </c>
      <c r="AX645" s="30" t="str">
        <f>IF(AW645="人力费用",IF(E645="","",VLOOKUP(E645,[1]字段!D:E,2,0)),AW645)</f>
        <v>1.0倍人力</v>
      </c>
      <c r="AY645" s="30" t="str">
        <f>IF(AT645="","",VLOOKUP(AT645,[1]字段!H:I,2,0))</f>
        <v>1.0倍人力</v>
      </c>
      <c r="AZ645" s="31">
        <f t="shared" si="69"/>
        <v>0</v>
      </c>
      <c r="BA645" s="31">
        <f t="shared" ref="BA645:BA708" si="73">IF($E645="",0,SUMIF($G$1:$AE$1,BA$4,$G645:$AE645))</f>
        <v>0</v>
      </c>
      <c r="BB645" s="31">
        <f t="shared" ref="BB645:BB708" si="74">AZ645+BA645</f>
        <v>0</v>
      </c>
      <c r="BC645" s="31">
        <f t="shared" si="70"/>
        <v>0</v>
      </c>
    </row>
    <row r="646" spans="1:55" ht="28.5" customHeight="1">
      <c r="A646" s="32"/>
      <c r="B646" s="32"/>
      <c r="C646" s="32"/>
      <c r="D646" s="40"/>
      <c r="E646" s="39" t="s">
        <v>47</v>
      </c>
      <c r="F646" s="39" t="s">
        <v>48</v>
      </c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  <c r="AA646" s="29"/>
      <c r="AB646" s="29"/>
      <c r="AC646" s="29"/>
      <c r="AD646" s="29"/>
      <c r="AE646" s="29"/>
      <c r="AJ646"/>
      <c r="AK646"/>
      <c r="AL646"/>
      <c r="AM646"/>
      <c r="AN646"/>
      <c r="AO646"/>
      <c r="AP646"/>
      <c r="AQ646"/>
      <c r="AR646"/>
      <c r="AS646"/>
      <c r="AT646" s="4" t="str">
        <f t="shared" ref="AT646:AT709" si="75">AX646&amp;F646</f>
        <v>1.0倍人力工会经费</v>
      </c>
      <c r="AU646" s="4" t="str">
        <f t="shared" si="71"/>
        <v>企金数字智能应用部</v>
      </c>
      <c r="AV646" s="4" t="str">
        <f t="shared" si="72"/>
        <v>人力费用</v>
      </c>
      <c r="AW646" s="4" t="str">
        <f>IFERROR(VLOOKUP(AV646,[1]字段!A:B,2,0),"")</f>
        <v>人力费用</v>
      </c>
      <c r="AX646" s="30" t="str">
        <f>IF(AW646="人力费用",IF(E646="","",VLOOKUP(E646,[1]字段!D:E,2,0)),AW646)</f>
        <v>1.0倍人力</v>
      </c>
      <c r="AY646" s="30" t="str">
        <f>IF(AT646="","",VLOOKUP(AT646,[1]字段!H:I,2,0))</f>
        <v>1.0倍人力</v>
      </c>
      <c r="AZ646" s="31">
        <f t="shared" ref="AZ646:AZ709" si="76">IF($E646="",0,SUMIF($G$1:$AB$1,AZ$4,$G646:$AB646))</f>
        <v>0</v>
      </c>
      <c r="BA646" s="31">
        <f t="shared" si="73"/>
        <v>0</v>
      </c>
      <c r="BB646" s="31">
        <f t="shared" si="74"/>
        <v>0</v>
      </c>
      <c r="BC646" s="31">
        <f t="shared" ref="BC646:BC709" si="77">IF(E646="",0,SUM(G646:AE646)-AZ646-BA646)</f>
        <v>0</v>
      </c>
    </row>
    <row r="647" spans="1:55" ht="28.5" customHeight="1">
      <c r="A647" s="32"/>
      <c r="B647" s="32"/>
      <c r="C647" s="32"/>
      <c r="D647" s="40"/>
      <c r="E647" s="39" t="s">
        <v>49</v>
      </c>
      <c r="F647" s="39" t="s">
        <v>50</v>
      </c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  <c r="AA647" s="29"/>
      <c r="AB647" s="29"/>
      <c r="AC647" s="29"/>
      <c r="AD647" s="29"/>
      <c r="AE647" s="29"/>
      <c r="AJ647"/>
      <c r="AK647"/>
      <c r="AL647"/>
      <c r="AM647"/>
      <c r="AN647"/>
      <c r="AO647"/>
      <c r="AP647"/>
      <c r="AQ647"/>
      <c r="AR647"/>
      <c r="AS647"/>
      <c r="AT647" s="4" t="str">
        <f t="shared" si="75"/>
        <v>1.0倍人力基本养老保险</v>
      </c>
      <c r="AU647" s="4" t="str">
        <f t="shared" si="71"/>
        <v>企金数字智能应用部</v>
      </c>
      <c r="AV647" s="4" t="str">
        <f t="shared" si="72"/>
        <v>人力费用</v>
      </c>
      <c r="AW647" s="4" t="str">
        <f>IFERROR(VLOOKUP(AV647,[1]字段!A:B,2,0),"")</f>
        <v>人力费用</v>
      </c>
      <c r="AX647" s="30" t="str">
        <f>IF(AW647="人力费用",IF(E647="","",VLOOKUP(E647,[1]字段!D:E,2,0)),AW647)</f>
        <v>1.0倍人力</v>
      </c>
      <c r="AY647" s="30" t="str">
        <f>IF(AT647="","",VLOOKUP(AT647,[1]字段!H:I,2,0))</f>
        <v>1.0倍人力</v>
      </c>
      <c r="AZ647" s="31">
        <f t="shared" si="76"/>
        <v>0</v>
      </c>
      <c r="BA647" s="31">
        <f t="shared" si="73"/>
        <v>0</v>
      </c>
      <c r="BB647" s="31">
        <f t="shared" si="74"/>
        <v>0</v>
      </c>
      <c r="BC647" s="31">
        <f t="shared" si="77"/>
        <v>0</v>
      </c>
    </row>
    <row r="648" spans="1:55" ht="28.5" customHeight="1">
      <c r="A648" s="32"/>
      <c r="B648" s="32"/>
      <c r="C648" s="32"/>
      <c r="D648" s="40"/>
      <c r="E648" s="39" t="s">
        <v>51</v>
      </c>
      <c r="F648" s="39" t="s">
        <v>52</v>
      </c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  <c r="AA648" s="29"/>
      <c r="AB648" s="29"/>
      <c r="AC648" s="29"/>
      <c r="AD648" s="29"/>
      <c r="AE648" s="29"/>
      <c r="AJ648"/>
      <c r="AK648"/>
      <c r="AL648"/>
      <c r="AM648"/>
      <c r="AN648"/>
      <c r="AO648"/>
      <c r="AP648"/>
      <c r="AQ648"/>
      <c r="AR648"/>
      <c r="AS648"/>
      <c r="AT648" s="4" t="str">
        <f t="shared" si="75"/>
        <v>1.0倍人力基本医疗保险</v>
      </c>
      <c r="AU648" s="4" t="str">
        <f t="shared" si="71"/>
        <v>企金数字智能应用部</v>
      </c>
      <c r="AV648" s="4" t="str">
        <f t="shared" si="72"/>
        <v>人力费用</v>
      </c>
      <c r="AW648" s="4" t="str">
        <f>IFERROR(VLOOKUP(AV648,[1]字段!A:B,2,0),"")</f>
        <v>人力费用</v>
      </c>
      <c r="AX648" s="30" t="str">
        <f>IF(AW648="人力费用",IF(E648="","",VLOOKUP(E648,[1]字段!D:E,2,0)),AW648)</f>
        <v>1.0倍人力</v>
      </c>
      <c r="AY648" s="30" t="str">
        <f>IF(AT648="","",VLOOKUP(AT648,[1]字段!H:I,2,0))</f>
        <v>1.0倍人力</v>
      </c>
      <c r="AZ648" s="31">
        <f t="shared" si="76"/>
        <v>0</v>
      </c>
      <c r="BA648" s="31">
        <f t="shared" si="73"/>
        <v>0</v>
      </c>
      <c r="BB648" s="31">
        <f t="shared" si="74"/>
        <v>0</v>
      </c>
      <c r="BC648" s="31">
        <f t="shared" si="77"/>
        <v>0</v>
      </c>
    </row>
    <row r="649" spans="1:55" ht="28.5" customHeight="1">
      <c r="A649" s="32"/>
      <c r="B649" s="32"/>
      <c r="C649" s="32"/>
      <c r="D649" s="40"/>
      <c r="E649" s="39" t="s">
        <v>53</v>
      </c>
      <c r="F649" s="39" t="s">
        <v>54</v>
      </c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  <c r="AA649" s="29"/>
      <c r="AB649" s="29"/>
      <c r="AC649" s="29"/>
      <c r="AD649" s="29"/>
      <c r="AE649" s="29"/>
      <c r="AJ649"/>
      <c r="AK649"/>
      <c r="AL649"/>
      <c r="AM649"/>
      <c r="AN649"/>
      <c r="AO649"/>
      <c r="AP649"/>
      <c r="AQ649"/>
      <c r="AR649"/>
      <c r="AS649"/>
      <c r="AT649" s="4" t="str">
        <f t="shared" si="75"/>
        <v>1.0倍人力工伤保险</v>
      </c>
      <c r="AU649" s="4" t="str">
        <f t="shared" si="71"/>
        <v>企金数字智能应用部</v>
      </c>
      <c r="AV649" s="4" t="str">
        <f t="shared" si="72"/>
        <v>人力费用</v>
      </c>
      <c r="AW649" s="4" t="str">
        <f>IFERROR(VLOOKUP(AV649,[1]字段!A:B,2,0),"")</f>
        <v>人力费用</v>
      </c>
      <c r="AX649" s="30" t="str">
        <f>IF(AW649="人力费用",IF(E649="","",VLOOKUP(E649,[1]字段!D:E,2,0)),AW649)</f>
        <v>1.0倍人力</v>
      </c>
      <c r="AY649" s="30" t="str">
        <f>IF(AT649="","",VLOOKUP(AT649,[1]字段!H:I,2,0))</f>
        <v>1.0倍人力</v>
      </c>
      <c r="AZ649" s="31">
        <f t="shared" si="76"/>
        <v>0</v>
      </c>
      <c r="BA649" s="31">
        <f t="shared" si="73"/>
        <v>0</v>
      </c>
      <c r="BB649" s="31">
        <f t="shared" si="74"/>
        <v>0</v>
      </c>
      <c r="BC649" s="31">
        <f t="shared" si="77"/>
        <v>0</v>
      </c>
    </row>
    <row r="650" spans="1:55" ht="28.5" customHeight="1">
      <c r="A650" s="32"/>
      <c r="B650" s="32"/>
      <c r="C650" s="32"/>
      <c r="D650" s="40"/>
      <c r="E650" s="39" t="s">
        <v>55</v>
      </c>
      <c r="F650" s="39" t="s">
        <v>56</v>
      </c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  <c r="AA650" s="29"/>
      <c r="AB650" s="29"/>
      <c r="AC650" s="29"/>
      <c r="AD650" s="29"/>
      <c r="AE650" s="29"/>
      <c r="AJ650"/>
      <c r="AK650"/>
      <c r="AL650"/>
      <c r="AM650"/>
      <c r="AN650"/>
      <c r="AO650"/>
      <c r="AP650"/>
      <c r="AQ650"/>
      <c r="AR650"/>
      <c r="AS650"/>
      <c r="AT650" s="4" t="str">
        <f t="shared" si="75"/>
        <v>1.0倍人力生育保险</v>
      </c>
      <c r="AU650" s="4" t="str">
        <f t="shared" si="71"/>
        <v>企金数字智能应用部</v>
      </c>
      <c r="AV650" s="4" t="str">
        <f t="shared" si="72"/>
        <v>人力费用</v>
      </c>
      <c r="AW650" s="4" t="str">
        <f>IFERROR(VLOOKUP(AV650,[1]字段!A:B,2,0),"")</f>
        <v>人力费用</v>
      </c>
      <c r="AX650" s="30" t="str">
        <f>IF(AW650="人力费用",IF(E650="","",VLOOKUP(E650,[1]字段!D:E,2,0)),AW650)</f>
        <v>1.0倍人力</v>
      </c>
      <c r="AY650" s="30" t="str">
        <f>IF(AT650="","",VLOOKUP(AT650,[1]字段!H:I,2,0))</f>
        <v>1.0倍人力</v>
      </c>
      <c r="AZ650" s="31">
        <f t="shared" si="76"/>
        <v>0</v>
      </c>
      <c r="BA650" s="31">
        <f t="shared" si="73"/>
        <v>0</v>
      </c>
      <c r="BB650" s="31">
        <f t="shared" si="74"/>
        <v>0</v>
      </c>
      <c r="BC650" s="31">
        <f t="shared" si="77"/>
        <v>0</v>
      </c>
    </row>
    <row r="651" spans="1:55" ht="28.5" customHeight="1">
      <c r="A651" s="32"/>
      <c r="B651" s="32"/>
      <c r="C651" s="32"/>
      <c r="D651" s="40"/>
      <c r="E651" s="39" t="s">
        <v>57</v>
      </c>
      <c r="F651" s="39" t="s">
        <v>58</v>
      </c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  <c r="AA651" s="29"/>
      <c r="AB651" s="29"/>
      <c r="AC651" s="29"/>
      <c r="AD651" s="29"/>
      <c r="AE651" s="29"/>
      <c r="AJ651"/>
      <c r="AK651"/>
      <c r="AL651"/>
      <c r="AM651"/>
      <c r="AN651"/>
      <c r="AO651"/>
      <c r="AP651"/>
      <c r="AQ651"/>
      <c r="AR651"/>
      <c r="AS651"/>
      <c r="AT651" s="4" t="str">
        <f t="shared" si="75"/>
        <v>1.0倍人力失业保险</v>
      </c>
      <c r="AU651" s="4" t="str">
        <f t="shared" si="71"/>
        <v>企金数字智能应用部</v>
      </c>
      <c r="AV651" s="4" t="str">
        <f t="shared" si="72"/>
        <v>人力费用</v>
      </c>
      <c r="AW651" s="4" t="str">
        <f>IFERROR(VLOOKUP(AV651,[1]字段!A:B,2,0),"")</f>
        <v>人力费用</v>
      </c>
      <c r="AX651" s="30" t="str">
        <f>IF(AW651="人力费用",IF(E651="","",VLOOKUP(E651,[1]字段!D:E,2,0)),AW651)</f>
        <v>1.0倍人力</v>
      </c>
      <c r="AY651" s="30" t="str">
        <f>IF(AT651="","",VLOOKUP(AT651,[1]字段!H:I,2,0))</f>
        <v>1.0倍人力</v>
      </c>
      <c r="AZ651" s="31">
        <f t="shared" si="76"/>
        <v>0</v>
      </c>
      <c r="BA651" s="31">
        <f t="shared" si="73"/>
        <v>0</v>
      </c>
      <c r="BB651" s="31">
        <f t="shared" si="74"/>
        <v>0</v>
      </c>
      <c r="BC651" s="31">
        <f t="shared" si="77"/>
        <v>0</v>
      </c>
    </row>
    <row r="652" spans="1:55" ht="28.5" customHeight="1">
      <c r="A652" s="32"/>
      <c r="B652" s="32"/>
      <c r="C652" s="41"/>
      <c r="D652" s="42"/>
      <c r="E652" s="39" t="s">
        <v>59</v>
      </c>
      <c r="F652" s="39" t="s">
        <v>60</v>
      </c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  <c r="AA652" s="29"/>
      <c r="AB652" s="29"/>
      <c r="AC652" s="29"/>
      <c r="AD652" s="29"/>
      <c r="AE652" s="29"/>
      <c r="AJ652"/>
      <c r="AK652"/>
      <c r="AL652"/>
      <c r="AM652"/>
      <c r="AN652"/>
      <c r="AO652"/>
      <c r="AP652"/>
      <c r="AQ652"/>
      <c r="AR652"/>
      <c r="AS652"/>
      <c r="AT652" s="4" t="str">
        <f t="shared" si="75"/>
        <v>1.0倍人力住房公积金</v>
      </c>
      <c r="AU652" s="4" t="str">
        <f t="shared" si="71"/>
        <v>企金数字智能应用部</v>
      </c>
      <c r="AV652" s="4" t="str">
        <f t="shared" si="72"/>
        <v>人力费用</v>
      </c>
      <c r="AW652" s="4" t="str">
        <f>IFERROR(VLOOKUP(AV652,[1]字段!A:B,2,0),"")</f>
        <v>人力费用</v>
      </c>
      <c r="AX652" s="30" t="str">
        <f>IF(AW652="人力费用",IF(E652="","",VLOOKUP(E652,[1]字段!D:E,2,0)),AW652)</f>
        <v>1.0倍人力</v>
      </c>
      <c r="AY652" s="30" t="str">
        <f>IF(AT652="","",VLOOKUP(AT652,[1]字段!H:I,2,0))</f>
        <v>1.0倍人力</v>
      </c>
      <c r="AZ652" s="31">
        <f t="shared" si="76"/>
        <v>0</v>
      </c>
      <c r="BA652" s="31">
        <f t="shared" si="73"/>
        <v>0</v>
      </c>
      <c r="BB652" s="31">
        <f t="shared" si="74"/>
        <v>0</v>
      </c>
      <c r="BC652" s="31">
        <f t="shared" si="77"/>
        <v>0</v>
      </c>
    </row>
    <row r="653" spans="1:55" ht="28.5" customHeight="1">
      <c r="C653" s="33" t="s">
        <v>107</v>
      </c>
      <c r="D653" s="34" t="s">
        <v>108</v>
      </c>
      <c r="E653" s="35"/>
      <c r="F653" s="36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  <c r="AA653" s="29"/>
      <c r="AB653" s="29"/>
      <c r="AC653" s="29"/>
      <c r="AD653" s="29"/>
      <c r="AE653" s="29"/>
      <c r="AJ653"/>
      <c r="AK653"/>
      <c r="AL653"/>
      <c r="AM653"/>
      <c r="AN653"/>
      <c r="AO653"/>
      <c r="AP653"/>
      <c r="AQ653"/>
      <c r="AR653"/>
      <c r="AS653"/>
      <c r="AT653" s="4" t="str">
        <f t="shared" si="75"/>
        <v>营销费用</v>
      </c>
      <c r="AU653" s="4" t="str">
        <f t="shared" si="71"/>
        <v>企金数字智能应用部</v>
      </c>
      <c r="AV653" s="4" t="str">
        <f t="shared" si="72"/>
        <v>营销费用</v>
      </c>
      <c r="AW653" s="4" t="str">
        <f>IFERROR(VLOOKUP(AV653,[1]字段!A:B,2,0),"")</f>
        <v>营销费用</v>
      </c>
      <c r="AX653" s="30" t="str">
        <f>IF(AW653="人力费用",IF(E653="","",VLOOKUP(E653,[1]字段!D:E,2,0)),AW653)</f>
        <v>营销费用</v>
      </c>
      <c r="AY653" s="30">
        <f>IF(AT653="","",VLOOKUP(AT653,[1]字段!H:I,2,0))</f>
        <v>0</v>
      </c>
      <c r="AZ653" s="31">
        <f t="shared" si="76"/>
        <v>0</v>
      </c>
      <c r="BA653" s="31">
        <f t="shared" si="73"/>
        <v>0</v>
      </c>
      <c r="BB653" s="31">
        <f t="shared" si="74"/>
        <v>0</v>
      </c>
      <c r="BC653" s="31">
        <f t="shared" si="77"/>
        <v>0</v>
      </c>
    </row>
    <row r="654" spans="1:55" ht="28.5" customHeight="1">
      <c r="A654" s="32"/>
      <c r="B654" s="32"/>
      <c r="C654" s="43"/>
      <c r="D654" s="43"/>
      <c r="E654" s="39" t="s">
        <v>111</v>
      </c>
      <c r="F654" s="39" t="s">
        <v>112</v>
      </c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  <c r="AA654" s="29"/>
      <c r="AB654" s="29"/>
      <c r="AC654" s="29"/>
      <c r="AD654" s="29"/>
      <c r="AE654" s="29"/>
      <c r="AJ654"/>
      <c r="AK654"/>
      <c r="AL654"/>
      <c r="AM654"/>
      <c r="AN654"/>
      <c r="AO654"/>
      <c r="AP654"/>
      <c r="AQ654"/>
      <c r="AR654"/>
      <c r="AS654"/>
      <c r="AT654" s="4" t="str">
        <f t="shared" si="75"/>
        <v>营销费用业务宣传费</v>
      </c>
      <c r="AU654" s="4" t="str">
        <f t="shared" si="71"/>
        <v>企金数字智能应用部</v>
      </c>
      <c r="AV654" s="4" t="str">
        <f t="shared" si="72"/>
        <v>营销费用</v>
      </c>
      <c r="AW654" s="4" t="str">
        <f>IFERROR(VLOOKUP(AV654,[1]字段!A:B,2,0),"")</f>
        <v>营销费用</v>
      </c>
      <c r="AX654" s="30" t="str">
        <f>IF(AW654="人力费用",IF(E654="","",VLOOKUP(E654,[1]字段!D:E,2,0)),AW654)</f>
        <v>营销费用</v>
      </c>
      <c r="AY654" s="30" t="str">
        <f>IF(AT654="","",VLOOKUP(AT654,[1]字段!H:I,2,0))</f>
        <v>营销费用</v>
      </c>
      <c r="AZ654" s="31">
        <f t="shared" si="76"/>
        <v>0</v>
      </c>
      <c r="BA654" s="31">
        <f t="shared" si="73"/>
        <v>0</v>
      </c>
      <c r="BB654" s="31">
        <f t="shared" si="74"/>
        <v>0</v>
      </c>
      <c r="BC654" s="31">
        <f t="shared" si="77"/>
        <v>0</v>
      </c>
    </row>
    <row r="655" spans="1:55" ht="28.5" customHeight="1">
      <c r="C655" s="33" t="s">
        <v>162</v>
      </c>
      <c r="D655" s="34" t="s">
        <v>163</v>
      </c>
      <c r="E655" s="35"/>
      <c r="F655" s="36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  <c r="AA655" s="29"/>
      <c r="AB655" s="29"/>
      <c r="AC655" s="29"/>
      <c r="AD655" s="29"/>
      <c r="AE655" s="29"/>
      <c r="AJ655"/>
      <c r="AK655"/>
      <c r="AL655"/>
      <c r="AM655"/>
      <c r="AN655"/>
      <c r="AO655"/>
      <c r="AP655"/>
      <c r="AQ655"/>
      <c r="AR655"/>
      <c r="AS655"/>
      <c r="AT655" s="4" t="str">
        <f t="shared" si="75"/>
        <v>运营费用</v>
      </c>
      <c r="AU655" s="4" t="str">
        <f t="shared" si="71"/>
        <v>企金数字智能应用部</v>
      </c>
      <c r="AV655" s="4" t="str">
        <f t="shared" si="72"/>
        <v>运营费用</v>
      </c>
      <c r="AW655" s="4" t="str">
        <f>IFERROR(VLOOKUP(AV655,[1]字段!A:B,2,0),"")</f>
        <v>运营费用</v>
      </c>
      <c r="AX655" s="30" t="str">
        <f>IF(AW655="人力费用",IF(E655="","",VLOOKUP(E655,[1]字段!D:E,2,0)),AW655)</f>
        <v>运营费用</v>
      </c>
      <c r="AY655" s="30">
        <f>IF(AT655="","",VLOOKUP(AT655,[1]字段!H:I,2,0))</f>
        <v>0</v>
      </c>
      <c r="AZ655" s="31">
        <f t="shared" si="76"/>
        <v>0</v>
      </c>
      <c r="BA655" s="31">
        <f t="shared" si="73"/>
        <v>0</v>
      </c>
      <c r="BB655" s="31">
        <f t="shared" si="74"/>
        <v>0</v>
      </c>
      <c r="BC655" s="31">
        <f t="shared" si="77"/>
        <v>0</v>
      </c>
    </row>
    <row r="656" spans="1:55" ht="28.5" customHeight="1">
      <c r="A656" s="32"/>
      <c r="B656" s="32"/>
      <c r="C656" s="37"/>
      <c r="D656" s="38"/>
      <c r="E656" s="39" t="s">
        <v>170</v>
      </c>
      <c r="F656" s="39" t="s">
        <v>171</v>
      </c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  <c r="AA656" s="29"/>
      <c r="AB656" s="29"/>
      <c r="AC656" s="29"/>
      <c r="AD656" s="29"/>
      <c r="AE656" s="29"/>
      <c r="AJ656"/>
      <c r="AK656"/>
      <c r="AL656"/>
      <c r="AM656"/>
      <c r="AN656"/>
      <c r="AO656"/>
      <c r="AP656"/>
      <c r="AQ656"/>
      <c r="AR656"/>
      <c r="AS656"/>
      <c r="AT656" s="4" t="str">
        <f t="shared" si="75"/>
        <v>运营费用技术服务费</v>
      </c>
      <c r="AU656" s="4" t="str">
        <f t="shared" si="71"/>
        <v>企金数字智能应用部</v>
      </c>
      <c r="AV656" s="4" t="str">
        <f t="shared" si="72"/>
        <v>运营费用</v>
      </c>
      <c r="AW656" s="4" t="str">
        <f>IFERROR(VLOOKUP(AV656,[1]字段!A:B,2,0),"")</f>
        <v>运营费用</v>
      </c>
      <c r="AX656" s="30" t="str">
        <f>IF(AW656="人力费用",IF(E656="","",VLOOKUP(E656,[1]字段!D:E,2,0)),AW656)</f>
        <v>运营费用</v>
      </c>
      <c r="AY656" s="30" t="str">
        <f>IF(AT656="","",VLOOKUP(AT656,[1]字段!H:I,2,0))</f>
        <v>运营费用-运营其他</v>
      </c>
      <c r="AZ656" s="31">
        <f t="shared" si="76"/>
        <v>0</v>
      </c>
      <c r="BA656" s="31">
        <f t="shared" si="73"/>
        <v>0</v>
      </c>
      <c r="BB656" s="31">
        <f t="shared" si="74"/>
        <v>0</v>
      </c>
      <c r="BC656" s="31">
        <f t="shared" si="77"/>
        <v>0</v>
      </c>
    </row>
    <row r="657" spans="1:55" ht="28.5" customHeight="1">
      <c r="A657" s="32"/>
      <c r="B657" s="32"/>
      <c r="C657" s="41"/>
      <c r="D657" s="42"/>
      <c r="E657" s="39" t="s">
        <v>83</v>
      </c>
      <c r="F657" s="39" t="s">
        <v>84</v>
      </c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  <c r="AA657" s="29"/>
      <c r="AB657" s="29"/>
      <c r="AC657" s="29"/>
      <c r="AD657" s="29"/>
      <c r="AE657" s="29"/>
      <c r="AJ657"/>
      <c r="AK657"/>
      <c r="AL657"/>
      <c r="AM657"/>
      <c r="AN657"/>
      <c r="AO657"/>
      <c r="AP657"/>
      <c r="AQ657"/>
      <c r="AR657"/>
      <c r="AS657"/>
      <c r="AT657" s="4" t="str">
        <f t="shared" si="75"/>
        <v>运营费用其他外包服务费</v>
      </c>
      <c r="AU657" s="4" t="str">
        <f t="shared" si="71"/>
        <v>企金数字智能应用部</v>
      </c>
      <c r="AV657" s="4" t="str">
        <f t="shared" si="72"/>
        <v>运营费用</v>
      </c>
      <c r="AW657" s="4" t="str">
        <f>IFERROR(VLOOKUP(AV657,[1]字段!A:B,2,0),"")</f>
        <v>运营费用</v>
      </c>
      <c r="AX657" s="30" t="str">
        <f>IF(AW657="人力费用",IF(E657="","",VLOOKUP(E657,[1]字段!D:E,2,0)),AW657)</f>
        <v>运营费用</v>
      </c>
      <c r="AY657" s="30" t="str">
        <f>IF(AT657="","",VLOOKUP(AT657,[1]字段!H:I,2,0))</f>
        <v>运营费用-外包服务费</v>
      </c>
      <c r="AZ657" s="31">
        <f t="shared" si="76"/>
        <v>0</v>
      </c>
      <c r="BA657" s="31">
        <f t="shared" si="73"/>
        <v>0</v>
      </c>
      <c r="BB657" s="31">
        <f t="shared" si="74"/>
        <v>0</v>
      </c>
      <c r="BC657" s="31">
        <f t="shared" si="77"/>
        <v>0</v>
      </c>
    </row>
    <row r="658" spans="1:55" ht="28.5" customHeight="1">
      <c r="C658" s="33" t="s">
        <v>65</v>
      </c>
      <c r="D658" s="34" t="s">
        <v>66</v>
      </c>
      <c r="E658" s="35"/>
      <c r="F658" s="36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  <c r="AA658" s="29"/>
      <c r="AB658" s="29"/>
      <c r="AC658" s="29"/>
      <c r="AD658" s="29"/>
      <c r="AE658" s="29"/>
      <c r="AJ658"/>
      <c r="AK658"/>
      <c r="AL658"/>
      <c r="AM658"/>
      <c r="AN658"/>
      <c r="AO658"/>
      <c r="AP658"/>
      <c r="AQ658"/>
      <c r="AR658"/>
      <c r="AS658"/>
      <c r="AT658" s="4" t="str">
        <f t="shared" si="75"/>
        <v>IT费用</v>
      </c>
      <c r="AU658" s="4" t="str">
        <f t="shared" si="71"/>
        <v>企金数字智能应用部</v>
      </c>
      <c r="AV658" s="4" t="str">
        <f t="shared" si="72"/>
        <v>IT科技费用</v>
      </c>
      <c r="AW658" s="4" t="str">
        <f>IFERROR(VLOOKUP(AV658,[1]字段!A:B,2,0),"")</f>
        <v>IT费用</v>
      </c>
      <c r="AX658" s="30" t="str">
        <f>IF(AW658="人力费用",IF(E658="","",VLOOKUP(E658,[1]字段!D:E,2,0)),AW658)</f>
        <v>IT费用</v>
      </c>
      <c r="AY658" s="30">
        <f>IF(AT658="","",VLOOKUP(AT658,[1]字段!H:I,2,0))</f>
        <v>0</v>
      </c>
      <c r="AZ658" s="31">
        <f t="shared" si="76"/>
        <v>0</v>
      </c>
      <c r="BA658" s="31">
        <f t="shared" si="73"/>
        <v>0</v>
      </c>
      <c r="BB658" s="31">
        <f t="shared" si="74"/>
        <v>0</v>
      </c>
      <c r="BC658" s="31">
        <f t="shared" si="77"/>
        <v>0</v>
      </c>
    </row>
    <row r="659" spans="1:55" ht="28.5" customHeight="1">
      <c r="A659" s="32"/>
      <c r="B659" s="32"/>
      <c r="C659" s="37"/>
      <c r="D659" s="38"/>
      <c r="E659" s="39" t="s">
        <v>71</v>
      </c>
      <c r="F659" s="39" t="s">
        <v>72</v>
      </c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  <c r="AA659" s="29"/>
      <c r="AB659" s="29"/>
      <c r="AC659" s="29"/>
      <c r="AD659" s="29"/>
      <c r="AE659" s="29"/>
      <c r="AJ659"/>
      <c r="AK659"/>
      <c r="AL659"/>
      <c r="AM659"/>
      <c r="AN659"/>
      <c r="AO659"/>
      <c r="AP659"/>
      <c r="AQ659"/>
      <c r="AR659"/>
      <c r="AS659"/>
      <c r="AT659" s="4" t="str">
        <f t="shared" si="75"/>
        <v>IT费用办公IT设备折旧费</v>
      </c>
      <c r="AU659" s="4" t="str">
        <f t="shared" si="71"/>
        <v>企金数字智能应用部</v>
      </c>
      <c r="AV659" s="4" t="str">
        <f t="shared" si="72"/>
        <v>IT科技费用</v>
      </c>
      <c r="AW659" s="4" t="str">
        <f>IFERROR(VLOOKUP(AV659,[1]字段!A:B,2,0),"")</f>
        <v>IT费用</v>
      </c>
      <c r="AX659" s="30" t="str">
        <f>IF(AW659="人力费用",IF(E659="","",VLOOKUP(E659,[1]字段!D:E,2,0)),AW659)</f>
        <v>IT费用</v>
      </c>
      <c r="AY659" s="30" t="str">
        <f>IF(AT659="","",VLOOKUP(AT659,[1]字段!H:I,2,0))</f>
        <v>IT费用</v>
      </c>
      <c r="AZ659" s="31">
        <f t="shared" si="76"/>
        <v>0</v>
      </c>
      <c r="BA659" s="31">
        <f t="shared" si="73"/>
        <v>0</v>
      </c>
      <c r="BB659" s="31">
        <f t="shared" si="74"/>
        <v>0</v>
      </c>
      <c r="BC659" s="31">
        <f t="shared" si="77"/>
        <v>0</v>
      </c>
    </row>
    <row r="660" spans="1:55" ht="28.5" customHeight="1">
      <c r="A660" s="32"/>
      <c r="B660" s="32"/>
      <c r="C660" s="32"/>
      <c r="D660" s="40"/>
      <c r="E660" s="39" t="s">
        <v>73</v>
      </c>
      <c r="F660" s="39" t="s">
        <v>74</v>
      </c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  <c r="AA660" s="29"/>
      <c r="AB660" s="29"/>
      <c r="AC660" s="29"/>
      <c r="AD660" s="29"/>
      <c r="AE660" s="29"/>
      <c r="AJ660"/>
      <c r="AK660"/>
      <c r="AL660"/>
      <c r="AM660"/>
      <c r="AN660"/>
      <c r="AO660"/>
      <c r="AP660"/>
      <c r="AQ660"/>
      <c r="AR660"/>
      <c r="AS660"/>
      <c r="AT660" s="4" t="str">
        <f t="shared" si="75"/>
        <v>IT费用计算机软件摊销</v>
      </c>
      <c r="AU660" s="4" t="str">
        <f t="shared" si="71"/>
        <v>企金数字智能应用部</v>
      </c>
      <c r="AV660" s="4" t="str">
        <f t="shared" si="72"/>
        <v>IT科技费用</v>
      </c>
      <c r="AW660" s="4" t="str">
        <f>IFERROR(VLOOKUP(AV660,[1]字段!A:B,2,0),"")</f>
        <v>IT费用</v>
      </c>
      <c r="AX660" s="30" t="str">
        <f>IF(AW660="人力费用",IF(E660="","",VLOOKUP(E660,[1]字段!D:E,2,0)),AW660)</f>
        <v>IT费用</v>
      </c>
      <c r="AY660" s="30" t="str">
        <f>IF(AT660="","",VLOOKUP(AT660,[1]字段!H:I,2,0))</f>
        <v>IT费用</v>
      </c>
      <c r="AZ660" s="31">
        <f t="shared" si="76"/>
        <v>0</v>
      </c>
      <c r="BA660" s="31">
        <f t="shared" si="73"/>
        <v>0</v>
      </c>
      <c r="BB660" s="31">
        <f t="shared" si="74"/>
        <v>0</v>
      </c>
      <c r="BC660" s="31">
        <f t="shared" si="77"/>
        <v>0</v>
      </c>
    </row>
    <row r="661" spans="1:55" ht="28.5" customHeight="1">
      <c r="A661" s="32"/>
      <c r="B661" s="32"/>
      <c r="C661" s="41"/>
      <c r="D661" s="42"/>
      <c r="E661" s="39" t="s">
        <v>81</v>
      </c>
      <c r="F661" s="39" t="s">
        <v>82</v>
      </c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  <c r="AA661" s="29"/>
      <c r="AB661" s="29"/>
      <c r="AC661" s="29"/>
      <c r="AD661" s="29"/>
      <c r="AE661" s="29"/>
      <c r="AJ661"/>
      <c r="AK661"/>
      <c r="AL661"/>
      <c r="AM661"/>
      <c r="AN661"/>
      <c r="AO661"/>
      <c r="AP661"/>
      <c r="AQ661"/>
      <c r="AR661"/>
      <c r="AS661"/>
      <c r="AT661" s="4" t="str">
        <f t="shared" si="75"/>
        <v>IT费用电子设备运转费 </v>
      </c>
      <c r="AU661" s="4" t="str">
        <f t="shared" si="71"/>
        <v>企金数字智能应用部</v>
      </c>
      <c r="AV661" s="4" t="str">
        <f t="shared" si="72"/>
        <v>IT科技费用</v>
      </c>
      <c r="AW661" s="4" t="str">
        <f>IFERROR(VLOOKUP(AV661,[1]字段!A:B,2,0),"")</f>
        <v>IT费用</v>
      </c>
      <c r="AX661" s="30" t="str">
        <f>IF(AW661="人力费用",IF(E661="","",VLOOKUP(E661,[1]字段!D:E,2,0)),AW661)</f>
        <v>IT费用</v>
      </c>
      <c r="AY661" s="30" t="str">
        <f>IF(AT661="","",VLOOKUP(AT661,[1]字段!H:I,2,0))</f>
        <v>IT费用</v>
      </c>
      <c r="AZ661" s="31">
        <f t="shared" si="76"/>
        <v>0</v>
      </c>
      <c r="BA661" s="31">
        <f t="shared" si="73"/>
        <v>0</v>
      </c>
      <c r="BB661" s="31">
        <f t="shared" si="74"/>
        <v>0</v>
      </c>
      <c r="BC661" s="31">
        <f t="shared" si="77"/>
        <v>0</v>
      </c>
    </row>
    <row r="662" spans="1:55" ht="28.5" customHeight="1">
      <c r="C662" s="33" t="s">
        <v>93</v>
      </c>
      <c r="D662" s="34" t="s">
        <v>94</v>
      </c>
      <c r="E662" s="35"/>
      <c r="F662" s="36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  <c r="AA662" s="29"/>
      <c r="AB662" s="29"/>
      <c r="AC662" s="29"/>
      <c r="AD662" s="29"/>
      <c r="AE662" s="29"/>
      <c r="AJ662"/>
      <c r="AK662"/>
      <c r="AL662"/>
      <c r="AM662"/>
      <c r="AN662"/>
      <c r="AO662"/>
      <c r="AP662"/>
      <c r="AQ662"/>
      <c r="AR662"/>
      <c r="AS662"/>
      <c r="AT662" s="4" t="str">
        <f t="shared" si="75"/>
        <v>日常费用</v>
      </c>
      <c r="AU662" s="4" t="str">
        <f t="shared" si="71"/>
        <v>企金数字智能应用部</v>
      </c>
      <c r="AV662" s="4" t="str">
        <f t="shared" si="72"/>
        <v>日常费用</v>
      </c>
      <c r="AW662" s="4" t="str">
        <f>IFERROR(VLOOKUP(AV662,[1]字段!A:B,2,0),"")</f>
        <v>日常费用</v>
      </c>
      <c r="AX662" s="30" t="str">
        <f>IF(AW662="人力费用",IF(E662="","",VLOOKUP(E662,[1]字段!D:E,2,0)),AW662)</f>
        <v>日常费用</v>
      </c>
      <c r="AY662" s="30">
        <f>IF(AT662="","",VLOOKUP(AT662,[1]字段!H:I,2,0))</f>
        <v>0</v>
      </c>
      <c r="AZ662" s="31">
        <f t="shared" si="76"/>
        <v>0</v>
      </c>
      <c r="BA662" s="31">
        <f t="shared" si="73"/>
        <v>0</v>
      </c>
      <c r="BB662" s="31">
        <f t="shared" si="74"/>
        <v>0</v>
      </c>
      <c r="BC662" s="31">
        <f t="shared" si="77"/>
        <v>0</v>
      </c>
    </row>
    <row r="663" spans="1:55" ht="28.5" customHeight="1">
      <c r="A663" s="32"/>
      <c r="B663" s="32"/>
      <c r="C663" s="37"/>
      <c r="D663" s="38"/>
      <c r="E663" s="39" t="s">
        <v>77</v>
      </c>
      <c r="F663" s="39" t="s">
        <v>78</v>
      </c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  <c r="AA663" s="29"/>
      <c r="AB663" s="29"/>
      <c r="AC663" s="29"/>
      <c r="AD663" s="29"/>
      <c r="AE663" s="29"/>
      <c r="AJ663"/>
      <c r="AK663"/>
      <c r="AL663"/>
      <c r="AM663"/>
      <c r="AN663"/>
      <c r="AO663"/>
      <c r="AP663"/>
      <c r="AQ663"/>
      <c r="AR663"/>
      <c r="AS663"/>
      <c r="AT663" s="4" t="str">
        <f t="shared" si="75"/>
        <v>日常费用咨询费</v>
      </c>
      <c r="AU663" s="4" t="str">
        <f t="shared" si="71"/>
        <v>企金数字智能应用部</v>
      </c>
      <c r="AV663" s="4" t="str">
        <f t="shared" si="72"/>
        <v>日常费用</v>
      </c>
      <c r="AW663" s="4" t="str">
        <f>IFERROR(VLOOKUP(AV663,[1]字段!A:B,2,0),"")</f>
        <v>日常费用</v>
      </c>
      <c r="AX663" s="30" t="str">
        <f>IF(AW663="人力费用",IF(E663="","",VLOOKUP(E663,[1]字段!D:E,2,0)),AW663)</f>
        <v>日常费用</v>
      </c>
      <c r="AY663" s="30" t="str">
        <f>IF(AT663="","",VLOOKUP(AT663,[1]字段!H:I,2,0))</f>
        <v>日常费用-咨询费</v>
      </c>
      <c r="AZ663" s="31">
        <f t="shared" si="76"/>
        <v>0</v>
      </c>
      <c r="BA663" s="31">
        <f t="shared" si="73"/>
        <v>0</v>
      </c>
      <c r="BB663" s="31">
        <f t="shared" si="74"/>
        <v>0</v>
      </c>
      <c r="BC663" s="31">
        <f t="shared" si="77"/>
        <v>0</v>
      </c>
    </row>
    <row r="664" spans="1:55" ht="28.5" customHeight="1">
      <c r="A664" s="32"/>
      <c r="B664" s="32"/>
      <c r="C664" s="32"/>
      <c r="D664" s="40"/>
      <c r="E664" s="39" t="s">
        <v>170</v>
      </c>
      <c r="F664" s="39" t="s">
        <v>171</v>
      </c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  <c r="AA664" s="29"/>
      <c r="AB664" s="29"/>
      <c r="AC664" s="29"/>
      <c r="AD664" s="29"/>
      <c r="AE664" s="29"/>
      <c r="AJ664"/>
      <c r="AK664"/>
      <c r="AL664"/>
      <c r="AM664"/>
      <c r="AN664"/>
      <c r="AO664"/>
      <c r="AP664"/>
      <c r="AQ664"/>
      <c r="AR664"/>
      <c r="AS664"/>
      <c r="AT664" s="4" t="str">
        <f t="shared" si="75"/>
        <v>日常费用技术服务费</v>
      </c>
      <c r="AU664" s="4" t="str">
        <f t="shared" si="71"/>
        <v>企金数字智能应用部</v>
      </c>
      <c r="AV664" s="4" t="str">
        <f t="shared" si="72"/>
        <v>日常费用</v>
      </c>
      <c r="AW664" s="4" t="str">
        <f>IFERROR(VLOOKUP(AV664,[1]字段!A:B,2,0),"")</f>
        <v>日常费用</v>
      </c>
      <c r="AX664" s="30" t="str">
        <f>IF(AW664="人力费用",IF(E664="","",VLOOKUP(E664,[1]字段!D:E,2,0)),AW664)</f>
        <v>日常费用</v>
      </c>
      <c r="AY664" s="30" t="str">
        <f>IF(AT664="","",VLOOKUP(AT664,[1]字段!H:I,2,0))</f>
        <v>日常费用-其他</v>
      </c>
      <c r="AZ664" s="31">
        <f t="shared" si="76"/>
        <v>0</v>
      </c>
      <c r="BA664" s="31">
        <f t="shared" si="73"/>
        <v>0</v>
      </c>
      <c r="BB664" s="31">
        <f t="shared" si="74"/>
        <v>0</v>
      </c>
      <c r="BC664" s="31">
        <f t="shared" si="77"/>
        <v>0</v>
      </c>
    </row>
    <row r="665" spans="1:55" ht="28.5" customHeight="1">
      <c r="A665" s="41"/>
      <c r="B665" s="41"/>
      <c r="C665" s="41"/>
      <c r="D665" s="42"/>
      <c r="E665" s="39" t="s">
        <v>95</v>
      </c>
      <c r="F665" s="39" t="s">
        <v>96</v>
      </c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  <c r="AA665" s="29"/>
      <c r="AB665" s="29"/>
      <c r="AC665" s="29"/>
      <c r="AD665" s="29"/>
      <c r="AE665" s="29"/>
      <c r="AJ665"/>
      <c r="AK665"/>
      <c r="AL665"/>
      <c r="AM665"/>
      <c r="AN665"/>
      <c r="AO665"/>
      <c r="AP665"/>
      <c r="AQ665"/>
      <c r="AR665"/>
      <c r="AS665"/>
      <c r="AT665" s="4" t="str">
        <f t="shared" si="75"/>
        <v>日常费用业务招待费</v>
      </c>
      <c r="AU665" s="4" t="str">
        <f t="shared" si="71"/>
        <v>企金数字智能应用部</v>
      </c>
      <c r="AV665" s="4" t="str">
        <f t="shared" si="72"/>
        <v>日常费用</v>
      </c>
      <c r="AW665" s="4" t="str">
        <f>IFERROR(VLOOKUP(AV665,[1]字段!A:B,2,0),"")</f>
        <v>日常费用</v>
      </c>
      <c r="AX665" s="30" t="str">
        <f>IF(AW665="人力费用",IF(E665="","",VLOOKUP(E665,[1]字段!D:E,2,0)),AW665)</f>
        <v>日常费用</v>
      </c>
      <c r="AY665" s="30" t="str">
        <f>IF(AT665="","",VLOOKUP(AT665,[1]字段!H:I,2,0))</f>
        <v>日常费用-其他</v>
      </c>
      <c r="AZ665" s="31">
        <f t="shared" si="76"/>
        <v>0</v>
      </c>
      <c r="BA665" s="31">
        <f t="shared" si="73"/>
        <v>0</v>
      </c>
      <c r="BB665" s="31">
        <f t="shared" si="74"/>
        <v>0</v>
      </c>
      <c r="BC665" s="31">
        <f t="shared" si="77"/>
        <v>0</v>
      </c>
    </row>
    <row r="666" spans="1:55" ht="28.5" customHeight="1">
      <c r="A666" s="25"/>
      <c r="B666" s="26" t="s">
        <v>192</v>
      </c>
      <c r="C666" s="27"/>
      <c r="D666" s="27"/>
      <c r="E666" s="27"/>
      <c r="F666" s="28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  <c r="AA666" s="29"/>
      <c r="AB666" s="29"/>
      <c r="AC666" s="29"/>
      <c r="AD666" s="29"/>
      <c r="AE666" s="29"/>
      <c r="AJ666"/>
      <c r="AK666"/>
      <c r="AL666"/>
      <c r="AM666"/>
      <c r="AN666"/>
      <c r="AO666"/>
      <c r="AP666"/>
      <c r="AQ666"/>
      <c r="AR666"/>
      <c r="AS666"/>
      <c r="AT666" s="4" t="str">
        <f t="shared" si="75"/>
        <v/>
      </c>
      <c r="AU666" s="4" t="str">
        <f t="shared" si="71"/>
        <v>个金信贷部</v>
      </c>
      <c r="AV666" s="4" t="str">
        <f t="shared" si="72"/>
        <v/>
      </c>
      <c r="AW666" s="4" t="str">
        <f>IFERROR(VLOOKUP(AV666,[1]字段!A:B,2,0),"")</f>
        <v/>
      </c>
      <c r="AX666" s="30" t="str">
        <f>IF(AW666="人力费用",IF(E666="","",VLOOKUP(E666,[1]字段!D:E,2,0)),AW666)</f>
        <v/>
      </c>
      <c r="AY666" s="30" t="str">
        <f>IF(AT666="","",VLOOKUP(AT666,[1]字段!H:I,2,0))</f>
        <v/>
      </c>
      <c r="AZ666" s="31">
        <f t="shared" si="76"/>
        <v>0</v>
      </c>
      <c r="BA666" s="31">
        <f t="shared" si="73"/>
        <v>0</v>
      </c>
      <c r="BB666" s="31">
        <f t="shared" si="74"/>
        <v>0</v>
      </c>
      <c r="BC666" s="31">
        <f t="shared" si="77"/>
        <v>0</v>
      </c>
    </row>
    <row r="667" spans="1:55" ht="28.5" customHeight="1">
      <c r="A667" s="32"/>
      <c r="B667" s="32"/>
      <c r="C667" s="33" t="s">
        <v>39</v>
      </c>
      <c r="D667" s="34" t="s">
        <v>40</v>
      </c>
      <c r="E667" s="35"/>
      <c r="F667" s="36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  <c r="AA667" s="29"/>
      <c r="AB667" s="29"/>
      <c r="AC667" s="29"/>
      <c r="AD667" s="29"/>
      <c r="AE667" s="29"/>
      <c r="AJ667"/>
      <c r="AK667"/>
      <c r="AL667"/>
      <c r="AM667"/>
      <c r="AN667"/>
      <c r="AO667"/>
      <c r="AP667"/>
      <c r="AQ667"/>
      <c r="AR667"/>
      <c r="AS667"/>
      <c r="AT667" s="4" t="str">
        <f t="shared" si="75"/>
        <v/>
      </c>
      <c r="AU667" s="4" t="str">
        <f t="shared" si="71"/>
        <v>个金信贷部</v>
      </c>
      <c r="AV667" s="4" t="str">
        <f t="shared" si="72"/>
        <v>人力费用</v>
      </c>
      <c r="AW667" s="4" t="str">
        <f>IFERROR(VLOOKUP(AV667,[1]字段!A:B,2,0),"")</f>
        <v>人力费用</v>
      </c>
      <c r="AX667" s="30" t="str">
        <f>IF(AW667="人力费用",IF(E667="","",VLOOKUP(E667,[1]字段!D:E,2,0)),AW667)</f>
        <v/>
      </c>
      <c r="AY667" s="30" t="str">
        <f>IF(AT667="","",VLOOKUP(AT667,[1]字段!H:I,2,0))</f>
        <v/>
      </c>
      <c r="AZ667" s="31">
        <f t="shared" si="76"/>
        <v>0</v>
      </c>
      <c r="BA667" s="31">
        <f t="shared" si="73"/>
        <v>0</v>
      </c>
      <c r="BB667" s="31">
        <f t="shared" si="74"/>
        <v>0</v>
      </c>
      <c r="BC667" s="31">
        <f t="shared" si="77"/>
        <v>0</v>
      </c>
    </row>
    <row r="668" spans="1:55" ht="28.5" customHeight="1">
      <c r="A668" s="32"/>
      <c r="B668" s="32"/>
      <c r="C668" s="37"/>
      <c r="D668" s="38"/>
      <c r="E668" s="39" t="s">
        <v>41</v>
      </c>
      <c r="F668" s="39" t="s">
        <v>42</v>
      </c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  <c r="AA668" s="29"/>
      <c r="AB668" s="29"/>
      <c r="AC668" s="29"/>
      <c r="AD668" s="29"/>
      <c r="AE668" s="29"/>
      <c r="AJ668"/>
      <c r="AK668"/>
      <c r="AL668"/>
      <c r="AM668"/>
      <c r="AN668"/>
      <c r="AO668"/>
      <c r="AP668"/>
      <c r="AQ668"/>
      <c r="AR668"/>
      <c r="AS668"/>
      <c r="AT668" s="4" t="str">
        <f t="shared" si="75"/>
        <v>1.0倍人力基础工资</v>
      </c>
      <c r="AU668" s="4" t="str">
        <f t="shared" si="71"/>
        <v>个金信贷部</v>
      </c>
      <c r="AV668" s="4" t="str">
        <f t="shared" si="72"/>
        <v>人力费用</v>
      </c>
      <c r="AW668" s="4" t="str">
        <f>IFERROR(VLOOKUP(AV668,[1]字段!A:B,2,0),"")</f>
        <v>人力费用</v>
      </c>
      <c r="AX668" s="30" t="str">
        <f>IF(AW668="人力费用",IF(E668="","",VLOOKUP(E668,[1]字段!D:E,2,0)),AW668)</f>
        <v>1.0倍人力</v>
      </c>
      <c r="AY668" s="30" t="str">
        <f>IF(AT668="","",VLOOKUP(AT668,[1]字段!H:I,2,0))</f>
        <v>1.0倍人力</v>
      </c>
      <c r="AZ668" s="31">
        <f t="shared" si="76"/>
        <v>0</v>
      </c>
      <c r="BA668" s="31">
        <f t="shared" si="73"/>
        <v>0</v>
      </c>
      <c r="BB668" s="31">
        <f t="shared" si="74"/>
        <v>0</v>
      </c>
      <c r="BC668" s="31">
        <f t="shared" si="77"/>
        <v>0</v>
      </c>
    </row>
    <row r="669" spans="1:55" ht="28.5" customHeight="1">
      <c r="A669" s="32"/>
      <c r="B669" s="32"/>
      <c r="C669" s="32"/>
      <c r="D669" s="40"/>
      <c r="E669" s="39">
        <v>5501010602</v>
      </c>
      <c r="F669" s="3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  <c r="AA669" s="29"/>
      <c r="AB669" s="29"/>
      <c r="AC669" s="29"/>
      <c r="AD669" s="29"/>
      <c r="AE669" s="29"/>
      <c r="AJ669"/>
      <c r="AK669"/>
      <c r="AL669"/>
      <c r="AM669"/>
      <c r="AN669"/>
      <c r="AO669"/>
      <c r="AP669"/>
      <c r="AQ669"/>
      <c r="AR669"/>
      <c r="AS669"/>
      <c r="AT669" s="4" t="str">
        <f t="shared" si="75"/>
        <v>利润分享</v>
      </c>
      <c r="AU669" s="4" t="str">
        <f t="shared" si="71"/>
        <v>个金信贷部</v>
      </c>
      <c r="AV669" s="4" t="str">
        <f t="shared" si="72"/>
        <v>人力费用</v>
      </c>
      <c r="AW669" s="4" t="str">
        <f>IFERROR(VLOOKUP(AV669,[1]字段!A:B,2,0),"")</f>
        <v>人力费用</v>
      </c>
      <c r="AX669" s="30" t="str">
        <f>IF(AW669="人力费用",IF(E669="","",VLOOKUP(E669,[1]字段!D:E,2,0)),AW669)</f>
        <v>利润分享</v>
      </c>
      <c r="AY669" s="30" t="str">
        <f>IF(AT669="","",VLOOKUP(AT669,[1]字段!H:I,2,0))</f>
        <v>利润分享</v>
      </c>
      <c r="AZ669" s="31">
        <f t="shared" si="76"/>
        <v>0</v>
      </c>
      <c r="BA669" s="31">
        <f t="shared" si="73"/>
        <v>0</v>
      </c>
      <c r="BB669" s="31">
        <f t="shared" si="74"/>
        <v>0</v>
      </c>
      <c r="BC669" s="31">
        <f t="shared" si="77"/>
        <v>0</v>
      </c>
    </row>
    <row r="670" spans="1:55" ht="28.5" customHeight="1">
      <c r="A670" s="32"/>
      <c r="B670" s="32"/>
      <c r="C670" s="32"/>
      <c r="D670" s="40"/>
      <c r="E670" s="39">
        <v>5501010603</v>
      </c>
      <c r="F670" s="3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  <c r="AA670" s="29"/>
      <c r="AB670" s="29"/>
      <c r="AC670" s="29"/>
      <c r="AD670" s="29"/>
      <c r="AE670" s="29"/>
      <c r="AJ670"/>
      <c r="AK670"/>
      <c r="AL670"/>
      <c r="AM670"/>
      <c r="AN670"/>
      <c r="AO670"/>
      <c r="AP670"/>
      <c r="AQ670"/>
      <c r="AR670"/>
      <c r="AS670"/>
      <c r="AT670" s="4" t="str">
        <f t="shared" si="75"/>
        <v>留任奖励</v>
      </c>
      <c r="AU670" s="4" t="str">
        <f t="shared" si="71"/>
        <v>个金信贷部</v>
      </c>
      <c r="AV670" s="4" t="str">
        <f t="shared" si="72"/>
        <v>人力费用</v>
      </c>
      <c r="AW670" s="4" t="str">
        <f>IFERROR(VLOOKUP(AV670,[1]字段!A:B,2,0),"")</f>
        <v>人力费用</v>
      </c>
      <c r="AX670" s="30" t="str">
        <f>IF(AW670="人力费用",IF(E670="","",VLOOKUP(E670,[1]字段!D:E,2,0)),AW670)</f>
        <v>留任奖励</v>
      </c>
      <c r="AY670" s="30" t="str">
        <f>IF(AT670="","",VLOOKUP(AT670,[1]字段!H:I,2,0))</f>
        <v>留任奖励</v>
      </c>
      <c r="AZ670" s="31">
        <f t="shared" si="76"/>
        <v>0</v>
      </c>
      <c r="BA670" s="31">
        <f t="shared" si="73"/>
        <v>0</v>
      </c>
      <c r="BB670" s="31">
        <f t="shared" si="74"/>
        <v>0</v>
      </c>
      <c r="BC670" s="31">
        <f t="shared" si="77"/>
        <v>0</v>
      </c>
    </row>
    <row r="671" spans="1:55" ht="28.5" customHeight="1">
      <c r="A671" s="32"/>
      <c r="B671" s="32"/>
      <c r="C671" s="32"/>
      <c r="D671" s="40"/>
      <c r="E671" s="39">
        <v>5501010604</v>
      </c>
      <c r="F671" s="3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  <c r="AA671" s="29"/>
      <c r="AB671" s="29"/>
      <c r="AC671" s="29"/>
      <c r="AD671" s="29"/>
      <c r="AE671" s="29"/>
      <c r="AJ671"/>
      <c r="AK671"/>
      <c r="AL671"/>
      <c r="AM671"/>
      <c r="AN671"/>
      <c r="AO671"/>
      <c r="AP671"/>
      <c r="AQ671"/>
      <c r="AR671"/>
      <c r="AS671"/>
      <c r="AT671" s="4" t="str">
        <f t="shared" si="75"/>
        <v>1.0倍人力</v>
      </c>
      <c r="AU671" s="4" t="str">
        <f t="shared" si="71"/>
        <v>个金信贷部</v>
      </c>
      <c r="AV671" s="4" t="str">
        <f t="shared" si="72"/>
        <v>人力费用</v>
      </c>
      <c r="AW671" s="4" t="str">
        <f>IFERROR(VLOOKUP(AV671,[1]字段!A:B,2,0),"")</f>
        <v>人力费用</v>
      </c>
      <c r="AX671" s="30" t="str">
        <f>IF(AW671="人力费用",IF(E671="","",VLOOKUP(E671,[1]字段!D:E,2,0)),AW671)</f>
        <v>1.0倍人力</v>
      </c>
      <c r="AY671" s="30" t="str">
        <f>IF(AT671="","",VLOOKUP(AT671,[1]字段!H:I,2,0))</f>
        <v>1.0倍人力</v>
      </c>
      <c r="AZ671" s="31">
        <f t="shared" si="76"/>
        <v>0</v>
      </c>
      <c r="BA671" s="31">
        <f t="shared" si="73"/>
        <v>0</v>
      </c>
      <c r="BB671" s="31">
        <f t="shared" si="74"/>
        <v>0</v>
      </c>
      <c r="BC671" s="31">
        <f t="shared" si="77"/>
        <v>0</v>
      </c>
    </row>
    <row r="672" spans="1:55" ht="28.5" customHeight="1">
      <c r="A672" s="32"/>
      <c r="B672" s="32"/>
      <c r="C672" s="32"/>
      <c r="D672" s="40"/>
      <c r="E672" s="39" t="s">
        <v>43</v>
      </c>
      <c r="F672" s="39" t="s">
        <v>44</v>
      </c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  <c r="AA672" s="29"/>
      <c r="AB672" s="29"/>
      <c r="AC672" s="29"/>
      <c r="AD672" s="29"/>
      <c r="AE672" s="29"/>
      <c r="AJ672"/>
      <c r="AK672"/>
      <c r="AL672"/>
      <c r="AM672"/>
      <c r="AN672"/>
      <c r="AO672"/>
      <c r="AP672"/>
      <c r="AQ672"/>
      <c r="AR672"/>
      <c r="AS672"/>
      <c r="AT672" s="4" t="str">
        <f t="shared" si="75"/>
        <v>1.0倍人力团队建设费</v>
      </c>
      <c r="AU672" s="4" t="str">
        <f t="shared" si="71"/>
        <v>个金信贷部</v>
      </c>
      <c r="AV672" s="4" t="str">
        <f t="shared" si="72"/>
        <v>人力费用</v>
      </c>
      <c r="AW672" s="4" t="str">
        <f>IFERROR(VLOOKUP(AV672,[1]字段!A:B,2,0),"")</f>
        <v>人力费用</v>
      </c>
      <c r="AX672" s="30" t="str">
        <f>IF(AW672="人力费用",IF(E672="","",VLOOKUP(E672,[1]字段!D:E,2,0)),AW672)</f>
        <v>1.0倍人力</v>
      </c>
      <c r="AY672" s="30" t="str">
        <f>IF(AT672="","",VLOOKUP(AT672,[1]字段!H:I,2,0))</f>
        <v>1.0倍人力</v>
      </c>
      <c r="AZ672" s="31">
        <f t="shared" si="76"/>
        <v>0</v>
      </c>
      <c r="BA672" s="31">
        <f t="shared" si="73"/>
        <v>0</v>
      </c>
      <c r="BB672" s="31">
        <f t="shared" si="74"/>
        <v>0</v>
      </c>
      <c r="BC672" s="31">
        <f t="shared" si="77"/>
        <v>0</v>
      </c>
    </row>
    <row r="673" spans="1:55" ht="28.5" customHeight="1">
      <c r="A673" s="32"/>
      <c r="B673" s="32"/>
      <c r="C673" s="32"/>
      <c r="D673" s="40"/>
      <c r="E673" s="39" t="s">
        <v>45</v>
      </c>
      <c r="F673" s="39" t="s">
        <v>46</v>
      </c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  <c r="AA673" s="29"/>
      <c r="AB673" s="29"/>
      <c r="AC673" s="29"/>
      <c r="AD673" s="29"/>
      <c r="AE673" s="29"/>
      <c r="AJ673"/>
      <c r="AK673"/>
      <c r="AL673"/>
      <c r="AM673"/>
      <c r="AN673"/>
      <c r="AO673"/>
      <c r="AP673"/>
      <c r="AQ673"/>
      <c r="AR673"/>
      <c r="AS673"/>
      <c r="AT673" s="4" t="str">
        <f t="shared" si="75"/>
        <v>1.0倍人力其他职工福利费</v>
      </c>
      <c r="AU673" s="4" t="str">
        <f t="shared" si="71"/>
        <v>个金信贷部</v>
      </c>
      <c r="AV673" s="4" t="str">
        <f t="shared" si="72"/>
        <v>人力费用</v>
      </c>
      <c r="AW673" s="4" t="str">
        <f>IFERROR(VLOOKUP(AV673,[1]字段!A:B,2,0),"")</f>
        <v>人力费用</v>
      </c>
      <c r="AX673" s="30" t="str">
        <f>IF(AW673="人力费用",IF(E673="","",VLOOKUP(E673,[1]字段!D:E,2,0)),AW673)</f>
        <v>1.0倍人力</v>
      </c>
      <c r="AY673" s="30" t="str">
        <f>IF(AT673="","",VLOOKUP(AT673,[1]字段!H:I,2,0))</f>
        <v>1.0倍人力</v>
      </c>
      <c r="AZ673" s="31">
        <f t="shared" si="76"/>
        <v>0</v>
      </c>
      <c r="BA673" s="31">
        <f t="shared" si="73"/>
        <v>0</v>
      </c>
      <c r="BB673" s="31">
        <f t="shared" si="74"/>
        <v>0</v>
      </c>
      <c r="BC673" s="31">
        <f t="shared" si="77"/>
        <v>0</v>
      </c>
    </row>
    <row r="674" spans="1:55" ht="28.5" customHeight="1">
      <c r="A674" s="32"/>
      <c r="B674" s="32"/>
      <c r="C674" s="32"/>
      <c r="D674" s="40"/>
      <c r="E674" s="39" t="s">
        <v>47</v>
      </c>
      <c r="F674" s="39" t="s">
        <v>48</v>
      </c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  <c r="AA674" s="29"/>
      <c r="AB674" s="29"/>
      <c r="AC674" s="29"/>
      <c r="AD674" s="29"/>
      <c r="AE674" s="29"/>
      <c r="AJ674"/>
      <c r="AK674"/>
      <c r="AL674"/>
      <c r="AM674"/>
      <c r="AN674"/>
      <c r="AO674"/>
      <c r="AP674"/>
      <c r="AQ674"/>
      <c r="AR674"/>
      <c r="AS674"/>
      <c r="AT674" s="4" t="str">
        <f t="shared" si="75"/>
        <v>1.0倍人力工会经费</v>
      </c>
      <c r="AU674" s="4" t="str">
        <f t="shared" si="71"/>
        <v>个金信贷部</v>
      </c>
      <c r="AV674" s="4" t="str">
        <f t="shared" si="72"/>
        <v>人力费用</v>
      </c>
      <c r="AW674" s="4" t="str">
        <f>IFERROR(VLOOKUP(AV674,[1]字段!A:B,2,0),"")</f>
        <v>人力费用</v>
      </c>
      <c r="AX674" s="30" t="str">
        <f>IF(AW674="人力费用",IF(E674="","",VLOOKUP(E674,[1]字段!D:E,2,0)),AW674)</f>
        <v>1.0倍人力</v>
      </c>
      <c r="AY674" s="30" t="str">
        <f>IF(AT674="","",VLOOKUP(AT674,[1]字段!H:I,2,0))</f>
        <v>1.0倍人力</v>
      </c>
      <c r="AZ674" s="31">
        <f t="shared" si="76"/>
        <v>0</v>
      </c>
      <c r="BA674" s="31">
        <f t="shared" si="73"/>
        <v>0</v>
      </c>
      <c r="BB674" s="31">
        <f t="shared" si="74"/>
        <v>0</v>
      </c>
      <c r="BC674" s="31">
        <f t="shared" si="77"/>
        <v>0</v>
      </c>
    </row>
    <row r="675" spans="1:55" ht="28.5" customHeight="1">
      <c r="A675" s="32"/>
      <c r="B675" s="32"/>
      <c r="C675" s="32"/>
      <c r="D675" s="40"/>
      <c r="E675" s="39" t="s">
        <v>49</v>
      </c>
      <c r="F675" s="39" t="s">
        <v>50</v>
      </c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  <c r="AA675" s="29"/>
      <c r="AB675" s="29"/>
      <c r="AC675" s="29"/>
      <c r="AD675" s="29"/>
      <c r="AE675" s="29"/>
      <c r="AJ675"/>
      <c r="AK675"/>
      <c r="AL675"/>
      <c r="AM675"/>
      <c r="AN675"/>
      <c r="AO675"/>
      <c r="AP675"/>
      <c r="AQ675"/>
      <c r="AR675"/>
      <c r="AS675"/>
      <c r="AT675" s="4" t="str">
        <f t="shared" si="75"/>
        <v>1.0倍人力基本养老保险</v>
      </c>
      <c r="AU675" s="4" t="str">
        <f t="shared" si="71"/>
        <v>个金信贷部</v>
      </c>
      <c r="AV675" s="4" t="str">
        <f t="shared" si="72"/>
        <v>人力费用</v>
      </c>
      <c r="AW675" s="4" t="str">
        <f>IFERROR(VLOOKUP(AV675,[1]字段!A:B,2,0),"")</f>
        <v>人力费用</v>
      </c>
      <c r="AX675" s="30" t="str">
        <f>IF(AW675="人力费用",IF(E675="","",VLOOKUP(E675,[1]字段!D:E,2,0)),AW675)</f>
        <v>1.0倍人力</v>
      </c>
      <c r="AY675" s="30" t="str">
        <f>IF(AT675="","",VLOOKUP(AT675,[1]字段!H:I,2,0))</f>
        <v>1.0倍人力</v>
      </c>
      <c r="AZ675" s="31">
        <f t="shared" si="76"/>
        <v>0</v>
      </c>
      <c r="BA675" s="31">
        <f t="shared" si="73"/>
        <v>0</v>
      </c>
      <c r="BB675" s="31">
        <f t="shared" si="74"/>
        <v>0</v>
      </c>
      <c r="BC675" s="31">
        <f t="shared" si="77"/>
        <v>0</v>
      </c>
    </row>
    <row r="676" spans="1:55" ht="28.5" customHeight="1">
      <c r="A676" s="32"/>
      <c r="B676" s="32"/>
      <c r="C676" s="32"/>
      <c r="D676" s="40"/>
      <c r="E676" s="39" t="s">
        <v>51</v>
      </c>
      <c r="F676" s="39" t="s">
        <v>52</v>
      </c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  <c r="AA676" s="29"/>
      <c r="AB676" s="29"/>
      <c r="AC676" s="29"/>
      <c r="AD676" s="29"/>
      <c r="AE676" s="29"/>
      <c r="AJ676"/>
      <c r="AK676"/>
      <c r="AL676"/>
      <c r="AM676"/>
      <c r="AN676"/>
      <c r="AO676"/>
      <c r="AP676"/>
      <c r="AQ676"/>
      <c r="AR676"/>
      <c r="AS676"/>
      <c r="AT676" s="4" t="str">
        <f t="shared" si="75"/>
        <v>1.0倍人力基本医疗保险</v>
      </c>
      <c r="AU676" s="4" t="str">
        <f t="shared" si="71"/>
        <v>个金信贷部</v>
      </c>
      <c r="AV676" s="4" t="str">
        <f t="shared" si="72"/>
        <v>人力费用</v>
      </c>
      <c r="AW676" s="4" t="str">
        <f>IFERROR(VLOOKUP(AV676,[1]字段!A:B,2,0),"")</f>
        <v>人力费用</v>
      </c>
      <c r="AX676" s="30" t="str">
        <f>IF(AW676="人力费用",IF(E676="","",VLOOKUP(E676,[1]字段!D:E,2,0)),AW676)</f>
        <v>1.0倍人力</v>
      </c>
      <c r="AY676" s="30" t="str">
        <f>IF(AT676="","",VLOOKUP(AT676,[1]字段!H:I,2,0))</f>
        <v>1.0倍人力</v>
      </c>
      <c r="AZ676" s="31">
        <f t="shared" si="76"/>
        <v>0</v>
      </c>
      <c r="BA676" s="31">
        <f t="shared" si="73"/>
        <v>0</v>
      </c>
      <c r="BB676" s="31">
        <f t="shared" si="74"/>
        <v>0</v>
      </c>
      <c r="BC676" s="31">
        <f t="shared" si="77"/>
        <v>0</v>
      </c>
    </row>
    <row r="677" spans="1:55" ht="28.5" customHeight="1">
      <c r="A677" s="32"/>
      <c r="B677" s="32"/>
      <c r="C677" s="32"/>
      <c r="D677" s="40"/>
      <c r="E677" s="39" t="s">
        <v>53</v>
      </c>
      <c r="F677" s="39" t="s">
        <v>54</v>
      </c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  <c r="AA677" s="29"/>
      <c r="AB677" s="29"/>
      <c r="AC677" s="29"/>
      <c r="AD677" s="29"/>
      <c r="AE677" s="29"/>
      <c r="AJ677"/>
      <c r="AK677"/>
      <c r="AL677"/>
      <c r="AM677"/>
      <c r="AN677"/>
      <c r="AO677"/>
      <c r="AP677"/>
      <c r="AQ677"/>
      <c r="AR677"/>
      <c r="AS677"/>
      <c r="AT677" s="4" t="str">
        <f t="shared" si="75"/>
        <v>1.0倍人力工伤保险</v>
      </c>
      <c r="AU677" s="4" t="str">
        <f t="shared" si="71"/>
        <v>个金信贷部</v>
      </c>
      <c r="AV677" s="4" t="str">
        <f t="shared" si="72"/>
        <v>人力费用</v>
      </c>
      <c r="AW677" s="4" t="str">
        <f>IFERROR(VLOOKUP(AV677,[1]字段!A:B,2,0),"")</f>
        <v>人力费用</v>
      </c>
      <c r="AX677" s="30" t="str">
        <f>IF(AW677="人力费用",IF(E677="","",VLOOKUP(E677,[1]字段!D:E,2,0)),AW677)</f>
        <v>1.0倍人力</v>
      </c>
      <c r="AY677" s="30" t="str">
        <f>IF(AT677="","",VLOOKUP(AT677,[1]字段!H:I,2,0))</f>
        <v>1.0倍人力</v>
      </c>
      <c r="AZ677" s="31">
        <f t="shared" si="76"/>
        <v>0</v>
      </c>
      <c r="BA677" s="31">
        <f t="shared" si="73"/>
        <v>0</v>
      </c>
      <c r="BB677" s="31">
        <f t="shared" si="74"/>
        <v>0</v>
      </c>
      <c r="BC677" s="31">
        <f t="shared" si="77"/>
        <v>0</v>
      </c>
    </row>
    <row r="678" spans="1:55" ht="28.5" customHeight="1">
      <c r="A678" s="32"/>
      <c r="B678" s="32"/>
      <c r="C678" s="32"/>
      <c r="D678" s="40"/>
      <c r="E678" s="39" t="s">
        <v>55</v>
      </c>
      <c r="F678" s="39" t="s">
        <v>56</v>
      </c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  <c r="AA678" s="29"/>
      <c r="AB678" s="29"/>
      <c r="AC678" s="29"/>
      <c r="AD678" s="29"/>
      <c r="AE678" s="29"/>
      <c r="AJ678"/>
      <c r="AK678"/>
      <c r="AL678"/>
      <c r="AM678"/>
      <c r="AN678"/>
      <c r="AO678"/>
      <c r="AP678"/>
      <c r="AQ678"/>
      <c r="AR678"/>
      <c r="AS678"/>
      <c r="AT678" s="4" t="str">
        <f t="shared" si="75"/>
        <v>1.0倍人力生育保险</v>
      </c>
      <c r="AU678" s="4" t="str">
        <f t="shared" si="71"/>
        <v>个金信贷部</v>
      </c>
      <c r="AV678" s="4" t="str">
        <f t="shared" si="72"/>
        <v>人力费用</v>
      </c>
      <c r="AW678" s="4" t="str">
        <f>IFERROR(VLOOKUP(AV678,[1]字段!A:B,2,0),"")</f>
        <v>人力费用</v>
      </c>
      <c r="AX678" s="30" t="str">
        <f>IF(AW678="人力费用",IF(E678="","",VLOOKUP(E678,[1]字段!D:E,2,0)),AW678)</f>
        <v>1.0倍人力</v>
      </c>
      <c r="AY678" s="30" t="str">
        <f>IF(AT678="","",VLOOKUP(AT678,[1]字段!H:I,2,0))</f>
        <v>1.0倍人力</v>
      </c>
      <c r="AZ678" s="31">
        <f t="shared" si="76"/>
        <v>0</v>
      </c>
      <c r="BA678" s="31">
        <f t="shared" si="73"/>
        <v>0</v>
      </c>
      <c r="BB678" s="31">
        <f t="shared" si="74"/>
        <v>0</v>
      </c>
      <c r="BC678" s="31">
        <f t="shared" si="77"/>
        <v>0</v>
      </c>
    </row>
    <row r="679" spans="1:55" ht="28.5" customHeight="1">
      <c r="A679" s="32"/>
      <c r="B679" s="32"/>
      <c r="C679" s="32"/>
      <c r="D679" s="40"/>
      <c r="E679" s="39" t="s">
        <v>57</v>
      </c>
      <c r="F679" s="39" t="s">
        <v>58</v>
      </c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  <c r="AA679" s="29"/>
      <c r="AB679" s="29"/>
      <c r="AC679" s="29"/>
      <c r="AD679" s="29"/>
      <c r="AE679" s="29"/>
      <c r="AJ679"/>
      <c r="AK679"/>
      <c r="AL679"/>
      <c r="AM679"/>
      <c r="AN679"/>
      <c r="AO679"/>
      <c r="AP679"/>
      <c r="AQ679"/>
      <c r="AR679"/>
      <c r="AS679"/>
      <c r="AT679" s="4" t="str">
        <f t="shared" si="75"/>
        <v>1.0倍人力失业保险</v>
      </c>
      <c r="AU679" s="4" t="str">
        <f t="shared" si="71"/>
        <v>个金信贷部</v>
      </c>
      <c r="AV679" s="4" t="str">
        <f t="shared" si="72"/>
        <v>人力费用</v>
      </c>
      <c r="AW679" s="4" t="str">
        <f>IFERROR(VLOOKUP(AV679,[1]字段!A:B,2,0),"")</f>
        <v>人力费用</v>
      </c>
      <c r="AX679" s="30" t="str">
        <f>IF(AW679="人力费用",IF(E679="","",VLOOKUP(E679,[1]字段!D:E,2,0)),AW679)</f>
        <v>1.0倍人力</v>
      </c>
      <c r="AY679" s="30" t="str">
        <f>IF(AT679="","",VLOOKUP(AT679,[1]字段!H:I,2,0))</f>
        <v>1.0倍人力</v>
      </c>
      <c r="AZ679" s="31">
        <f t="shared" si="76"/>
        <v>0</v>
      </c>
      <c r="BA679" s="31">
        <f t="shared" si="73"/>
        <v>0</v>
      </c>
      <c r="BB679" s="31">
        <f t="shared" si="74"/>
        <v>0</v>
      </c>
      <c r="BC679" s="31">
        <f t="shared" si="77"/>
        <v>0</v>
      </c>
    </row>
    <row r="680" spans="1:55" ht="28.5" customHeight="1">
      <c r="A680" s="32"/>
      <c r="B680" s="32"/>
      <c r="C680" s="41"/>
      <c r="D680" s="42"/>
      <c r="E680" s="39" t="s">
        <v>59</v>
      </c>
      <c r="F680" s="39" t="s">
        <v>60</v>
      </c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  <c r="AA680" s="29"/>
      <c r="AB680" s="29"/>
      <c r="AC680" s="29"/>
      <c r="AD680" s="29"/>
      <c r="AE680" s="29"/>
      <c r="AJ680"/>
      <c r="AK680"/>
      <c r="AL680"/>
      <c r="AM680"/>
      <c r="AN680"/>
      <c r="AO680"/>
      <c r="AP680"/>
      <c r="AQ680"/>
      <c r="AR680"/>
      <c r="AS680"/>
      <c r="AT680" s="4" t="str">
        <f t="shared" si="75"/>
        <v>1.0倍人力住房公积金</v>
      </c>
      <c r="AU680" s="4" t="str">
        <f t="shared" si="71"/>
        <v>个金信贷部</v>
      </c>
      <c r="AV680" s="4" t="str">
        <f t="shared" si="72"/>
        <v>人力费用</v>
      </c>
      <c r="AW680" s="4" t="str">
        <f>IFERROR(VLOOKUP(AV680,[1]字段!A:B,2,0),"")</f>
        <v>人力费用</v>
      </c>
      <c r="AX680" s="30" t="str">
        <f>IF(AW680="人力费用",IF(E680="","",VLOOKUP(E680,[1]字段!D:E,2,0)),AW680)</f>
        <v>1.0倍人力</v>
      </c>
      <c r="AY680" s="30" t="str">
        <f>IF(AT680="","",VLOOKUP(AT680,[1]字段!H:I,2,0))</f>
        <v>1.0倍人力</v>
      </c>
      <c r="AZ680" s="31">
        <f t="shared" si="76"/>
        <v>0</v>
      </c>
      <c r="BA680" s="31">
        <f t="shared" si="73"/>
        <v>0</v>
      </c>
      <c r="BB680" s="31">
        <f t="shared" si="74"/>
        <v>0</v>
      </c>
      <c r="BC680" s="31">
        <f t="shared" si="77"/>
        <v>0</v>
      </c>
    </row>
    <row r="681" spans="1:55" ht="28.5" customHeight="1">
      <c r="C681" s="33" t="s">
        <v>162</v>
      </c>
      <c r="D681" s="34" t="s">
        <v>163</v>
      </c>
      <c r="E681" s="35"/>
      <c r="F681" s="36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  <c r="AA681" s="29"/>
      <c r="AB681" s="29"/>
      <c r="AC681" s="29"/>
      <c r="AD681" s="29"/>
      <c r="AE681" s="29"/>
      <c r="AJ681"/>
      <c r="AK681"/>
      <c r="AL681"/>
      <c r="AM681"/>
      <c r="AN681"/>
      <c r="AO681"/>
      <c r="AP681"/>
      <c r="AQ681"/>
      <c r="AR681"/>
      <c r="AS681"/>
      <c r="AT681" s="4" t="str">
        <f t="shared" si="75"/>
        <v>运营费用</v>
      </c>
      <c r="AU681" s="4" t="str">
        <f t="shared" si="71"/>
        <v>个金信贷部</v>
      </c>
      <c r="AV681" s="4" t="str">
        <f t="shared" si="72"/>
        <v>运营费用</v>
      </c>
      <c r="AW681" s="4" t="str">
        <f>IFERROR(VLOOKUP(AV681,[1]字段!A:B,2,0),"")</f>
        <v>运营费用</v>
      </c>
      <c r="AX681" s="30" t="str">
        <f>IF(AW681="人力费用",IF(E681="","",VLOOKUP(E681,[1]字段!D:E,2,0)),AW681)</f>
        <v>运营费用</v>
      </c>
      <c r="AY681" s="30">
        <f>IF(AT681="","",VLOOKUP(AT681,[1]字段!H:I,2,0))</f>
        <v>0</v>
      </c>
      <c r="AZ681" s="31">
        <f t="shared" si="76"/>
        <v>0</v>
      </c>
      <c r="BA681" s="31">
        <f t="shared" si="73"/>
        <v>0</v>
      </c>
      <c r="BB681" s="31">
        <f t="shared" si="74"/>
        <v>0</v>
      </c>
      <c r="BC681" s="31">
        <f t="shared" si="77"/>
        <v>0</v>
      </c>
    </row>
    <row r="682" spans="1:55" ht="28.5" customHeight="1">
      <c r="A682" s="32"/>
      <c r="B682" s="32"/>
      <c r="C682" s="43"/>
      <c r="D682" s="43"/>
      <c r="E682" s="39" t="s">
        <v>83</v>
      </c>
      <c r="F682" s="39" t="s">
        <v>84</v>
      </c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  <c r="AA682" s="29"/>
      <c r="AB682" s="29"/>
      <c r="AC682" s="29"/>
      <c r="AD682" s="29"/>
      <c r="AE682" s="29"/>
      <c r="AJ682"/>
      <c r="AK682"/>
      <c r="AL682"/>
      <c r="AM682"/>
      <c r="AN682"/>
      <c r="AO682"/>
      <c r="AP682"/>
      <c r="AQ682"/>
      <c r="AR682"/>
      <c r="AS682"/>
      <c r="AT682" s="4" t="str">
        <f t="shared" si="75"/>
        <v>运营费用其他外包服务费</v>
      </c>
      <c r="AU682" s="4" t="str">
        <f t="shared" si="71"/>
        <v>个金信贷部</v>
      </c>
      <c r="AV682" s="4" t="str">
        <f t="shared" si="72"/>
        <v>运营费用</v>
      </c>
      <c r="AW682" s="4" t="str">
        <f>IFERROR(VLOOKUP(AV682,[1]字段!A:B,2,0),"")</f>
        <v>运营费用</v>
      </c>
      <c r="AX682" s="30" t="str">
        <f>IF(AW682="人力费用",IF(E682="","",VLOOKUP(E682,[1]字段!D:E,2,0)),AW682)</f>
        <v>运营费用</v>
      </c>
      <c r="AY682" s="30" t="str">
        <f>IF(AT682="","",VLOOKUP(AT682,[1]字段!H:I,2,0))</f>
        <v>运营费用-外包服务费</v>
      </c>
      <c r="AZ682" s="31">
        <f t="shared" si="76"/>
        <v>0</v>
      </c>
      <c r="BA682" s="31">
        <f t="shared" si="73"/>
        <v>0</v>
      </c>
      <c r="BB682" s="31">
        <f t="shared" si="74"/>
        <v>0</v>
      </c>
      <c r="BC682" s="31">
        <f t="shared" si="77"/>
        <v>0</v>
      </c>
    </row>
    <row r="683" spans="1:55" ht="28.5" customHeight="1">
      <c r="C683" s="33" t="s">
        <v>65</v>
      </c>
      <c r="D683" s="34" t="s">
        <v>66</v>
      </c>
      <c r="E683" s="35"/>
      <c r="F683" s="36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  <c r="AA683" s="29"/>
      <c r="AB683" s="29"/>
      <c r="AC683" s="29"/>
      <c r="AD683" s="29"/>
      <c r="AE683" s="29"/>
      <c r="AJ683"/>
      <c r="AK683"/>
      <c r="AL683"/>
      <c r="AM683"/>
      <c r="AN683"/>
      <c r="AO683"/>
      <c r="AP683"/>
      <c r="AQ683"/>
      <c r="AR683"/>
      <c r="AS683"/>
      <c r="AT683" s="4" t="str">
        <f t="shared" si="75"/>
        <v>IT费用</v>
      </c>
      <c r="AU683" s="4" t="str">
        <f t="shared" si="71"/>
        <v>个金信贷部</v>
      </c>
      <c r="AV683" s="4" t="str">
        <f t="shared" si="72"/>
        <v>IT科技费用</v>
      </c>
      <c r="AW683" s="4" t="str">
        <f>IFERROR(VLOOKUP(AV683,[1]字段!A:B,2,0),"")</f>
        <v>IT费用</v>
      </c>
      <c r="AX683" s="30" t="str">
        <f>IF(AW683="人力费用",IF(E683="","",VLOOKUP(E683,[1]字段!D:E,2,0)),AW683)</f>
        <v>IT费用</v>
      </c>
      <c r="AY683" s="30">
        <f>IF(AT683="","",VLOOKUP(AT683,[1]字段!H:I,2,0))</f>
        <v>0</v>
      </c>
      <c r="AZ683" s="31">
        <f t="shared" si="76"/>
        <v>0</v>
      </c>
      <c r="BA683" s="31">
        <f t="shared" si="73"/>
        <v>0</v>
      </c>
      <c r="BB683" s="31">
        <f t="shared" si="74"/>
        <v>0</v>
      </c>
      <c r="BC683" s="31">
        <f t="shared" si="77"/>
        <v>0</v>
      </c>
    </row>
    <row r="684" spans="1:55" ht="28.5" customHeight="1">
      <c r="A684" s="32"/>
      <c r="B684" s="32"/>
      <c r="C684" s="43"/>
      <c r="D684" s="43"/>
      <c r="E684" s="39" t="s">
        <v>71</v>
      </c>
      <c r="F684" s="39" t="s">
        <v>72</v>
      </c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  <c r="AA684" s="29"/>
      <c r="AB684" s="29"/>
      <c r="AC684" s="29"/>
      <c r="AD684" s="29"/>
      <c r="AE684" s="29"/>
      <c r="AJ684"/>
      <c r="AK684"/>
      <c r="AL684"/>
      <c r="AM684"/>
      <c r="AN684"/>
      <c r="AO684"/>
      <c r="AP684"/>
      <c r="AQ684"/>
      <c r="AR684"/>
      <c r="AS684"/>
      <c r="AT684" s="4" t="str">
        <f t="shared" si="75"/>
        <v>IT费用办公IT设备折旧费</v>
      </c>
      <c r="AU684" s="4" t="str">
        <f t="shared" si="71"/>
        <v>个金信贷部</v>
      </c>
      <c r="AV684" s="4" t="str">
        <f t="shared" si="72"/>
        <v>IT科技费用</v>
      </c>
      <c r="AW684" s="4" t="str">
        <f>IFERROR(VLOOKUP(AV684,[1]字段!A:B,2,0),"")</f>
        <v>IT费用</v>
      </c>
      <c r="AX684" s="30" t="str">
        <f>IF(AW684="人力费用",IF(E684="","",VLOOKUP(E684,[1]字段!D:E,2,0)),AW684)</f>
        <v>IT费用</v>
      </c>
      <c r="AY684" s="30" t="str">
        <f>IF(AT684="","",VLOOKUP(AT684,[1]字段!H:I,2,0))</f>
        <v>IT费用</v>
      </c>
      <c r="AZ684" s="31">
        <f t="shared" si="76"/>
        <v>0</v>
      </c>
      <c r="BA684" s="31">
        <f t="shared" si="73"/>
        <v>0</v>
      </c>
      <c r="BB684" s="31">
        <f t="shared" si="74"/>
        <v>0</v>
      </c>
      <c r="BC684" s="31">
        <f t="shared" si="77"/>
        <v>0</v>
      </c>
    </row>
    <row r="685" spans="1:55" ht="28.5" customHeight="1">
      <c r="C685" s="33" t="s">
        <v>93</v>
      </c>
      <c r="D685" s="34" t="s">
        <v>94</v>
      </c>
      <c r="E685" s="35"/>
      <c r="F685" s="36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  <c r="AA685" s="29"/>
      <c r="AB685" s="29"/>
      <c r="AC685" s="29"/>
      <c r="AD685" s="29"/>
      <c r="AE685" s="29"/>
      <c r="AJ685"/>
      <c r="AK685"/>
      <c r="AL685"/>
      <c r="AM685"/>
      <c r="AN685"/>
      <c r="AO685"/>
      <c r="AP685"/>
      <c r="AQ685"/>
      <c r="AR685"/>
      <c r="AS685"/>
      <c r="AT685" s="4" t="str">
        <f t="shared" si="75"/>
        <v>日常费用</v>
      </c>
      <c r="AU685" s="4" t="str">
        <f t="shared" si="71"/>
        <v>个金信贷部</v>
      </c>
      <c r="AV685" s="4" t="str">
        <f t="shared" si="72"/>
        <v>日常费用</v>
      </c>
      <c r="AW685" s="4" t="str">
        <f>IFERROR(VLOOKUP(AV685,[1]字段!A:B,2,0),"")</f>
        <v>日常费用</v>
      </c>
      <c r="AX685" s="30" t="str">
        <f>IF(AW685="人力费用",IF(E685="","",VLOOKUP(E685,[1]字段!D:E,2,0)),AW685)</f>
        <v>日常费用</v>
      </c>
      <c r="AY685" s="30">
        <f>IF(AT685="","",VLOOKUP(AT685,[1]字段!H:I,2,0))</f>
        <v>0</v>
      </c>
      <c r="AZ685" s="31">
        <f t="shared" si="76"/>
        <v>0</v>
      </c>
      <c r="BA685" s="31">
        <f t="shared" si="73"/>
        <v>0</v>
      </c>
      <c r="BB685" s="31">
        <f t="shared" si="74"/>
        <v>0</v>
      </c>
      <c r="BC685" s="31">
        <f t="shared" si="77"/>
        <v>0</v>
      </c>
    </row>
    <row r="686" spans="1:55" ht="28.5" customHeight="1">
      <c r="A686" s="32"/>
      <c r="B686" s="32"/>
      <c r="C686" s="37"/>
      <c r="D686" s="38"/>
      <c r="E686" s="39" t="s">
        <v>77</v>
      </c>
      <c r="F686" s="39" t="s">
        <v>78</v>
      </c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  <c r="AA686" s="29"/>
      <c r="AB686" s="29"/>
      <c r="AC686" s="29"/>
      <c r="AD686" s="29"/>
      <c r="AE686" s="29"/>
      <c r="AJ686"/>
      <c r="AK686"/>
      <c r="AL686"/>
      <c r="AM686"/>
      <c r="AN686"/>
      <c r="AO686"/>
      <c r="AP686"/>
      <c r="AQ686"/>
      <c r="AR686"/>
      <c r="AS686"/>
      <c r="AT686" s="4" t="str">
        <f t="shared" si="75"/>
        <v>日常费用咨询费</v>
      </c>
      <c r="AU686" s="4" t="str">
        <f t="shared" si="71"/>
        <v>个金信贷部</v>
      </c>
      <c r="AV686" s="4" t="str">
        <f t="shared" si="72"/>
        <v>日常费用</v>
      </c>
      <c r="AW686" s="4" t="str">
        <f>IFERROR(VLOOKUP(AV686,[1]字段!A:B,2,0),"")</f>
        <v>日常费用</v>
      </c>
      <c r="AX686" s="30" t="str">
        <f>IF(AW686="人力费用",IF(E686="","",VLOOKUP(E686,[1]字段!D:E,2,0)),AW686)</f>
        <v>日常费用</v>
      </c>
      <c r="AY686" s="30" t="str">
        <f>IF(AT686="","",VLOOKUP(AT686,[1]字段!H:I,2,0))</f>
        <v>日常费用-咨询费</v>
      </c>
      <c r="AZ686" s="31">
        <f t="shared" si="76"/>
        <v>0</v>
      </c>
      <c r="BA686" s="31">
        <f t="shared" si="73"/>
        <v>0</v>
      </c>
      <c r="BB686" s="31">
        <f t="shared" si="74"/>
        <v>0</v>
      </c>
      <c r="BC686" s="31">
        <f t="shared" si="77"/>
        <v>0</v>
      </c>
    </row>
    <row r="687" spans="1:55" ht="28.5" customHeight="1">
      <c r="A687" s="32"/>
      <c r="B687" s="32"/>
      <c r="C687" s="32"/>
      <c r="D687" s="40"/>
      <c r="E687" s="39" t="s">
        <v>95</v>
      </c>
      <c r="F687" s="39" t="s">
        <v>96</v>
      </c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  <c r="AA687" s="29"/>
      <c r="AB687" s="29"/>
      <c r="AC687" s="29"/>
      <c r="AD687" s="29"/>
      <c r="AE687" s="29"/>
      <c r="AJ687"/>
      <c r="AK687"/>
      <c r="AL687"/>
      <c r="AM687"/>
      <c r="AN687"/>
      <c r="AO687"/>
      <c r="AP687"/>
      <c r="AQ687"/>
      <c r="AR687"/>
      <c r="AS687"/>
      <c r="AT687" s="4" t="str">
        <f t="shared" si="75"/>
        <v>日常费用业务招待费</v>
      </c>
      <c r="AU687" s="4" t="str">
        <f t="shared" si="71"/>
        <v>个金信贷部</v>
      </c>
      <c r="AV687" s="4" t="str">
        <f t="shared" si="72"/>
        <v>日常费用</v>
      </c>
      <c r="AW687" s="4" t="str">
        <f>IFERROR(VLOOKUP(AV687,[1]字段!A:B,2,0),"")</f>
        <v>日常费用</v>
      </c>
      <c r="AX687" s="30" t="str">
        <f>IF(AW687="人力费用",IF(E687="","",VLOOKUP(E687,[1]字段!D:E,2,0)),AW687)</f>
        <v>日常费用</v>
      </c>
      <c r="AY687" s="30" t="str">
        <f>IF(AT687="","",VLOOKUP(AT687,[1]字段!H:I,2,0))</f>
        <v>日常费用-其他</v>
      </c>
      <c r="AZ687" s="31">
        <f t="shared" si="76"/>
        <v>0</v>
      </c>
      <c r="BA687" s="31">
        <f t="shared" si="73"/>
        <v>0</v>
      </c>
      <c r="BB687" s="31">
        <f t="shared" si="74"/>
        <v>0</v>
      </c>
      <c r="BC687" s="31">
        <f t="shared" si="77"/>
        <v>0</v>
      </c>
    </row>
    <row r="688" spans="1:55" ht="28.5" customHeight="1">
      <c r="A688" s="41"/>
      <c r="B688" s="41"/>
      <c r="C688" s="41"/>
      <c r="D688" s="42"/>
      <c r="E688" s="39" t="s">
        <v>139</v>
      </c>
      <c r="F688" s="39" t="s">
        <v>140</v>
      </c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  <c r="AA688" s="29"/>
      <c r="AB688" s="29"/>
      <c r="AC688" s="29"/>
      <c r="AD688" s="29"/>
      <c r="AE688" s="29"/>
      <c r="AJ688"/>
      <c r="AK688"/>
      <c r="AL688"/>
      <c r="AM688"/>
      <c r="AN688"/>
      <c r="AO688"/>
      <c r="AP688"/>
      <c r="AQ688"/>
      <c r="AR688"/>
      <c r="AS688"/>
      <c r="AT688" s="4" t="str">
        <f t="shared" si="75"/>
        <v>日常费用差旅费</v>
      </c>
      <c r="AU688" s="4" t="str">
        <f t="shared" si="71"/>
        <v>个金信贷部</v>
      </c>
      <c r="AV688" s="4" t="str">
        <f t="shared" si="72"/>
        <v>日常费用</v>
      </c>
      <c r="AW688" s="4" t="str">
        <f>IFERROR(VLOOKUP(AV688,[1]字段!A:B,2,0),"")</f>
        <v>日常费用</v>
      </c>
      <c r="AX688" s="30" t="str">
        <f>IF(AW688="人力费用",IF(E688="","",VLOOKUP(E688,[1]字段!D:E,2,0)),AW688)</f>
        <v>日常费用</v>
      </c>
      <c r="AY688" s="30" t="str">
        <f>IF(AT688="","",VLOOKUP(AT688,[1]字段!H:I,2,0))</f>
        <v>日常费用-其他</v>
      </c>
      <c r="AZ688" s="31">
        <f t="shared" si="76"/>
        <v>0</v>
      </c>
      <c r="BA688" s="31">
        <f t="shared" si="73"/>
        <v>0</v>
      </c>
      <c r="BB688" s="31">
        <f t="shared" si="74"/>
        <v>0</v>
      </c>
      <c r="BC688" s="31">
        <f t="shared" si="77"/>
        <v>0</v>
      </c>
    </row>
    <row r="689" spans="1:55" ht="28.5" customHeight="1">
      <c r="A689" s="25"/>
      <c r="B689" s="26" t="s">
        <v>193</v>
      </c>
      <c r="C689" s="27"/>
      <c r="D689" s="27"/>
      <c r="E689" s="27"/>
      <c r="F689" s="28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  <c r="AA689" s="29"/>
      <c r="AB689" s="29"/>
      <c r="AC689" s="29"/>
      <c r="AD689" s="29"/>
      <c r="AE689" s="29"/>
      <c r="AJ689"/>
      <c r="AK689"/>
      <c r="AL689"/>
      <c r="AM689"/>
      <c r="AN689"/>
      <c r="AO689"/>
      <c r="AP689"/>
      <c r="AQ689"/>
      <c r="AR689"/>
      <c r="AS689"/>
      <c r="AT689" s="4" t="str">
        <f t="shared" si="75"/>
        <v/>
      </c>
      <c r="AU689" s="4" t="str">
        <f t="shared" si="71"/>
        <v>个金互联网产品部</v>
      </c>
      <c r="AV689" s="4" t="str">
        <f t="shared" si="72"/>
        <v/>
      </c>
      <c r="AW689" s="4" t="str">
        <f>IFERROR(VLOOKUP(AV689,[1]字段!A:B,2,0),"")</f>
        <v/>
      </c>
      <c r="AX689" s="30" t="str">
        <f>IF(AW689="人力费用",IF(E689="","",VLOOKUP(E689,[1]字段!D:E,2,0)),AW689)</f>
        <v/>
      </c>
      <c r="AY689" s="30" t="str">
        <f>IF(AT689="","",VLOOKUP(AT689,[1]字段!H:I,2,0))</f>
        <v/>
      </c>
      <c r="AZ689" s="31">
        <f t="shared" si="76"/>
        <v>0</v>
      </c>
      <c r="BA689" s="31">
        <f t="shared" si="73"/>
        <v>0</v>
      </c>
      <c r="BB689" s="31">
        <f t="shared" si="74"/>
        <v>0</v>
      </c>
      <c r="BC689" s="31">
        <f t="shared" si="77"/>
        <v>0</v>
      </c>
    </row>
    <row r="690" spans="1:55" ht="28.5" customHeight="1">
      <c r="A690" s="32"/>
      <c r="B690" s="32"/>
      <c r="C690" s="33" t="s">
        <v>39</v>
      </c>
      <c r="D690" s="34" t="s">
        <v>40</v>
      </c>
      <c r="E690" s="35"/>
      <c r="F690" s="36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  <c r="AA690" s="29"/>
      <c r="AB690" s="29"/>
      <c r="AC690" s="29"/>
      <c r="AD690" s="29"/>
      <c r="AE690" s="29"/>
      <c r="AJ690"/>
      <c r="AK690"/>
      <c r="AL690"/>
      <c r="AM690"/>
      <c r="AN690"/>
      <c r="AO690"/>
      <c r="AP690"/>
      <c r="AQ690"/>
      <c r="AR690"/>
      <c r="AS690"/>
      <c r="AT690" s="4" t="str">
        <f t="shared" si="75"/>
        <v/>
      </c>
      <c r="AU690" s="4" t="str">
        <f t="shared" si="71"/>
        <v>个金互联网产品部</v>
      </c>
      <c r="AV690" s="4" t="str">
        <f t="shared" si="72"/>
        <v>人力费用</v>
      </c>
      <c r="AW690" s="4" t="str">
        <f>IFERROR(VLOOKUP(AV690,[1]字段!A:B,2,0),"")</f>
        <v>人力费用</v>
      </c>
      <c r="AX690" s="30" t="str">
        <f>IF(AW690="人力费用",IF(E690="","",VLOOKUP(E690,[1]字段!D:E,2,0)),AW690)</f>
        <v/>
      </c>
      <c r="AY690" s="30" t="str">
        <f>IF(AT690="","",VLOOKUP(AT690,[1]字段!H:I,2,0))</f>
        <v/>
      </c>
      <c r="AZ690" s="31">
        <f t="shared" si="76"/>
        <v>0</v>
      </c>
      <c r="BA690" s="31">
        <f t="shared" si="73"/>
        <v>0</v>
      </c>
      <c r="BB690" s="31">
        <f t="shared" si="74"/>
        <v>0</v>
      </c>
      <c r="BC690" s="31">
        <f t="shared" si="77"/>
        <v>0</v>
      </c>
    </row>
    <row r="691" spans="1:55" ht="28.5" customHeight="1">
      <c r="A691" s="32"/>
      <c r="B691" s="32"/>
      <c r="C691" s="37"/>
      <c r="D691" s="38"/>
      <c r="E691" s="39" t="s">
        <v>41</v>
      </c>
      <c r="F691" s="39" t="s">
        <v>42</v>
      </c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  <c r="AA691" s="29"/>
      <c r="AB691" s="29"/>
      <c r="AC691" s="29"/>
      <c r="AD691" s="29"/>
      <c r="AE691" s="29"/>
      <c r="AJ691"/>
      <c r="AK691"/>
      <c r="AL691"/>
      <c r="AM691"/>
      <c r="AN691"/>
      <c r="AO691"/>
      <c r="AP691"/>
      <c r="AQ691"/>
      <c r="AR691"/>
      <c r="AS691"/>
      <c r="AT691" s="4" t="str">
        <f t="shared" si="75"/>
        <v>1.0倍人力基础工资</v>
      </c>
      <c r="AU691" s="4" t="str">
        <f t="shared" si="71"/>
        <v>个金互联网产品部</v>
      </c>
      <c r="AV691" s="4" t="str">
        <f t="shared" si="72"/>
        <v>人力费用</v>
      </c>
      <c r="AW691" s="4" t="str">
        <f>IFERROR(VLOOKUP(AV691,[1]字段!A:B,2,0),"")</f>
        <v>人力费用</v>
      </c>
      <c r="AX691" s="30" t="str">
        <f>IF(AW691="人力费用",IF(E691="","",VLOOKUP(E691,[1]字段!D:E,2,0)),AW691)</f>
        <v>1.0倍人力</v>
      </c>
      <c r="AY691" s="30" t="str">
        <f>IF(AT691="","",VLOOKUP(AT691,[1]字段!H:I,2,0))</f>
        <v>1.0倍人力</v>
      </c>
      <c r="AZ691" s="31">
        <f t="shared" si="76"/>
        <v>0</v>
      </c>
      <c r="BA691" s="31">
        <f t="shared" si="73"/>
        <v>0</v>
      </c>
      <c r="BB691" s="31">
        <f t="shared" si="74"/>
        <v>0</v>
      </c>
      <c r="BC691" s="31">
        <f t="shared" si="77"/>
        <v>0</v>
      </c>
    </row>
    <row r="692" spans="1:55" ht="28.5" customHeight="1">
      <c r="A692" s="32"/>
      <c r="B692" s="32"/>
      <c r="C692" s="32"/>
      <c r="D692" s="40"/>
      <c r="E692" s="39">
        <v>5501010602</v>
      </c>
      <c r="F692" s="3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  <c r="AA692" s="29"/>
      <c r="AB692" s="29"/>
      <c r="AC692" s="29"/>
      <c r="AD692" s="29"/>
      <c r="AE692" s="29"/>
      <c r="AJ692"/>
      <c r="AK692"/>
      <c r="AL692"/>
      <c r="AM692"/>
      <c r="AN692"/>
      <c r="AO692"/>
      <c r="AP692"/>
      <c r="AQ692"/>
      <c r="AR692"/>
      <c r="AS692"/>
      <c r="AT692" s="4" t="str">
        <f t="shared" si="75"/>
        <v>利润分享</v>
      </c>
      <c r="AU692" s="4" t="str">
        <f t="shared" si="71"/>
        <v>个金互联网产品部</v>
      </c>
      <c r="AV692" s="4" t="str">
        <f t="shared" si="72"/>
        <v>人力费用</v>
      </c>
      <c r="AW692" s="4" t="str">
        <f>IFERROR(VLOOKUP(AV692,[1]字段!A:B,2,0),"")</f>
        <v>人力费用</v>
      </c>
      <c r="AX692" s="30" t="str">
        <f>IF(AW692="人力费用",IF(E692="","",VLOOKUP(E692,[1]字段!D:E,2,0)),AW692)</f>
        <v>利润分享</v>
      </c>
      <c r="AY692" s="30" t="str">
        <f>IF(AT692="","",VLOOKUP(AT692,[1]字段!H:I,2,0))</f>
        <v>利润分享</v>
      </c>
      <c r="AZ692" s="31">
        <f t="shared" si="76"/>
        <v>0</v>
      </c>
      <c r="BA692" s="31">
        <f t="shared" si="73"/>
        <v>0</v>
      </c>
      <c r="BB692" s="31">
        <f t="shared" si="74"/>
        <v>0</v>
      </c>
      <c r="BC692" s="31">
        <f t="shared" si="77"/>
        <v>0</v>
      </c>
    </row>
    <row r="693" spans="1:55" ht="28.5" customHeight="1">
      <c r="A693" s="32"/>
      <c r="B693" s="32"/>
      <c r="C693" s="32"/>
      <c r="D693" s="40"/>
      <c r="E693" s="39">
        <v>5501010603</v>
      </c>
      <c r="F693" s="3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  <c r="AA693" s="29"/>
      <c r="AB693" s="29"/>
      <c r="AC693" s="29"/>
      <c r="AD693" s="29"/>
      <c r="AE693" s="29"/>
      <c r="AJ693"/>
      <c r="AK693"/>
      <c r="AL693"/>
      <c r="AM693"/>
      <c r="AN693"/>
      <c r="AO693"/>
      <c r="AP693"/>
      <c r="AQ693"/>
      <c r="AR693"/>
      <c r="AS693"/>
      <c r="AT693" s="4" t="str">
        <f t="shared" si="75"/>
        <v>留任奖励</v>
      </c>
      <c r="AU693" s="4" t="str">
        <f t="shared" si="71"/>
        <v>个金互联网产品部</v>
      </c>
      <c r="AV693" s="4" t="str">
        <f t="shared" si="72"/>
        <v>人力费用</v>
      </c>
      <c r="AW693" s="4" t="str">
        <f>IFERROR(VLOOKUP(AV693,[1]字段!A:B,2,0),"")</f>
        <v>人力费用</v>
      </c>
      <c r="AX693" s="30" t="str">
        <f>IF(AW693="人力费用",IF(E693="","",VLOOKUP(E693,[1]字段!D:E,2,0)),AW693)</f>
        <v>留任奖励</v>
      </c>
      <c r="AY693" s="30" t="str">
        <f>IF(AT693="","",VLOOKUP(AT693,[1]字段!H:I,2,0))</f>
        <v>留任奖励</v>
      </c>
      <c r="AZ693" s="31">
        <f t="shared" si="76"/>
        <v>0</v>
      </c>
      <c r="BA693" s="31">
        <f t="shared" si="73"/>
        <v>0</v>
      </c>
      <c r="BB693" s="31">
        <f t="shared" si="74"/>
        <v>0</v>
      </c>
      <c r="BC693" s="31">
        <f t="shared" si="77"/>
        <v>0</v>
      </c>
    </row>
    <row r="694" spans="1:55" ht="28.5" customHeight="1">
      <c r="A694" s="32"/>
      <c r="B694" s="32"/>
      <c r="C694" s="32"/>
      <c r="D694" s="40"/>
      <c r="E694" s="39">
        <v>5501010604</v>
      </c>
      <c r="F694" s="3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  <c r="AA694" s="29"/>
      <c r="AB694" s="29"/>
      <c r="AC694" s="29"/>
      <c r="AD694" s="29"/>
      <c r="AE694" s="29"/>
      <c r="AJ694"/>
      <c r="AK694"/>
      <c r="AL694"/>
      <c r="AM694"/>
      <c r="AN694"/>
      <c r="AO694"/>
      <c r="AP694"/>
      <c r="AQ694"/>
      <c r="AR694"/>
      <c r="AS694"/>
      <c r="AT694" s="4" t="str">
        <f t="shared" si="75"/>
        <v>1.0倍人力</v>
      </c>
      <c r="AU694" s="4" t="str">
        <f t="shared" si="71"/>
        <v>个金互联网产品部</v>
      </c>
      <c r="AV694" s="4" t="str">
        <f t="shared" si="72"/>
        <v>人力费用</v>
      </c>
      <c r="AW694" s="4" t="str">
        <f>IFERROR(VLOOKUP(AV694,[1]字段!A:B,2,0),"")</f>
        <v>人力费用</v>
      </c>
      <c r="AX694" s="30" t="str">
        <f>IF(AW694="人力费用",IF(E694="","",VLOOKUP(E694,[1]字段!D:E,2,0)),AW694)</f>
        <v>1.0倍人力</v>
      </c>
      <c r="AY694" s="30" t="str">
        <f>IF(AT694="","",VLOOKUP(AT694,[1]字段!H:I,2,0))</f>
        <v>1.0倍人力</v>
      </c>
      <c r="AZ694" s="31">
        <f t="shared" si="76"/>
        <v>0</v>
      </c>
      <c r="BA694" s="31">
        <f t="shared" si="73"/>
        <v>0</v>
      </c>
      <c r="BB694" s="31">
        <f t="shared" si="74"/>
        <v>0</v>
      </c>
      <c r="BC694" s="31">
        <f t="shared" si="77"/>
        <v>0</v>
      </c>
    </row>
    <row r="695" spans="1:55" ht="28.5" customHeight="1">
      <c r="A695" s="32"/>
      <c r="B695" s="32"/>
      <c r="C695" s="32"/>
      <c r="D695" s="40"/>
      <c r="E695" s="39" t="s">
        <v>43</v>
      </c>
      <c r="F695" s="39" t="s">
        <v>44</v>
      </c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  <c r="AA695" s="29"/>
      <c r="AB695" s="29"/>
      <c r="AC695" s="29"/>
      <c r="AD695" s="29"/>
      <c r="AE695" s="29"/>
      <c r="AJ695"/>
      <c r="AK695"/>
      <c r="AL695"/>
      <c r="AM695"/>
      <c r="AN695"/>
      <c r="AO695"/>
      <c r="AP695"/>
      <c r="AQ695"/>
      <c r="AR695"/>
      <c r="AS695"/>
      <c r="AT695" s="4" t="str">
        <f t="shared" si="75"/>
        <v>1.0倍人力团队建设费</v>
      </c>
      <c r="AU695" s="4" t="str">
        <f t="shared" si="71"/>
        <v>个金互联网产品部</v>
      </c>
      <c r="AV695" s="4" t="str">
        <f t="shared" si="72"/>
        <v>人力费用</v>
      </c>
      <c r="AW695" s="4" t="str">
        <f>IFERROR(VLOOKUP(AV695,[1]字段!A:B,2,0),"")</f>
        <v>人力费用</v>
      </c>
      <c r="AX695" s="30" t="str">
        <f>IF(AW695="人力费用",IF(E695="","",VLOOKUP(E695,[1]字段!D:E,2,0)),AW695)</f>
        <v>1.0倍人力</v>
      </c>
      <c r="AY695" s="30" t="str">
        <f>IF(AT695="","",VLOOKUP(AT695,[1]字段!H:I,2,0))</f>
        <v>1.0倍人力</v>
      </c>
      <c r="AZ695" s="31">
        <f t="shared" si="76"/>
        <v>0</v>
      </c>
      <c r="BA695" s="31">
        <f t="shared" si="73"/>
        <v>0</v>
      </c>
      <c r="BB695" s="31">
        <f t="shared" si="74"/>
        <v>0</v>
      </c>
      <c r="BC695" s="31">
        <f t="shared" si="77"/>
        <v>0</v>
      </c>
    </row>
    <row r="696" spans="1:55" ht="28.5" customHeight="1">
      <c r="A696" s="32"/>
      <c r="B696" s="32"/>
      <c r="C696" s="32"/>
      <c r="D696" s="40"/>
      <c r="E696" s="39" t="s">
        <v>45</v>
      </c>
      <c r="F696" s="39" t="s">
        <v>46</v>
      </c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  <c r="AA696" s="29"/>
      <c r="AB696" s="29"/>
      <c r="AC696" s="29"/>
      <c r="AD696" s="29"/>
      <c r="AE696" s="29"/>
      <c r="AJ696"/>
      <c r="AK696"/>
      <c r="AL696"/>
      <c r="AM696"/>
      <c r="AN696"/>
      <c r="AO696"/>
      <c r="AP696"/>
      <c r="AQ696"/>
      <c r="AR696"/>
      <c r="AS696"/>
      <c r="AT696" s="4" t="str">
        <f t="shared" si="75"/>
        <v>1.0倍人力其他职工福利费</v>
      </c>
      <c r="AU696" s="4" t="str">
        <f t="shared" si="71"/>
        <v>个金互联网产品部</v>
      </c>
      <c r="AV696" s="4" t="str">
        <f t="shared" si="72"/>
        <v>人力费用</v>
      </c>
      <c r="AW696" s="4" t="str">
        <f>IFERROR(VLOOKUP(AV696,[1]字段!A:B,2,0),"")</f>
        <v>人力费用</v>
      </c>
      <c r="AX696" s="30" t="str">
        <f>IF(AW696="人力费用",IF(E696="","",VLOOKUP(E696,[1]字段!D:E,2,0)),AW696)</f>
        <v>1.0倍人力</v>
      </c>
      <c r="AY696" s="30" t="str">
        <f>IF(AT696="","",VLOOKUP(AT696,[1]字段!H:I,2,0))</f>
        <v>1.0倍人力</v>
      </c>
      <c r="AZ696" s="31">
        <f t="shared" si="76"/>
        <v>0</v>
      </c>
      <c r="BA696" s="31">
        <f t="shared" si="73"/>
        <v>0</v>
      </c>
      <c r="BB696" s="31">
        <f t="shared" si="74"/>
        <v>0</v>
      </c>
      <c r="BC696" s="31">
        <f t="shared" si="77"/>
        <v>0</v>
      </c>
    </row>
    <row r="697" spans="1:55" ht="28.5" customHeight="1">
      <c r="A697" s="32"/>
      <c r="B697" s="32"/>
      <c r="C697" s="32"/>
      <c r="D697" s="40"/>
      <c r="E697" s="39" t="s">
        <v>47</v>
      </c>
      <c r="F697" s="39" t="s">
        <v>48</v>
      </c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  <c r="AA697" s="29"/>
      <c r="AB697" s="29"/>
      <c r="AC697" s="29"/>
      <c r="AD697" s="29"/>
      <c r="AE697" s="29"/>
      <c r="AJ697"/>
      <c r="AK697"/>
      <c r="AL697"/>
      <c r="AM697"/>
      <c r="AN697"/>
      <c r="AO697"/>
      <c r="AP697"/>
      <c r="AQ697"/>
      <c r="AR697"/>
      <c r="AS697"/>
      <c r="AT697" s="4" t="str">
        <f t="shared" si="75"/>
        <v>1.0倍人力工会经费</v>
      </c>
      <c r="AU697" s="4" t="str">
        <f t="shared" si="71"/>
        <v>个金互联网产品部</v>
      </c>
      <c r="AV697" s="4" t="str">
        <f t="shared" si="72"/>
        <v>人力费用</v>
      </c>
      <c r="AW697" s="4" t="str">
        <f>IFERROR(VLOOKUP(AV697,[1]字段!A:B,2,0),"")</f>
        <v>人力费用</v>
      </c>
      <c r="AX697" s="30" t="str">
        <f>IF(AW697="人力费用",IF(E697="","",VLOOKUP(E697,[1]字段!D:E,2,0)),AW697)</f>
        <v>1.0倍人力</v>
      </c>
      <c r="AY697" s="30" t="str">
        <f>IF(AT697="","",VLOOKUP(AT697,[1]字段!H:I,2,0))</f>
        <v>1.0倍人力</v>
      </c>
      <c r="AZ697" s="31">
        <f t="shared" si="76"/>
        <v>0</v>
      </c>
      <c r="BA697" s="31">
        <f t="shared" si="73"/>
        <v>0</v>
      </c>
      <c r="BB697" s="31">
        <f t="shared" si="74"/>
        <v>0</v>
      </c>
      <c r="BC697" s="31">
        <f t="shared" si="77"/>
        <v>0</v>
      </c>
    </row>
    <row r="698" spans="1:55" ht="28.5" customHeight="1">
      <c r="A698" s="32"/>
      <c r="B698" s="32"/>
      <c r="C698" s="32"/>
      <c r="D698" s="40"/>
      <c r="E698" s="39" t="s">
        <v>49</v>
      </c>
      <c r="F698" s="39" t="s">
        <v>50</v>
      </c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  <c r="AA698" s="29"/>
      <c r="AB698" s="29"/>
      <c r="AC698" s="29"/>
      <c r="AD698" s="29"/>
      <c r="AE698" s="29"/>
      <c r="AJ698"/>
      <c r="AK698"/>
      <c r="AL698"/>
      <c r="AM698"/>
      <c r="AN698"/>
      <c r="AO698"/>
      <c r="AP698"/>
      <c r="AQ698"/>
      <c r="AR698"/>
      <c r="AS698"/>
      <c r="AT698" s="4" t="str">
        <f t="shared" si="75"/>
        <v>1.0倍人力基本养老保险</v>
      </c>
      <c r="AU698" s="4" t="str">
        <f t="shared" si="71"/>
        <v>个金互联网产品部</v>
      </c>
      <c r="AV698" s="4" t="str">
        <f t="shared" si="72"/>
        <v>人力费用</v>
      </c>
      <c r="AW698" s="4" t="str">
        <f>IFERROR(VLOOKUP(AV698,[1]字段!A:B,2,0),"")</f>
        <v>人力费用</v>
      </c>
      <c r="AX698" s="30" t="str">
        <f>IF(AW698="人力费用",IF(E698="","",VLOOKUP(E698,[1]字段!D:E,2,0)),AW698)</f>
        <v>1.0倍人力</v>
      </c>
      <c r="AY698" s="30" t="str">
        <f>IF(AT698="","",VLOOKUP(AT698,[1]字段!H:I,2,0))</f>
        <v>1.0倍人力</v>
      </c>
      <c r="AZ698" s="31">
        <f t="shared" si="76"/>
        <v>0</v>
      </c>
      <c r="BA698" s="31">
        <f t="shared" si="73"/>
        <v>0</v>
      </c>
      <c r="BB698" s="31">
        <f t="shared" si="74"/>
        <v>0</v>
      </c>
      <c r="BC698" s="31">
        <f t="shared" si="77"/>
        <v>0</v>
      </c>
    </row>
    <row r="699" spans="1:55" ht="28.5" customHeight="1">
      <c r="A699" s="32"/>
      <c r="B699" s="32"/>
      <c r="C699" s="32"/>
      <c r="D699" s="40"/>
      <c r="E699" s="39" t="s">
        <v>51</v>
      </c>
      <c r="F699" s="39" t="s">
        <v>52</v>
      </c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  <c r="AA699" s="29"/>
      <c r="AB699" s="29"/>
      <c r="AC699" s="29"/>
      <c r="AD699" s="29"/>
      <c r="AE699" s="29"/>
      <c r="AJ699"/>
      <c r="AK699"/>
      <c r="AL699"/>
      <c r="AM699"/>
      <c r="AN699"/>
      <c r="AO699"/>
      <c r="AP699"/>
      <c r="AQ699"/>
      <c r="AR699"/>
      <c r="AS699"/>
      <c r="AT699" s="4" t="str">
        <f t="shared" si="75"/>
        <v>1.0倍人力基本医疗保险</v>
      </c>
      <c r="AU699" s="4" t="str">
        <f t="shared" si="71"/>
        <v>个金互联网产品部</v>
      </c>
      <c r="AV699" s="4" t="str">
        <f t="shared" si="72"/>
        <v>人力费用</v>
      </c>
      <c r="AW699" s="4" t="str">
        <f>IFERROR(VLOOKUP(AV699,[1]字段!A:B,2,0),"")</f>
        <v>人力费用</v>
      </c>
      <c r="AX699" s="30" t="str">
        <f>IF(AW699="人力费用",IF(E699="","",VLOOKUP(E699,[1]字段!D:E,2,0)),AW699)</f>
        <v>1.0倍人力</v>
      </c>
      <c r="AY699" s="30" t="str">
        <f>IF(AT699="","",VLOOKUP(AT699,[1]字段!H:I,2,0))</f>
        <v>1.0倍人力</v>
      </c>
      <c r="AZ699" s="31">
        <f t="shared" si="76"/>
        <v>0</v>
      </c>
      <c r="BA699" s="31">
        <f t="shared" si="73"/>
        <v>0</v>
      </c>
      <c r="BB699" s="31">
        <f t="shared" si="74"/>
        <v>0</v>
      </c>
      <c r="BC699" s="31">
        <f t="shared" si="77"/>
        <v>0</v>
      </c>
    </row>
    <row r="700" spans="1:55" ht="28.5" customHeight="1">
      <c r="A700" s="32"/>
      <c r="B700" s="32"/>
      <c r="C700" s="32"/>
      <c r="D700" s="40"/>
      <c r="E700" s="39" t="s">
        <v>53</v>
      </c>
      <c r="F700" s="39" t="s">
        <v>54</v>
      </c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  <c r="AA700" s="29"/>
      <c r="AB700" s="29"/>
      <c r="AC700" s="29"/>
      <c r="AD700" s="29"/>
      <c r="AE700" s="29"/>
      <c r="AJ700"/>
      <c r="AK700"/>
      <c r="AL700"/>
      <c r="AM700"/>
      <c r="AN700"/>
      <c r="AO700"/>
      <c r="AP700"/>
      <c r="AQ700"/>
      <c r="AR700"/>
      <c r="AS700"/>
      <c r="AT700" s="4" t="str">
        <f t="shared" si="75"/>
        <v>1.0倍人力工伤保险</v>
      </c>
      <c r="AU700" s="4" t="str">
        <f t="shared" si="71"/>
        <v>个金互联网产品部</v>
      </c>
      <c r="AV700" s="4" t="str">
        <f t="shared" si="72"/>
        <v>人力费用</v>
      </c>
      <c r="AW700" s="4" t="str">
        <f>IFERROR(VLOOKUP(AV700,[1]字段!A:B,2,0),"")</f>
        <v>人力费用</v>
      </c>
      <c r="AX700" s="30" t="str">
        <f>IF(AW700="人力费用",IF(E700="","",VLOOKUP(E700,[1]字段!D:E,2,0)),AW700)</f>
        <v>1.0倍人力</v>
      </c>
      <c r="AY700" s="30" t="str">
        <f>IF(AT700="","",VLOOKUP(AT700,[1]字段!H:I,2,0))</f>
        <v>1.0倍人力</v>
      </c>
      <c r="AZ700" s="31">
        <f t="shared" si="76"/>
        <v>0</v>
      </c>
      <c r="BA700" s="31">
        <f t="shared" si="73"/>
        <v>0</v>
      </c>
      <c r="BB700" s="31">
        <f t="shared" si="74"/>
        <v>0</v>
      </c>
      <c r="BC700" s="31">
        <f t="shared" si="77"/>
        <v>0</v>
      </c>
    </row>
    <row r="701" spans="1:55" ht="28.5" customHeight="1">
      <c r="A701" s="32"/>
      <c r="B701" s="32"/>
      <c r="C701" s="32"/>
      <c r="D701" s="40"/>
      <c r="E701" s="39" t="s">
        <v>55</v>
      </c>
      <c r="F701" s="39" t="s">
        <v>56</v>
      </c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  <c r="AA701" s="29"/>
      <c r="AB701" s="29"/>
      <c r="AC701" s="29"/>
      <c r="AD701" s="29"/>
      <c r="AE701" s="29"/>
      <c r="AJ701"/>
      <c r="AK701"/>
      <c r="AL701"/>
      <c r="AM701"/>
      <c r="AN701"/>
      <c r="AO701"/>
      <c r="AP701"/>
      <c r="AQ701"/>
      <c r="AR701"/>
      <c r="AS701"/>
      <c r="AT701" s="4" t="str">
        <f t="shared" si="75"/>
        <v>1.0倍人力生育保险</v>
      </c>
      <c r="AU701" s="4" t="str">
        <f t="shared" si="71"/>
        <v>个金互联网产品部</v>
      </c>
      <c r="AV701" s="4" t="str">
        <f t="shared" si="72"/>
        <v>人力费用</v>
      </c>
      <c r="AW701" s="4" t="str">
        <f>IFERROR(VLOOKUP(AV701,[1]字段!A:B,2,0),"")</f>
        <v>人力费用</v>
      </c>
      <c r="AX701" s="30" t="str">
        <f>IF(AW701="人力费用",IF(E701="","",VLOOKUP(E701,[1]字段!D:E,2,0)),AW701)</f>
        <v>1.0倍人力</v>
      </c>
      <c r="AY701" s="30" t="str">
        <f>IF(AT701="","",VLOOKUP(AT701,[1]字段!H:I,2,0))</f>
        <v>1.0倍人力</v>
      </c>
      <c r="AZ701" s="31">
        <f t="shared" si="76"/>
        <v>0</v>
      </c>
      <c r="BA701" s="31">
        <f t="shared" si="73"/>
        <v>0</v>
      </c>
      <c r="BB701" s="31">
        <f t="shared" si="74"/>
        <v>0</v>
      </c>
      <c r="BC701" s="31">
        <f t="shared" si="77"/>
        <v>0</v>
      </c>
    </row>
    <row r="702" spans="1:55" ht="28.5" customHeight="1">
      <c r="A702" s="32"/>
      <c r="B702" s="32"/>
      <c r="C702" s="32"/>
      <c r="D702" s="40"/>
      <c r="E702" s="39" t="s">
        <v>57</v>
      </c>
      <c r="F702" s="39" t="s">
        <v>58</v>
      </c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  <c r="AA702" s="29"/>
      <c r="AB702" s="29"/>
      <c r="AC702" s="29"/>
      <c r="AD702" s="29"/>
      <c r="AE702" s="29"/>
      <c r="AJ702"/>
      <c r="AK702"/>
      <c r="AL702"/>
      <c r="AM702"/>
      <c r="AN702"/>
      <c r="AO702"/>
      <c r="AP702"/>
      <c r="AQ702"/>
      <c r="AR702"/>
      <c r="AS702"/>
      <c r="AT702" s="4" t="str">
        <f t="shared" si="75"/>
        <v>1.0倍人力失业保险</v>
      </c>
      <c r="AU702" s="4" t="str">
        <f t="shared" si="71"/>
        <v>个金互联网产品部</v>
      </c>
      <c r="AV702" s="4" t="str">
        <f t="shared" si="72"/>
        <v>人力费用</v>
      </c>
      <c r="AW702" s="4" t="str">
        <f>IFERROR(VLOOKUP(AV702,[1]字段!A:B,2,0),"")</f>
        <v>人力费用</v>
      </c>
      <c r="AX702" s="30" t="str">
        <f>IF(AW702="人力费用",IF(E702="","",VLOOKUP(E702,[1]字段!D:E,2,0)),AW702)</f>
        <v>1.0倍人力</v>
      </c>
      <c r="AY702" s="30" t="str">
        <f>IF(AT702="","",VLOOKUP(AT702,[1]字段!H:I,2,0))</f>
        <v>1.0倍人力</v>
      </c>
      <c r="AZ702" s="31">
        <f t="shared" si="76"/>
        <v>0</v>
      </c>
      <c r="BA702" s="31">
        <f t="shared" si="73"/>
        <v>0</v>
      </c>
      <c r="BB702" s="31">
        <f t="shared" si="74"/>
        <v>0</v>
      </c>
      <c r="BC702" s="31">
        <f t="shared" si="77"/>
        <v>0</v>
      </c>
    </row>
    <row r="703" spans="1:55" ht="28.5" customHeight="1">
      <c r="A703" s="32"/>
      <c r="B703" s="32"/>
      <c r="C703" s="41"/>
      <c r="D703" s="42"/>
      <c r="E703" s="39" t="s">
        <v>59</v>
      </c>
      <c r="F703" s="39" t="s">
        <v>60</v>
      </c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  <c r="AA703" s="29"/>
      <c r="AB703" s="29"/>
      <c r="AC703" s="29"/>
      <c r="AD703" s="29"/>
      <c r="AE703" s="29"/>
      <c r="AJ703"/>
      <c r="AK703"/>
      <c r="AL703"/>
      <c r="AM703"/>
      <c r="AN703"/>
      <c r="AO703"/>
      <c r="AP703"/>
      <c r="AQ703"/>
      <c r="AR703"/>
      <c r="AS703"/>
      <c r="AT703" s="4" t="str">
        <f t="shared" si="75"/>
        <v>1.0倍人力住房公积金</v>
      </c>
      <c r="AU703" s="4" t="str">
        <f t="shared" si="71"/>
        <v>个金互联网产品部</v>
      </c>
      <c r="AV703" s="4" t="str">
        <f t="shared" si="72"/>
        <v>人力费用</v>
      </c>
      <c r="AW703" s="4" t="str">
        <f>IFERROR(VLOOKUP(AV703,[1]字段!A:B,2,0),"")</f>
        <v>人力费用</v>
      </c>
      <c r="AX703" s="30" t="str">
        <f>IF(AW703="人力费用",IF(E703="","",VLOOKUP(E703,[1]字段!D:E,2,0)),AW703)</f>
        <v>1.0倍人力</v>
      </c>
      <c r="AY703" s="30" t="str">
        <f>IF(AT703="","",VLOOKUP(AT703,[1]字段!H:I,2,0))</f>
        <v>1.0倍人力</v>
      </c>
      <c r="AZ703" s="31">
        <f t="shared" si="76"/>
        <v>0</v>
      </c>
      <c r="BA703" s="31">
        <f t="shared" si="73"/>
        <v>0</v>
      </c>
      <c r="BB703" s="31">
        <f t="shared" si="74"/>
        <v>0</v>
      </c>
      <c r="BC703" s="31">
        <f t="shared" si="77"/>
        <v>0</v>
      </c>
    </row>
    <row r="704" spans="1:55" ht="28.5" customHeight="1">
      <c r="C704" s="33" t="s">
        <v>162</v>
      </c>
      <c r="D704" s="34" t="s">
        <v>163</v>
      </c>
      <c r="E704" s="35"/>
      <c r="F704" s="36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  <c r="AA704" s="29"/>
      <c r="AB704" s="29"/>
      <c r="AC704" s="29"/>
      <c r="AD704" s="29"/>
      <c r="AE704" s="29"/>
      <c r="AJ704"/>
      <c r="AK704"/>
      <c r="AL704"/>
      <c r="AM704"/>
      <c r="AN704"/>
      <c r="AO704"/>
      <c r="AP704"/>
      <c r="AQ704"/>
      <c r="AR704"/>
      <c r="AS704"/>
      <c r="AT704" s="4" t="str">
        <f t="shared" si="75"/>
        <v>运营费用</v>
      </c>
      <c r="AU704" s="4" t="str">
        <f t="shared" si="71"/>
        <v>个金互联网产品部</v>
      </c>
      <c r="AV704" s="4" t="str">
        <f t="shared" si="72"/>
        <v>运营费用</v>
      </c>
      <c r="AW704" s="4" t="str">
        <f>IFERROR(VLOOKUP(AV704,[1]字段!A:B,2,0),"")</f>
        <v>运营费用</v>
      </c>
      <c r="AX704" s="30" t="str">
        <f>IF(AW704="人力费用",IF(E704="","",VLOOKUP(E704,[1]字段!D:E,2,0)),AW704)</f>
        <v>运营费用</v>
      </c>
      <c r="AY704" s="30">
        <f>IF(AT704="","",VLOOKUP(AT704,[1]字段!H:I,2,0))</f>
        <v>0</v>
      </c>
      <c r="AZ704" s="31">
        <f t="shared" si="76"/>
        <v>0</v>
      </c>
      <c r="BA704" s="31">
        <f t="shared" si="73"/>
        <v>0</v>
      </c>
      <c r="BB704" s="31">
        <f t="shared" si="74"/>
        <v>0</v>
      </c>
      <c r="BC704" s="31">
        <f t="shared" si="77"/>
        <v>0</v>
      </c>
    </row>
    <row r="705" spans="1:55" ht="28.5" customHeight="1">
      <c r="A705" s="32"/>
      <c r="B705" s="32"/>
      <c r="C705" s="43"/>
      <c r="D705" s="43"/>
      <c r="E705" s="39" t="s">
        <v>83</v>
      </c>
      <c r="F705" s="39" t="s">
        <v>84</v>
      </c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  <c r="AA705" s="29"/>
      <c r="AB705" s="29"/>
      <c r="AC705" s="29"/>
      <c r="AD705" s="29"/>
      <c r="AE705" s="29"/>
      <c r="AJ705"/>
      <c r="AK705"/>
      <c r="AL705"/>
      <c r="AM705"/>
      <c r="AN705"/>
      <c r="AO705"/>
      <c r="AP705"/>
      <c r="AQ705"/>
      <c r="AR705"/>
      <c r="AS705"/>
      <c r="AT705" s="4" t="str">
        <f t="shared" si="75"/>
        <v>运营费用其他外包服务费</v>
      </c>
      <c r="AU705" s="4" t="str">
        <f t="shared" si="71"/>
        <v>个金互联网产品部</v>
      </c>
      <c r="AV705" s="4" t="str">
        <f t="shared" si="72"/>
        <v>运营费用</v>
      </c>
      <c r="AW705" s="4" t="str">
        <f>IFERROR(VLOOKUP(AV705,[1]字段!A:B,2,0),"")</f>
        <v>运营费用</v>
      </c>
      <c r="AX705" s="30" t="str">
        <f>IF(AW705="人力费用",IF(E705="","",VLOOKUP(E705,[1]字段!D:E,2,0)),AW705)</f>
        <v>运营费用</v>
      </c>
      <c r="AY705" s="30" t="str">
        <f>IF(AT705="","",VLOOKUP(AT705,[1]字段!H:I,2,0))</f>
        <v>运营费用-外包服务费</v>
      </c>
      <c r="AZ705" s="31">
        <f t="shared" si="76"/>
        <v>0</v>
      </c>
      <c r="BA705" s="31">
        <f t="shared" si="73"/>
        <v>0</v>
      </c>
      <c r="BB705" s="31">
        <f t="shared" si="74"/>
        <v>0</v>
      </c>
      <c r="BC705" s="31">
        <f t="shared" si="77"/>
        <v>0</v>
      </c>
    </row>
    <row r="706" spans="1:55" ht="28.5" customHeight="1">
      <c r="C706" s="33" t="s">
        <v>65</v>
      </c>
      <c r="D706" s="34" t="s">
        <v>66</v>
      </c>
      <c r="E706" s="35"/>
      <c r="F706" s="36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  <c r="AA706" s="29"/>
      <c r="AB706" s="29"/>
      <c r="AC706" s="29"/>
      <c r="AD706" s="29"/>
      <c r="AE706" s="29"/>
      <c r="AJ706"/>
      <c r="AK706"/>
      <c r="AL706"/>
      <c r="AM706"/>
      <c r="AN706"/>
      <c r="AO706"/>
      <c r="AP706"/>
      <c r="AQ706"/>
      <c r="AR706"/>
      <c r="AS706"/>
      <c r="AT706" s="4" t="str">
        <f t="shared" si="75"/>
        <v>IT费用</v>
      </c>
      <c r="AU706" s="4" t="str">
        <f t="shared" si="71"/>
        <v>个金互联网产品部</v>
      </c>
      <c r="AV706" s="4" t="str">
        <f t="shared" si="72"/>
        <v>IT科技费用</v>
      </c>
      <c r="AW706" s="4" t="str">
        <f>IFERROR(VLOOKUP(AV706,[1]字段!A:B,2,0),"")</f>
        <v>IT费用</v>
      </c>
      <c r="AX706" s="30" t="str">
        <f>IF(AW706="人力费用",IF(E706="","",VLOOKUP(E706,[1]字段!D:E,2,0)),AW706)</f>
        <v>IT费用</v>
      </c>
      <c r="AY706" s="30">
        <f>IF(AT706="","",VLOOKUP(AT706,[1]字段!H:I,2,0))</f>
        <v>0</v>
      </c>
      <c r="AZ706" s="31">
        <f t="shared" si="76"/>
        <v>0</v>
      </c>
      <c r="BA706" s="31">
        <f t="shared" si="73"/>
        <v>0</v>
      </c>
      <c r="BB706" s="31">
        <f t="shared" si="74"/>
        <v>0</v>
      </c>
      <c r="BC706" s="31">
        <f t="shared" si="77"/>
        <v>0</v>
      </c>
    </row>
    <row r="707" spans="1:55" ht="28.5" customHeight="1">
      <c r="A707" s="32"/>
      <c r="B707" s="32"/>
      <c r="C707" s="37"/>
      <c r="D707" s="38"/>
      <c r="E707" s="39" t="s">
        <v>69</v>
      </c>
      <c r="F707" s="39" t="s">
        <v>70</v>
      </c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  <c r="AA707" s="29"/>
      <c r="AB707" s="29"/>
      <c r="AC707" s="29"/>
      <c r="AD707" s="29"/>
      <c r="AE707" s="29"/>
      <c r="AJ707"/>
      <c r="AK707"/>
      <c r="AL707"/>
      <c r="AM707"/>
      <c r="AN707"/>
      <c r="AO707"/>
      <c r="AP707"/>
      <c r="AQ707"/>
      <c r="AR707"/>
      <c r="AS707"/>
      <c r="AT707" s="4" t="str">
        <f t="shared" si="75"/>
        <v>IT费用移动终端折旧费</v>
      </c>
      <c r="AU707" s="4" t="str">
        <f t="shared" si="71"/>
        <v>个金互联网产品部</v>
      </c>
      <c r="AV707" s="4" t="str">
        <f t="shared" si="72"/>
        <v>IT科技费用</v>
      </c>
      <c r="AW707" s="4" t="str">
        <f>IFERROR(VLOOKUP(AV707,[1]字段!A:B,2,0),"")</f>
        <v>IT费用</v>
      </c>
      <c r="AX707" s="30" t="str">
        <f>IF(AW707="人力费用",IF(E707="","",VLOOKUP(E707,[1]字段!D:E,2,0)),AW707)</f>
        <v>IT费用</v>
      </c>
      <c r="AY707" s="30" t="str">
        <f>IF(AT707="","",VLOOKUP(AT707,[1]字段!H:I,2,0))</f>
        <v>IT费用</v>
      </c>
      <c r="AZ707" s="31">
        <f t="shared" si="76"/>
        <v>0</v>
      </c>
      <c r="BA707" s="31">
        <f t="shared" si="73"/>
        <v>0</v>
      </c>
      <c r="BB707" s="31">
        <f t="shared" si="74"/>
        <v>0</v>
      </c>
      <c r="BC707" s="31">
        <f t="shared" si="77"/>
        <v>0</v>
      </c>
    </row>
    <row r="708" spans="1:55" ht="28.5" customHeight="1">
      <c r="A708" s="32"/>
      <c r="B708" s="32"/>
      <c r="C708" s="41"/>
      <c r="D708" s="42"/>
      <c r="E708" s="39" t="s">
        <v>71</v>
      </c>
      <c r="F708" s="39" t="s">
        <v>72</v>
      </c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  <c r="AA708" s="29"/>
      <c r="AB708" s="29"/>
      <c r="AC708" s="29"/>
      <c r="AD708" s="29"/>
      <c r="AE708" s="29"/>
      <c r="AJ708"/>
      <c r="AK708"/>
      <c r="AL708"/>
      <c r="AM708"/>
      <c r="AN708"/>
      <c r="AO708"/>
      <c r="AP708"/>
      <c r="AQ708"/>
      <c r="AR708"/>
      <c r="AS708"/>
      <c r="AT708" s="4" t="str">
        <f t="shared" si="75"/>
        <v>IT费用办公IT设备折旧费</v>
      </c>
      <c r="AU708" s="4" t="str">
        <f t="shared" si="71"/>
        <v>个金互联网产品部</v>
      </c>
      <c r="AV708" s="4" t="str">
        <f t="shared" si="72"/>
        <v>IT科技费用</v>
      </c>
      <c r="AW708" s="4" t="str">
        <f>IFERROR(VLOOKUP(AV708,[1]字段!A:B,2,0),"")</f>
        <v>IT费用</v>
      </c>
      <c r="AX708" s="30" t="str">
        <f>IF(AW708="人力费用",IF(E708="","",VLOOKUP(E708,[1]字段!D:E,2,0)),AW708)</f>
        <v>IT费用</v>
      </c>
      <c r="AY708" s="30" t="str">
        <f>IF(AT708="","",VLOOKUP(AT708,[1]字段!H:I,2,0))</f>
        <v>IT费用</v>
      </c>
      <c r="AZ708" s="31">
        <f t="shared" si="76"/>
        <v>0</v>
      </c>
      <c r="BA708" s="31">
        <f t="shared" si="73"/>
        <v>0</v>
      </c>
      <c r="BB708" s="31">
        <f t="shared" si="74"/>
        <v>0</v>
      </c>
      <c r="BC708" s="31">
        <f t="shared" si="77"/>
        <v>0</v>
      </c>
    </row>
    <row r="709" spans="1:55" ht="28.5" customHeight="1">
      <c r="C709" s="33" t="s">
        <v>93</v>
      </c>
      <c r="D709" s="34" t="s">
        <v>94</v>
      </c>
      <c r="E709" s="35"/>
      <c r="F709" s="36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  <c r="AA709" s="29"/>
      <c r="AB709" s="29"/>
      <c r="AC709" s="29"/>
      <c r="AD709" s="29"/>
      <c r="AE709" s="29"/>
      <c r="AJ709"/>
      <c r="AK709"/>
      <c r="AL709"/>
      <c r="AM709"/>
      <c r="AN709"/>
      <c r="AO709"/>
      <c r="AP709"/>
      <c r="AQ709"/>
      <c r="AR709"/>
      <c r="AS709"/>
      <c r="AT709" s="4" t="str">
        <f t="shared" si="75"/>
        <v>日常费用</v>
      </c>
      <c r="AU709" s="4" t="str">
        <f t="shared" ref="AU709:AU772" si="78">IF(B709="",AU708,B709)</f>
        <v>个金互联网产品部</v>
      </c>
      <c r="AV709" s="4" t="str">
        <f t="shared" ref="AV709:AV772" si="79">IF(B709&lt;&gt;"","",IF(D709="",AV708,D709))</f>
        <v>日常费用</v>
      </c>
      <c r="AW709" s="4" t="str">
        <f>IFERROR(VLOOKUP(AV709,[1]字段!A:B,2,0),"")</f>
        <v>日常费用</v>
      </c>
      <c r="AX709" s="30" t="str">
        <f>IF(AW709="人力费用",IF(E709="","",VLOOKUP(E709,[1]字段!D:E,2,0)),AW709)</f>
        <v>日常费用</v>
      </c>
      <c r="AY709" s="30">
        <f>IF(AT709="","",VLOOKUP(AT709,[1]字段!H:I,2,0))</f>
        <v>0</v>
      </c>
      <c r="AZ709" s="31">
        <f t="shared" si="76"/>
        <v>0</v>
      </c>
      <c r="BA709" s="31">
        <f t="shared" ref="BA709:BA772" si="80">IF($E709="",0,SUMIF($G$1:$AE$1,BA$4,$G709:$AE709))</f>
        <v>0</v>
      </c>
      <c r="BB709" s="31">
        <f t="shared" ref="BB709:BB772" si="81">AZ709+BA709</f>
        <v>0</v>
      </c>
      <c r="BC709" s="31">
        <f t="shared" si="77"/>
        <v>0</v>
      </c>
    </row>
    <row r="710" spans="1:55" ht="28.5" customHeight="1">
      <c r="A710" s="32"/>
      <c r="B710" s="32"/>
      <c r="C710" s="37"/>
      <c r="D710" s="38"/>
      <c r="E710" s="39" t="s">
        <v>95</v>
      </c>
      <c r="F710" s="39" t="s">
        <v>96</v>
      </c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  <c r="AA710" s="29"/>
      <c r="AB710" s="29"/>
      <c r="AC710" s="29"/>
      <c r="AD710" s="29"/>
      <c r="AE710" s="29"/>
      <c r="AJ710"/>
      <c r="AK710"/>
      <c r="AL710"/>
      <c r="AM710"/>
      <c r="AN710"/>
      <c r="AO710"/>
      <c r="AP710"/>
      <c r="AQ710"/>
      <c r="AR710"/>
      <c r="AS710"/>
      <c r="AT710" s="4" t="str">
        <f t="shared" ref="AT710:AT773" si="82">AX710&amp;F710</f>
        <v>日常费用业务招待费</v>
      </c>
      <c r="AU710" s="4" t="str">
        <f t="shared" si="78"/>
        <v>个金互联网产品部</v>
      </c>
      <c r="AV710" s="4" t="str">
        <f t="shared" si="79"/>
        <v>日常费用</v>
      </c>
      <c r="AW710" s="4" t="str">
        <f>IFERROR(VLOOKUP(AV710,[1]字段!A:B,2,0),"")</f>
        <v>日常费用</v>
      </c>
      <c r="AX710" s="30" t="str">
        <f>IF(AW710="人力费用",IF(E710="","",VLOOKUP(E710,[1]字段!D:E,2,0)),AW710)</f>
        <v>日常费用</v>
      </c>
      <c r="AY710" s="30" t="str">
        <f>IF(AT710="","",VLOOKUP(AT710,[1]字段!H:I,2,0))</f>
        <v>日常费用-其他</v>
      </c>
      <c r="AZ710" s="31">
        <f t="shared" ref="AZ710:AZ773" si="83">IF($E710="",0,SUMIF($G$1:$AB$1,AZ$4,$G710:$AB710))</f>
        <v>0</v>
      </c>
      <c r="BA710" s="31">
        <f t="shared" si="80"/>
        <v>0</v>
      </c>
      <c r="BB710" s="31">
        <f t="shared" si="81"/>
        <v>0</v>
      </c>
      <c r="BC710" s="31">
        <f t="shared" ref="BC710:BC773" si="84">IF(E710="",0,SUM(G710:AE710)-AZ710-BA710)</f>
        <v>0</v>
      </c>
    </row>
    <row r="711" spans="1:55" ht="28.5" customHeight="1">
      <c r="A711" s="41"/>
      <c r="B711" s="41"/>
      <c r="C711" s="41"/>
      <c r="D711" s="42"/>
      <c r="E711" s="39" t="s">
        <v>104</v>
      </c>
      <c r="F711" s="39" t="s">
        <v>105</v>
      </c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  <c r="AA711" s="29"/>
      <c r="AB711" s="29"/>
      <c r="AC711" s="29"/>
      <c r="AD711" s="29"/>
      <c r="AE711" s="29"/>
      <c r="AJ711"/>
      <c r="AK711"/>
      <c r="AL711"/>
      <c r="AM711"/>
      <c r="AN711"/>
      <c r="AO711"/>
      <c r="AP711"/>
      <c r="AQ711"/>
      <c r="AR711"/>
      <c r="AS711"/>
      <c r="AT711" s="4" t="str">
        <f t="shared" si="82"/>
        <v>日常费用会议费</v>
      </c>
      <c r="AU711" s="4" t="str">
        <f t="shared" si="78"/>
        <v>个金互联网产品部</v>
      </c>
      <c r="AV711" s="4" t="str">
        <f t="shared" si="79"/>
        <v>日常费用</v>
      </c>
      <c r="AW711" s="4" t="str">
        <f>IFERROR(VLOOKUP(AV711,[1]字段!A:B,2,0),"")</f>
        <v>日常费用</v>
      </c>
      <c r="AX711" s="30" t="str">
        <f>IF(AW711="人力费用",IF(E711="","",VLOOKUP(E711,[1]字段!D:E,2,0)),AW711)</f>
        <v>日常费用</v>
      </c>
      <c r="AY711" s="30" t="str">
        <f>IF(AT711="","",VLOOKUP(AT711,[1]字段!H:I,2,0))</f>
        <v>日常费用-其他</v>
      </c>
      <c r="AZ711" s="31">
        <f t="shared" si="83"/>
        <v>0</v>
      </c>
      <c r="BA711" s="31">
        <f t="shared" si="80"/>
        <v>0</v>
      </c>
      <c r="BB711" s="31">
        <f t="shared" si="81"/>
        <v>0</v>
      </c>
      <c r="BC711" s="31">
        <f t="shared" si="84"/>
        <v>0</v>
      </c>
    </row>
    <row r="712" spans="1:55" ht="28.5" customHeight="1">
      <c r="A712" s="25"/>
      <c r="B712" s="26" t="s">
        <v>194</v>
      </c>
      <c r="C712" s="27"/>
      <c r="D712" s="27"/>
      <c r="E712" s="27"/>
      <c r="F712" s="28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  <c r="AA712" s="29"/>
      <c r="AB712" s="29"/>
      <c r="AC712" s="29"/>
      <c r="AD712" s="29"/>
      <c r="AE712" s="29"/>
      <c r="AJ712"/>
      <c r="AK712"/>
      <c r="AL712"/>
      <c r="AM712"/>
      <c r="AN712"/>
      <c r="AO712"/>
      <c r="AP712"/>
      <c r="AQ712"/>
      <c r="AR712"/>
      <c r="AS712"/>
      <c r="AT712" s="4" t="str">
        <f t="shared" si="82"/>
        <v/>
      </c>
      <c r="AU712" s="4" t="str">
        <f t="shared" si="78"/>
        <v>个金存款部</v>
      </c>
      <c r="AV712" s="4" t="str">
        <f t="shared" si="79"/>
        <v/>
      </c>
      <c r="AW712" s="4" t="str">
        <f>IFERROR(VLOOKUP(AV712,[1]字段!A:B,2,0),"")</f>
        <v/>
      </c>
      <c r="AX712" s="30" t="str">
        <f>IF(AW712="人力费用",IF(E712="","",VLOOKUP(E712,[1]字段!D:E,2,0)),AW712)</f>
        <v/>
      </c>
      <c r="AY712" s="30" t="str">
        <f>IF(AT712="","",VLOOKUP(AT712,[1]字段!H:I,2,0))</f>
        <v/>
      </c>
      <c r="AZ712" s="31">
        <f t="shared" si="83"/>
        <v>0</v>
      </c>
      <c r="BA712" s="31">
        <f t="shared" si="80"/>
        <v>0</v>
      </c>
      <c r="BB712" s="31">
        <f t="shared" si="81"/>
        <v>0</v>
      </c>
      <c r="BC712" s="31">
        <f t="shared" si="84"/>
        <v>0</v>
      </c>
    </row>
    <row r="713" spans="1:55" ht="28.5" customHeight="1">
      <c r="A713" s="32"/>
      <c r="B713" s="32"/>
      <c r="C713" s="33" t="s">
        <v>39</v>
      </c>
      <c r="D713" s="34" t="s">
        <v>40</v>
      </c>
      <c r="E713" s="35"/>
      <c r="F713" s="36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  <c r="AA713" s="29"/>
      <c r="AB713" s="29"/>
      <c r="AC713" s="29"/>
      <c r="AD713" s="29"/>
      <c r="AE713" s="29"/>
      <c r="AJ713"/>
      <c r="AK713"/>
      <c r="AL713"/>
      <c r="AM713"/>
      <c r="AN713"/>
      <c r="AO713"/>
      <c r="AP713"/>
      <c r="AQ713"/>
      <c r="AR713"/>
      <c r="AS713"/>
      <c r="AT713" s="4" t="str">
        <f t="shared" si="82"/>
        <v/>
      </c>
      <c r="AU713" s="4" t="str">
        <f t="shared" si="78"/>
        <v>个金存款部</v>
      </c>
      <c r="AV713" s="4" t="str">
        <f t="shared" si="79"/>
        <v>人力费用</v>
      </c>
      <c r="AW713" s="4" t="str">
        <f>IFERROR(VLOOKUP(AV713,[1]字段!A:B,2,0),"")</f>
        <v>人力费用</v>
      </c>
      <c r="AX713" s="30" t="str">
        <f>IF(AW713="人力费用",IF(E713="","",VLOOKUP(E713,[1]字段!D:E,2,0)),AW713)</f>
        <v/>
      </c>
      <c r="AY713" s="30" t="str">
        <f>IF(AT713="","",VLOOKUP(AT713,[1]字段!H:I,2,0))</f>
        <v/>
      </c>
      <c r="AZ713" s="31">
        <f t="shared" si="83"/>
        <v>0</v>
      </c>
      <c r="BA713" s="31">
        <f t="shared" si="80"/>
        <v>0</v>
      </c>
      <c r="BB713" s="31">
        <f t="shared" si="81"/>
        <v>0</v>
      </c>
      <c r="BC713" s="31">
        <f t="shared" si="84"/>
        <v>0</v>
      </c>
    </row>
    <row r="714" spans="1:55" ht="28.5" customHeight="1">
      <c r="A714" s="32"/>
      <c r="B714" s="32"/>
      <c r="C714" s="37"/>
      <c r="D714" s="38"/>
      <c r="E714" s="39" t="s">
        <v>41</v>
      </c>
      <c r="F714" s="39" t="s">
        <v>42</v>
      </c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  <c r="AA714" s="29"/>
      <c r="AB714" s="29"/>
      <c r="AC714" s="29"/>
      <c r="AD714" s="29"/>
      <c r="AE714" s="29"/>
      <c r="AJ714"/>
      <c r="AK714"/>
      <c r="AL714"/>
      <c r="AM714"/>
      <c r="AN714"/>
      <c r="AO714"/>
      <c r="AP714"/>
      <c r="AQ714"/>
      <c r="AR714"/>
      <c r="AS714"/>
      <c r="AT714" s="4" t="str">
        <f t="shared" si="82"/>
        <v>1.0倍人力基础工资</v>
      </c>
      <c r="AU714" s="4" t="str">
        <f t="shared" si="78"/>
        <v>个金存款部</v>
      </c>
      <c r="AV714" s="4" t="str">
        <f t="shared" si="79"/>
        <v>人力费用</v>
      </c>
      <c r="AW714" s="4" t="str">
        <f>IFERROR(VLOOKUP(AV714,[1]字段!A:B,2,0),"")</f>
        <v>人力费用</v>
      </c>
      <c r="AX714" s="30" t="str">
        <f>IF(AW714="人力费用",IF(E714="","",VLOOKUP(E714,[1]字段!D:E,2,0)),AW714)</f>
        <v>1.0倍人力</v>
      </c>
      <c r="AY714" s="30" t="str">
        <f>IF(AT714="","",VLOOKUP(AT714,[1]字段!H:I,2,0))</f>
        <v>1.0倍人力</v>
      </c>
      <c r="AZ714" s="31">
        <f t="shared" si="83"/>
        <v>0</v>
      </c>
      <c r="BA714" s="31">
        <f t="shared" si="80"/>
        <v>0</v>
      </c>
      <c r="BB714" s="31">
        <f t="shared" si="81"/>
        <v>0</v>
      </c>
      <c r="BC714" s="31">
        <f t="shared" si="84"/>
        <v>0</v>
      </c>
    </row>
    <row r="715" spans="1:55" ht="28.5" customHeight="1">
      <c r="A715" s="32"/>
      <c r="B715" s="32"/>
      <c r="C715" s="32"/>
      <c r="D715" s="40"/>
      <c r="E715" s="39">
        <v>5501010602</v>
      </c>
      <c r="F715" s="3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  <c r="AA715" s="29"/>
      <c r="AB715" s="29"/>
      <c r="AC715" s="29"/>
      <c r="AD715" s="29"/>
      <c r="AE715" s="29"/>
      <c r="AJ715"/>
      <c r="AK715"/>
      <c r="AL715"/>
      <c r="AM715"/>
      <c r="AN715"/>
      <c r="AO715"/>
      <c r="AP715"/>
      <c r="AQ715"/>
      <c r="AR715"/>
      <c r="AS715"/>
      <c r="AT715" s="4" t="str">
        <f t="shared" si="82"/>
        <v>利润分享</v>
      </c>
      <c r="AU715" s="4" t="str">
        <f t="shared" si="78"/>
        <v>个金存款部</v>
      </c>
      <c r="AV715" s="4" t="str">
        <f t="shared" si="79"/>
        <v>人力费用</v>
      </c>
      <c r="AW715" s="4" t="str">
        <f>IFERROR(VLOOKUP(AV715,[1]字段!A:B,2,0),"")</f>
        <v>人力费用</v>
      </c>
      <c r="AX715" s="30" t="str">
        <f>IF(AW715="人力费用",IF(E715="","",VLOOKUP(E715,[1]字段!D:E,2,0)),AW715)</f>
        <v>利润分享</v>
      </c>
      <c r="AY715" s="30" t="str">
        <f>IF(AT715="","",VLOOKUP(AT715,[1]字段!H:I,2,0))</f>
        <v>利润分享</v>
      </c>
      <c r="AZ715" s="31">
        <f t="shared" si="83"/>
        <v>0</v>
      </c>
      <c r="BA715" s="31">
        <f t="shared" si="80"/>
        <v>0</v>
      </c>
      <c r="BB715" s="31">
        <f t="shared" si="81"/>
        <v>0</v>
      </c>
      <c r="BC715" s="31">
        <f t="shared" si="84"/>
        <v>0</v>
      </c>
    </row>
    <row r="716" spans="1:55" ht="28.5" customHeight="1">
      <c r="A716" s="32"/>
      <c r="B716" s="32"/>
      <c r="C716" s="32"/>
      <c r="D716" s="40"/>
      <c r="E716" s="39">
        <v>5501010603</v>
      </c>
      <c r="F716" s="3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  <c r="AA716" s="29"/>
      <c r="AB716" s="29"/>
      <c r="AC716" s="29"/>
      <c r="AD716" s="29"/>
      <c r="AE716" s="29"/>
      <c r="AJ716"/>
      <c r="AK716"/>
      <c r="AL716"/>
      <c r="AM716"/>
      <c r="AN716"/>
      <c r="AO716"/>
      <c r="AP716"/>
      <c r="AQ716"/>
      <c r="AR716"/>
      <c r="AS716"/>
      <c r="AT716" s="4" t="str">
        <f t="shared" si="82"/>
        <v>留任奖励</v>
      </c>
      <c r="AU716" s="4" t="str">
        <f t="shared" si="78"/>
        <v>个金存款部</v>
      </c>
      <c r="AV716" s="4" t="str">
        <f t="shared" si="79"/>
        <v>人力费用</v>
      </c>
      <c r="AW716" s="4" t="str">
        <f>IFERROR(VLOOKUP(AV716,[1]字段!A:B,2,0),"")</f>
        <v>人力费用</v>
      </c>
      <c r="AX716" s="30" t="str">
        <f>IF(AW716="人力费用",IF(E716="","",VLOOKUP(E716,[1]字段!D:E,2,0)),AW716)</f>
        <v>留任奖励</v>
      </c>
      <c r="AY716" s="30" t="str">
        <f>IF(AT716="","",VLOOKUP(AT716,[1]字段!H:I,2,0))</f>
        <v>留任奖励</v>
      </c>
      <c r="AZ716" s="31">
        <f t="shared" si="83"/>
        <v>0</v>
      </c>
      <c r="BA716" s="31">
        <f t="shared" si="80"/>
        <v>0</v>
      </c>
      <c r="BB716" s="31">
        <f t="shared" si="81"/>
        <v>0</v>
      </c>
      <c r="BC716" s="31">
        <f t="shared" si="84"/>
        <v>0</v>
      </c>
    </row>
    <row r="717" spans="1:55" ht="28.5" customHeight="1">
      <c r="A717" s="32"/>
      <c r="B717" s="32"/>
      <c r="C717" s="32"/>
      <c r="D717" s="40"/>
      <c r="E717" s="39">
        <v>5501010604</v>
      </c>
      <c r="F717" s="3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  <c r="AA717" s="29"/>
      <c r="AB717" s="29"/>
      <c r="AC717" s="29"/>
      <c r="AD717" s="29"/>
      <c r="AE717" s="29"/>
      <c r="AJ717"/>
      <c r="AK717"/>
      <c r="AL717"/>
      <c r="AM717"/>
      <c r="AN717"/>
      <c r="AO717"/>
      <c r="AP717"/>
      <c r="AQ717"/>
      <c r="AR717"/>
      <c r="AS717"/>
      <c r="AT717" s="4" t="str">
        <f t="shared" si="82"/>
        <v>1.0倍人力</v>
      </c>
      <c r="AU717" s="4" t="str">
        <f t="shared" si="78"/>
        <v>个金存款部</v>
      </c>
      <c r="AV717" s="4" t="str">
        <f t="shared" si="79"/>
        <v>人力费用</v>
      </c>
      <c r="AW717" s="4" t="str">
        <f>IFERROR(VLOOKUP(AV717,[1]字段!A:B,2,0),"")</f>
        <v>人力费用</v>
      </c>
      <c r="AX717" s="30" t="str">
        <f>IF(AW717="人力费用",IF(E717="","",VLOOKUP(E717,[1]字段!D:E,2,0)),AW717)</f>
        <v>1.0倍人力</v>
      </c>
      <c r="AY717" s="30" t="str">
        <f>IF(AT717="","",VLOOKUP(AT717,[1]字段!H:I,2,0))</f>
        <v>1.0倍人力</v>
      </c>
      <c r="AZ717" s="31">
        <f t="shared" si="83"/>
        <v>0</v>
      </c>
      <c r="BA717" s="31">
        <f t="shared" si="80"/>
        <v>0</v>
      </c>
      <c r="BB717" s="31">
        <f t="shared" si="81"/>
        <v>0</v>
      </c>
      <c r="BC717" s="31">
        <f t="shared" si="84"/>
        <v>0</v>
      </c>
    </row>
    <row r="718" spans="1:55" ht="28.5" customHeight="1">
      <c r="A718" s="32"/>
      <c r="B718" s="32"/>
      <c r="C718" s="32"/>
      <c r="D718" s="40"/>
      <c r="E718" s="39" t="s">
        <v>43</v>
      </c>
      <c r="F718" s="39" t="s">
        <v>44</v>
      </c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  <c r="AA718" s="29"/>
      <c r="AB718" s="29"/>
      <c r="AC718" s="29"/>
      <c r="AD718" s="29"/>
      <c r="AE718" s="29"/>
      <c r="AJ718"/>
      <c r="AK718"/>
      <c r="AL718"/>
      <c r="AM718"/>
      <c r="AN718"/>
      <c r="AO718"/>
      <c r="AP718"/>
      <c r="AQ718"/>
      <c r="AR718"/>
      <c r="AS718"/>
      <c r="AT718" s="4" t="str">
        <f t="shared" si="82"/>
        <v>1.0倍人力团队建设费</v>
      </c>
      <c r="AU718" s="4" t="str">
        <f t="shared" si="78"/>
        <v>个金存款部</v>
      </c>
      <c r="AV718" s="4" t="str">
        <f t="shared" si="79"/>
        <v>人力费用</v>
      </c>
      <c r="AW718" s="4" t="str">
        <f>IFERROR(VLOOKUP(AV718,[1]字段!A:B,2,0),"")</f>
        <v>人力费用</v>
      </c>
      <c r="AX718" s="30" t="str">
        <f>IF(AW718="人力费用",IF(E718="","",VLOOKUP(E718,[1]字段!D:E,2,0)),AW718)</f>
        <v>1.0倍人力</v>
      </c>
      <c r="AY718" s="30" t="str">
        <f>IF(AT718="","",VLOOKUP(AT718,[1]字段!H:I,2,0))</f>
        <v>1.0倍人力</v>
      </c>
      <c r="AZ718" s="31">
        <f t="shared" si="83"/>
        <v>0</v>
      </c>
      <c r="BA718" s="31">
        <f t="shared" si="80"/>
        <v>0</v>
      </c>
      <c r="BB718" s="31">
        <f t="shared" si="81"/>
        <v>0</v>
      </c>
      <c r="BC718" s="31">
        <f t="shared" si="84"/>
        <v>0</v>
      </c>
    </row>
    <row r="719" spans="1:55" ht="28.5" customHeight="1">
      <c r="A719" s="32"/>
      <c r="B719" s="32"/>
      <c r="C719" s="32"/>
      <c r="D719" s="40"/>
      <c r="E719" s="39" t="s">
        <v>45</v>
      </c>
      <c r="F719" s="39" t="s">
        <v>46</v>
      </c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  <c r="AA719" s="29"/>
      <c r="AB719" s="29"/>
      <c r="AC719" s="29"/>
      <c r="AD719" s="29"/>
      <c r="AE719" s="29"/>
      <c r="AJ719"/>
      <c r="AK719"/>
      <c r="AL719"/>
      <c r="AM719"/>
      <c r="AN719"/>
      <c r="AO719"/>
      <c r="AP719"/>
      <c r="AQ719"/>
      <c r="AR719"/>
      <c r="AS719"/>
      <c r="AT719" s="4" t="str">
        <f t="shared" si="82"/>
        <v>1.0倍人力其他职工福利费</v>
      </c>
      <c r="AU719" s="4" t="str">
        <f t="shared" si="78"/>
        <v>个金存款部</v>
      </c>
      <c r="AV719" s="4" t="str">
        <f t="shared" si="79"/>
        <v>人力费用</v>
      </c>
      <c r="AW719" s="4" t="str">
        <f>IFERROR(VLOOKUP(AV719,[1]字段!A:B,2,0),"")</f>
        <v>人力费用</v>
      </c>
      <c r="AX719" s="30" t="str">
        <f>IF(AW719="人力费用",IF(E719="","",VLOOKUP(E719,[1]字段!D:E,2,0)),AW719)</f>
        <v>1.0倍人力</v>
      </c>
      <c r="AY719" s="30" t="str">
        <f>IF(AT719="","",VLOOKUP(AT719,[1]字段!H:I,2,0))</f>
        <v>1.0倍人力</v>
      </c>
      <c r="AZ719" s="31">
        <f t="shared" si="83"/>
        <v>0</v>
      </c>
      <c r="BA719" s="31">
        <f t="shared" si="80"/>
        <v>0</v>
      </c>
      <c r="BB719" s="31">
        <f t="shared" si="81"/>
        <v>0</v>
      </c>
      <c r="BC719" s="31">
        <f t="shared" si="84"/>
        <v>0</v>
      </c>
    </row>
    <row r="720" spans="1:55" ht="28.5" customHeight="1">
      <c r="A720" s="32"/>
      <c r="B720" s="32"/>
      <c r="C720" s="32"/>
      <c r="D720" s="40"/>
      <c r="E720" s="39" t="s">
        <v>47</v>
      </c>
      <c r="F720" s="39" t="s">
        <v>48</v>
      </c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  <c r="AA720" s="29"/>
      <c r="AB720" s="29"/>
      <c r="AC720" s="29"/>
      <c r="AD720" s="29"/>
      <c r="AE720" s="29"/>
      <c r="AJ720"/>
      <c r="AK720"/>
      <c r="AL720"/>
      <c r="AM720"/>
      <c r="AN720"/>
      <c r="AO720"/>
      <c r="AP720"/>
      <c r="AQ720"/>
      <c r="AR720"/>
      <c r="AS720"/>
      <c r="AT720" s="4" t="str">
        <f t="shared" si="82"/>
        <v>1.0倍人力工会经费</v>
      </c>
      <c r="AU720" s="4" t="str">
        <f t="shared" si="78"/>
        <v>个金存款部</v>
      </c>
      <c r="AV720" s="4" t="str">
        <f t="shared" si="79"/>
        <v>人力费用</v>
      </c>
      <c r="AW720" s="4" t="str">
        <f>IFERROR(VLOOKUP(AV720,[1]字段!A:B,2,0),"")</f>
        <v>人力费用</v>
      </c>
      <c r="AX720" s="30" t="str">
        <f>IF(AW720="人力费用",IF(E720="","",VLOOKUP(E720,[1]字段!D:E,2,0)),AW720)</f>
        <v>1.0倍人力</v>
      </c>
      <c r="AY720" s="30" t="str">
        <f>IF(AT720="","",VLOOKUP(AT720,[1]字段!H:I,2,0))</f>
        <v>1.0倍人力</v>
      </c>
      <c r="AZ720" s="31">
        <f t="shared" si="83"/>
        <v>0</v>
      </c>
      <c r="BA720" s="31">
        <f t="shared" si="80"/>
        <v>0</v>
      </c>
      <c r="BB720" s="31">
        <f t="shared" si="81"/>
        <v>0</v>
      </c>
      <c r="BC720" s="31">
        <f t="shared" si="84"/>
        <v>0</v>
      </c>
    </row>
    <row r="721" spans="1:55" ht="28.5" customHeight="1">
      <c r="A721" s="32"/>
      <c r="B721" s="32"/>
      <c r="C721" s="32"/>
      <c r="D721" s="40"/>
      <c r="E721" s="39" t="s">
        <v>49</v>
      </c>
      <c r="F721" s="39" t="s">
        <v>50</v>
      </c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  <c r="AA721" s="29"/>
      <c r="AB721" s="29"/>
      <c r="AC721" s="29"/>
      <c r="AD721" s="29"/>
      <c r="AE721" s="29"/>
      <c r="AJ721"/>
      <c r="AK721"/>
      <c r="AL721"/>
      <c r="AM721"/>
      <c r="AN721"/>
      <c r="AO721"/>
      <c r="AP721"/>
      <c r="AQ721"/>
      <c r="AR721"/>
      <c r="AS721"/>
      <c r="AT721" s="4" t="str">
        <f t="shared" si="82"/>
        <v>1.0倍人力基本养老保险</v>
      </c>
      <c r="AU721" s="4" t="str">
        <f t="shared" si="78"/>
        <v>个金存款部</v>
      </c>
      <c r="AV721" s="4" t="str">
        <f t="shared" si="79"/>
        <v>人力费用</v>
      </c>
      <c r="AW721" s="4" t="str">
        <f>IFERROR(VLOOKUP(AV721,[1]字段!A:B,2,0),"")</f>
        <v>人力费用</v>
      </c>
      <c r="AX721" s="30" t="str">
        <f>IF(AW721="人力费用",IF(E721="","",VLOOKUP(E721,[1]字段!D:E,2,0)),AW721)</f>
        <v>1.0倍人力</v>
      </c>
      <c r="AY721" s="30" t="str">
        <f>IF(AT721="","",VLOOKUP(AT721,[1]字段!H:I,2,0))</f>
        <v>1.0倍人力</v>
      </c>
      <c r="AZ721" s="31">
        <f t="shared" si="83"/>
        <v>0</v>
      </c>
      <c r="BA721" s="31">
        <f t="shared" si="80"/>
        <v>0</v>
      </c>
      <c r="BB721" s="31">
        <f t="shared" si="81"/>
        <v>0</v>
      </c>
      <c r="BC721" s="31">
        <f t="shared" si="84"/>
        <v>0</v>
      </c>
    </row>
    <row r="722" spans="1:55" ht="28.5" customHeight="1">
      <c r="A722" s="32"/>
      <c r="B722" s="32"/>
      <c r="C722" s="32"/>
      <c r="D722" s="40"/>
      <c r="E722" s="39" t="s">
        <v>51</v>
      </c>
      <c r="F722" s="39" t="s">
        <v>52</v>
      </c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  <c r="AA722" s="29"/>
      <c r="AB722" s="29"/>
      <c r="AC722" s="29"/>
      <c r="AD722" s="29"/>
      <c r="AE722" s="29"/>
      <c r="AJ722"/>
      <c r="AK722"/>
      <c r="AL722"/>
      <c r="AM722"/>
      <c r="AN722"/>
      <c r="AO722"/>
      <c r="AP722"/>
      <c r="AQ722"/>
      <c r="AR722"/>
      <c r="AS722"/>
      <c r="AT722" s="4" t="str">
        <f t="shared" si="82"/>
        <v>1.0倍人力基本医疗保险</v>
      </c>
      <c r="AU722" s="4" t="str">
        <f t="shared" si="78"/>
        <v>个金存款部</v>
      </c>
      <c r="AV722" s="4" t="str">
        <f t="shared" si="79"/>
        <v>人力费用</v>
      </c>
      <c r="AW722" s="4" t="str">
        <f>IFERROR(VLOOKUP(AV722,[1]字段!A:B,2,0),"")</f>
        <v>人力费用</v>
      </c>
      <c r="AX722" s="30" t="str">
        <f>IF(AW722="人力费用",IF(E722="","",VLOOKUP(E722,[1]字段!D:E,2,0)),AW722)</f>
        <v>1.0倍人力</v>
      </c>
      <c r="AY722" s="30" t="str">
        <f>IF(AT722="","",VLOOKUP(AT722,[1]字段!H:I,2,0))</f>
        <v>1.0倍人力</v>
      </c>
      <c r="AZ722" s="31">
        <f t="shared" si="83"/>
        <v>0</v>
      </c>
      <c r="BA722" s="31">
        <f t="shared" si="80"/>
        <v>0</v>
      </c>
      <c r="BB722" s="31">
        <f t="shared" si="81"/>
        <v>0</v>
      </c>
      <c r="BC722" s="31">
        <f t="shared" si="84"/>
        <v>0</v>
      </c>
    </row>
    <row r="723" spans="1:55" ht="28.5" customHeight="1">
      <c r="A723" s="32"/>
      <c r="B723" s="32"/>
      <c r="C723" s="32"/>
      <c r="D723" s="40"/>
      <c r="E723" s="39" t="s">
        <v>53</v>
      </c>
      <c r="F723" s="39" t="s">
        <v>54</v>
      </c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  <c r="AA723" s="29"/>
      <c r="AB723" s="29"/>
      <c r="AC723" s="29"/>
      <c r="AD723" s="29"/>
      <c r="AE723" s="29"/>
      <c r="AJ723"/>
      <c r="AK723"/>
      <c r="AL723"/>
      <c r="AM723"/>
      <c r="AN723"/>
      <c r="AO723"/>
      <c r="AP723"/>
      <c r="AQ723"/>
      <c r="AR723"/>
      <c r="AS723"/>
      <c r="AT723" s="4" t="str">
        <f t="shared" si="82"/>
        <v>1.0倍人力工伤保险</v>
      </c>
      <c r="AU723" s="4" t="str">
        <f t="shared" si="78"/>
        <v>个金存款部</v>
      </c>
      <c r="AV723" s="4" t="str">
        <f t="shared" si="79"/>
        <v>人力费用</v>
      </c>
      <c r="AW723" s="4" t="str">
        <f>IFERROR(VLOOKUP(AV723,[1]字段!A:B,2,0),"")</f>
        <v>人力费用</v>
      </c>
      <c r="AX723" s="30" t="str">
        <f>IF(AW723="人力费用",IF(E723="","",VLOOKUP(E723,[1]字段!D:E,2,0)),AW723)</f>
        <v>1.0倍人力</v>
      </c>
      <c r="AY723" s="30" t="str">
        <f>IF(AT723="","",VLOOKUP(AT723,[1]字段!H:I,2,0))</f>
        <v>1.0倍人力</v>
      </c>
      <c r="AZ723" s="31">
        <f t="shared" si="83"/>
        <v>0</v>
      </c>
      <c r="BA723" s="31">
        <f t="shared" si="80"/>
        <v>0</v>
      </c>
      <c r="BB723" s="31">
        <f t="shared" si="81"/>
        <v>0</v>
      </c>
      <c r="BC723" s="31">
        <f t="shared" si="84"/>
        <v>0</v>
      </c>
    </row>
    <row r="724" spans="1:55" ht="28.5" customHeight="1">
      <c r="A724" s="32"/>
      <c r="B724" s="32"/>
      <c r="C724" s="32"/>
      <c r="D724" s="40"/>
      <c r="E724" s="39" t="s">
        <v>55</v>
      </c>
      <c r="F724" s="39" t="s">
        <v>56</v>
      </c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  <c r="AA724" s="29"/>
      <c r="AB724" s="29"/>
      <c r="AC724" s="29"/>
      <c r="AD724" s="29"/>
      <c r="AE724" s="29"/>
      <c r="AJ724"/>
      <c r="AK724"/>
      <c r="AL724"/>
      <c r="AM724"/>
      <c r="AN724"/>
      <c r="AO724"/>
      <c r="AP724"/>
      <c r="AQ724"/>
      <c r="AR724"/>
      <c r="AS724"/>
      <c r="AT724" s="4" t="str">
        <f t="shared" si="82"/>
        <v>1.0倍人力生育保险</v>
      </c>
      <c r="AU724" s="4" t="str">
        <f t="shared" si="78"/>
        <v>个金存款部</v>
      </c>
      <c r="AV724" s="4" t="str">
        <f t="shared" si="79"/>
        <v>人力费用</v>
      </c>
      <c r="AW724" s="4" t="str">
        <f>IFERROR(VLOOKUP(AV724,[1]字段!A:B,2,0),"")</f>
        <v>人力费用</v>
      </c>
      <c r="AX724" s="30" t="str">
        <f>IF(AW724="人力费用",IF(E724="","",VLOOKUP(E724,[1]字段!D:E,2,0)),AW724)</f>
        <v>1.0倍人力</v>
      </c>
      <c r="AY724" s="30" t="str">
        <f>IF(AT724="","",VLOOKUP(AT724,[1]字段!H:I,2,0))</f>
        <v>1.0倍人力</v>
      </c>
      <c r="AZ724" s="31">
        <f t="shared" si="83"/>
        <v>0</v>
      </c>
      <c r="BA724" s="31">
        <f t="shared" si="80"/>
        <v>0</v>
      </c>
      <c r="BB724" s="31">
        <f t="shared" si="81"/>
        <v>0</v>
      </c>
      <c r="BC724" s="31">
        <f t="shared" si="84"/>
        <v>0</v>
      </c>
    </row>
    <row r="725" spans="1:55" ht="28.5" customHeight="1">
      <c r="A725" s="32"/>
      <c r="B725" s="32"/>
      <c r="C725" s="32"/>
      <c r="D725" s="40"/>
      <c r="E725" s="39" t="s">
        <v>57</v>
      </c>
      <c r="F725" s="39" t="s">
        <v>58</v>
      </c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  <c r="AA725" s="29"/>
      <c r="AB725" s="29"/>
      <c r="AC725" s="29"/>
      <c r="AD725" s="29"/>
      <c r="AE725" s="29"/>
      <c r="AJ725"/>
      <c r="AK725"/>
      <c r="AL725"/>
      <c r="AM725"/>
      <c r="AN725"/>
      <c r="AO725"/>
      <c r="AP725"/>
      <c r="AQ725"/>
      <c r="AR725"/>
      <c r="AS725"/>
      <c r="AT725" s="4" t="str">
        <f t="shared" si="82"/>
        <v>1.0倍人力失业保险</v>
      </c>
      <c r="AU725" s="4" t="str">
        <f t="shared" si="78"/>
        <v>个金存款部</v>
      </c>
      <c r="AV725" s="4" t="str">
        <f t="shared" si="79"/>
        <v>人力费用</v>
      </c>
      <c r="AW725" s="4" t="str">
        <f>IFERROR(VLOOKUP(AV725,[1]字段!A:B,2,0),"")</f>
        <v>人力费用</v>
      </c>
      <c r="AX725" s="30" t="str">
        <f>IF(AW725="人力费用",IF(E725="","",VLOOKUP(E725,[1]字段!D:E,2,0)),AW725)</f>
        <v>1.0倍人力</v>
      </c>
      <c r="AY725" s="30" t="str">
        <f>IF(AT725="","",VLOOKUP(AT725,[1]字段!H:I,2,0))</f>
        <v>1.0倍人力</v>
      </c>
      <c r="AZ725" s="31">
        <f t="shared" si="83"/>
        <v>0</v>
      </c>
      <c r="BA725" s="31">
        <f t="shared" si="80"/>
        <v>0</v>
      </c>
      <c r="BB725" s="31">
        <f t="shared" si="81"/>
        <v>0</v>
      </c>
      <c r="BC725" s="31">
        <f t="shared" si="84"/>
        <v>0</v>
      </c>
    </row>
    <row r="726" spans="1:55" ht="28.5" customHeight="1">
      <c r="A726" s="32"/>
      <c r="B726" s="32"/>
      <c r="C726" s="41"/>
      <c r="D726" s="42"/>
      <c r="E726" s="39" t="s">
        <v>59</v>
      </c>
      <c r="F726" s="39" t="s">
        <v>60</v>
      </c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  <c r="AA726" s="29"/>
      <c r="AB726" s="29"/>
      <c r="AC726" s="29"/>
      <c r="AD726" s="29"/>
      <c r="AE726" s="29"/>
      <c r="AJ726"/>
      <c r="AK726"/>
      <c r="AL726"/>
      <c r="AM726"/>
      <c r="AN726"/>
      <c r="AO726"/>
      <c r="AP726"/>
      <c r="AQ726"/>
      <c r="AR726"/>
      <c r="AS726"/>
      <c r="AT726" s="4" t="str">
        <f t="shared" si="82"/>
        <v>1.0倍人力住房公积金</v>
      </c>
      <c r="AU726" s="4" t="str">
        <f t="shared" si="78"/>
        <v>个金存款部</v>
      </c>
      <c r="AV726" s="4" t="str">
        <f t="shared" si="79"/>
        <v>人力费用</v>
      </c>
      <c r="AW726" s="4" t="str">
        <f>IFERROR(VLOOKUP(AV726,[1]字段!A:B,2,0),"")</f>
        <v>人力费用</v>
      </c>
      <c r="AX726" s="30" t="str">
        <f>IF(AW726="人力费用",IF(E726="","",VLOOKUP(E726,[1]字段!D:E,2,0)),AW726)</f>
        <v>1.0倍人力</v>
      </c>
      <c r="AY726" s="30" t="str">
        <f>IF(AT726="","",VLOOKUP(AT726,[1]字段!H:I,2,0))</f>
        <v>1.0倍人力</v>
      </c>
      <c r="AZ726" s="31">
        <f t="shared" si="83"/>
        <v>0</v>
      </c>
      <c r="BA726" s="31">
        <f t="shared" si="80"/>
        <v>0</v>
      </c>
      <c r="BB726" s="31">
        <f t="shared" si="81"/>
        <v>0</v>
      </c>
      <c r="BC726" s="31">
        <f t="shared" si="84"/>
        <v>0</v>
      </c>
    </row>
    <row r="727" spans="1:55" ht="28.5" customHeight="1">
      <c r="C727" s="33" t="s">
        <v>65</v>
      </c>
      <c r="D727" s="34" t="s">
        <v>66</v>
      </c>
      <c r="E727" s="35"/>
      <c r="F727" s="36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  <c r="AA727" s="29"/>
      <c r="AB727" s="29"/>
      <c r="AC727" s="29"/>
      <c r="AD727" s="29"/>
      <c r="AE727" s="29"/>
      <c r="AJ727"/>
      <c r="AK727"/>
      <c r="AL727"/>
      <c r="AM727"/>
      <c r="AN727"/>
      <c r="AO727"/>
      <c r="AP727"/>
      <c r="AQ727"/>
      <c r="AR727"/>
      <c r="AS727"/>
      <c r="AT727" s="4" t="str">
        <f t="shared" si="82"/>
        <v>IT费用</v>
      </c>
      <c r="AU727" s="4" t="str">
        <f t="shared" si="78"/>
        <v>个金存款部</v>
      </c>
      <c r="AV727" s="4" t="str">
        <f t="shared" si="79"/>
        <v>IT科技费用</v>
      </c>
      <c r="AW727" s="4" t="str">
        <f>IFERROR(VLOOKUP(AV727,[1]字段!A:B,2,0),"")</f>
        <v>IT费用</v>
      </c>
      <c r="AX727" s="30" t="str">
        <f>IF(AW727="人力费用",IF(E727="","",VLOOKUP(E727,[1]字段!D:E,2,0)),AW727)</f>
        <v>IT费用</v>
      </c>
      <c r="AY727" s="30">
        <f>IF(AT727="","",VLOOKUP(AT727,[1]字段!H:I,2,0))</f>
        <v>0</v>
      </c>
      <c r="AZ727" s="31">
        <f t="shared" si="83"/>
        <v>0</v>
      </c>
      <c r="BA727" s="31">
        <f t="shared" si="80"/>
        <v>0</v>
      </c>
      <c r="BB727" s="31">
        <f t="shared" si="81"/>
        <v>0</v>
      </c>
      <c r="BC727" s="31">
        <f t="shared" si="84"/>
        <v>0</v>
      </c>
    </row>
    <row r="728" spans="1:55" ht="28.5" customHeight="1">
      <c r="A728" s="32"/>
      <c r="B728" s="32"/>
      <c r="C728" s="37"/>
      <c r="D728" s="38"/>
      <c r="E728" s="39" t="s">
        <v>71</v>
      </c>
      <c r="F728" s="39" t="s">
        <v>72</v>
      </c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  <c r="AA728" s="29"/>
      <c r="AB728" s="29"/>
      <c r="AC728" s="29"/>
      <c r="AD728" s="29"/>
      <c r="AE728" s="29"/>
      <c r="AJ728"/>
      <c r="AK728"/>
      <c r="AL728"/>
      <c r="AM728"/>
      <c r="AN728"/>
      <c r="AO728"/>
      <c r="AP728"/>
      <c r="AQ728"/>
      <c r="AR728"/>
      <c r="AS728"/>
      <c r="AT728" s="4" t="str">
        <f t="shared" si="82"/>
        <v>IT费用办公IT设备折旧费</v>
      </c>
      <c r="AU728" s="4" t="str">
        <f t="shared" si="78"/>
        <v>个金存款部</v>
      </c>
      <c r="AV728" s="4" t="str">
        <f t="shared" si="79"/>
        <v>IT科技费用</v>
      </c>
      <c r="AW728" s="4" t="str">
        <f>IFERROR(VLOOKUP(AV728,[1]字段!A:B,2,0),"")</f>
        <v>IT费用</v>
      </c>
      <c r="AX728" s="30" t="str">
        <f>IF(AW728="人力费用",IF(E728="","",VLOOKUP(E728,[1]字段!D:E,2,0)),AW728)</f>
        <v>IT费用</v>
      </c>
      <c r="AY728" s="30" t="str">
        <f>IF(AT728="","",VLOOKUP(AT728,[1]字段!H:I,2,0))</f>
        <v>IT费用</v>
      </c>
      <c r="AZ728" s="31">
        <f t="shared" si="83"/>
        <v>0</v>
      </c>
      <c r="BA728" s="31">
        <f t="shared" si="80"/>
        <v>0</v>
      </c>
      <c r="BB728" s="31">
        <f t="shared" si="81"/>
        <v>0</v>
      </c>
      <c r="BC728" s="31">
        <f t="shared" si="84"/>
        <v>0</v>
      </c>
    </row>
    <row r="729" spans="1:55" ht="28.5" customHeight="1">
      <c r="A729" s="32"/>
      <c r="B729" s="32"/>
      <c r="C729" s="41"/>
      <c r="D729" s="42"/>
      <c r="E729" s="39" t="s">
        <v>81</v>
      </c>
      <c r="F729" s="39" t="s">
        <v>82</v>
      </c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  <c r="AA729" s="29"/>
      <c r="AB729" s="29"/>
      <c r="AC729" s="29"/>
      <c r="AD729" s="29"/>
      <c r="AE729" s="29"/>
      <c r="AJ729"/>
      <c r="AK729"/>
      <c r="AL729"/>
      <c r="AM729"/>
      <c r="AN729"/>
      <c r="AO729"/>
      <c r="AP729"/>
      <c r="AQ729"/>
      <c r="AR729"/>
      <c r="AS729"/>
      <c r="AT729" s="4" t="str">
        <f t="shared" si="82"/>
        <v>IT费用电子设备运转费 </v>
      </c>
      <c r="AU729" s="4" t="str">
        <f t="shared" si="78"/>
        <v>个金存款部</v>
      </c>
      <c r="AV729" s="4" t="str">
        <f t="shared" si="79"/>
        <v>IT科技费用</v>
      </c>
      <c r="AW729" s="4" t="str">
        <f>IFERROR(VLOOKUP(AV729,[1]字段!A:B,2,0),"")</f>
        <v>IT费用</v>
      </c>
      <c r="AX729" s="30" t="str">
        <f>IF(AW729="人力费用",IF(E729="","",VLOOKUP(E729,[1]字段!D:E,2,0)),AW729)</f>
        <v>IT费用</v>
      </c>
      <c r="AY729" s="30" t="str">
        <f>IF(AT729="","",VLOOKUP(AT729,[1]字段!H:I,2,0))</f>
        <v>IT费用</v>
      </c>
      <c r="AZ729" s="31">
        <f t="shared" si="83"/>
        <v>0</v>
      </c>
      <c r="BA729" s="31">
        <f t="shared" si="80"/>
        <v>0</v>
      </c>
      <c r="BB729" s="31">
        <f t="shared" si="81"/>
        <v>0</v>
      </c>
      <c r="BC729" s="31">
        <f t="shared" si="84"/>
        <v>0</v>
      </c>
    </row>
    <row r="730" spans="1:55" ht="28.5" customHeight="1">
      <c r="C730" s="33" t="s">
        <v>93</v>
      </c>
      <c r="D730" s="34" t="s">
        <v>94</v>
      </c>
      <c r="E730" s="35"/>
      <c r="F730" s="36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  <c r="AA730" s="29"/>
      <c r="AB730" s="29"/>
      <c r="AC730" s="29"/>
      <c r="AD730" s="29"/>
      <c r="AE730" s="29"/>
      <c r="AJ730"/>
      <c r="AK730"/>
      <c r="AL730"/>
      <c r="AM730"/>
      <c r="AN730"/>
      <c r="AO730"/>
      <c r="AP730"/>
      <c r="AQ730"/>
      <c r="AR730"/>
      <c r="AS730"/>
      <c r="AT730" s="4" t="str">
        <f t="shared" si="82"/>
        <v>日常费用</v>
      </c>
      <c r="AU730" s="4" t="str">
        <f t="shared" si="78"/>
        <v>个金存款部</v>
      </c>
      <c r="AV730" s="4" t="str">
        <f t="shared" si="79"/>
        <v>日常费用</v>
      </c>
      <c r="AW730" s="4" t="str">
        <f>IFERROR(VLOOKUP(AV730,[1]字段!A:B,2,0),"")</f>
        <v>日常费用</v>
      </c>
      <c r="AX730" s="30" t="str">
        <f>IF(AW730="人力费用",IF(E730="","",VLOOKUP(E730,[1]字段!D:E,2,0)),AW730)</f>
        <v>日常费用</v>
      </c>
      <c r="AY730" s="30">
        <f>IF(AT730="","",VLOOKUP(AT730,[1]字段!H:I,2,0))</f>
        <v>0</v>
      </c>
      <c r="AZ730" s="31">
        <f t="shared" si="83"/>
        <v>0</v>
      </c>
      <c r="BA730" s="31">
        <f t="shared" si="80"/>
        <v>0</v>
      </c>
      <c r="BB730" s="31">
        <f t="shared" si="81"/>
        <v>0</v>
      </c>
      <c r="BC730" s="31">
        <f t="shared" si="84"/>
        <v>0</v>
      </c>
    </row>
    <row r="731" spans="1:55" ht="28.5" customHeight="1">
      <c r="A731" s="32"/>
      <c r="B731" s="32"/>
      <c r="C731" s="37"/>
      <c r="D731" s="38"/>
      <c r="E731" s="39" t="s">
        <v>95</v>
      </c>
      <c r="F731" s="39" t="s">
        <v>96</v>
      </c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  <c r="AA731" s="29"/>
      <c r="AB731" s="29"/>
      <c r="AC731" s="29"/>
      <c r="AD731" s="29"/>
      <c r="AE731" s="29"/>
      <c r="AJ731"/>
      <c r="AK731"/>
      <c r="AL731"/>
      <c r="AM731"/>
      <c r="AN731"/>
      <c r="AO731"/>
      <c r="AP731"/>
      <c r="AQ731"/>
      <c r="AR731"/>
      <c r="AS731"/>
      <c r="AT731" s="4" t="str">
        <f t="shared" si="82"/>
        <v>日常费用业务招待费</v>
      </c>
      <c r="AU731" s="4" t="str">
        <f t="shared" si="78"/>
        <v>个金存款部</v>
      </c>
      <c r="AV731" s="4" t="str">
        <f t="shared" si="79"/>
        <v>日常费用</v>
      </c>
      <c r="AW731" s="4" t="str">
        <f>IFERROR(VLOOKUP(AV731,[1]字段!A:B,2,0),"")</f>
        <v>日常费用</v>
      </c>
      <c r="AX731" s="30" t="str">
        <f>IF(AW731="人力费用",IF(E731="","",VLOOKUP(E731,[1]字段!D:E,2,0)),AW731)</f>
        <v>日常费用</v>
      </c>
      <c r="AY731" s="30" t="str">
        <f>IF(AT731="","",VLOOKUP(AT731,[1]字段!H:I,2,0))</f>
        <v>日常费用-其他</v>
      </c>
      <c r="AZ731" s="31">
        <f t="shared" si="83"/>
        <v>0</v>
      </c>
      <c r="BA731" s="31">
        <f t="shared" si="80"/>
        <v>0</v>
      </c>
      <c r="BB731" s="31">
        <f t="shared" si="81"/>
        <v>0</v>
      </c>
      <c r="BC731" s="31">
        <f t="shared" si="84"/>
        <v>0</v>
      </c>
    </row>
    <row r="732" spans="1:55" ht="28.5" customHeight="1">
      <c r="A732" s="41"/>
      <c r="B732" s="41"/>
      <c r="C732" s="41"/>
      <c r="D732" s="42"/>
      <c r="E732" s="39" t="s">
        <v>139</v>
      </c>
      <c r="F732" s="39" t="s">
        <v>140</v>
      </c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  <c r="AA732" s="29"/>
      <c r="AB732" s="29"/>
      <c r="AC732" s="29"/>
      <c r="AD732" s="29"/>
      <c r="AE732" s="29"/>
      <c r="AJ732"/>
      <c r="AK732"/>
      <c r="AL732"/>
      <c r="AM732"/>
      <c r="AN732"/>
      <c r="AO732"/>
      <c r="AP732"/>
      <c r="AQ732"/>
      <c r="AR732"/>
      <c r="AS732"/>
      <c r="AT732" s="4" t="str">
        <f t="shared" si="82"/>
        <v>日常费用差旅费</v>
      </c>
      <c r="AU732" s="4" t="str">
        <f t="shared" si="78"/>
        <v>个金存款部</v>
      </c>
      <c r="AV732" s="4" t="str">
        <f t="shared" si="79"/>
        <v>日常费用</v>
      </c>
      <c r="AW732" s="4" t="str">
        <f>IFERROR(VLOOKUP(AV732,[1]字段!A:B,2,0),"")</f>
        <v>日常费用</v>
      </c>
      <c r="AX732" s="30" t="str">
        <f>IF(AW732="人力费用",IF(E732="","",VLOOKUP(E732,[1]字段!D:E,2,0)),AW732)</f>
        <v>日常费用</v>
      </c>
      <c r="AY732" s="30" t="str">
        <f>IF(AT732="","",VLOOKUP(AT732,[1]字段!H:I,2,0))</f>
        <v>日常费用-其他</v>
      </c>
      <c r="AZ732" s="31">
        <f t="shared" si="83"/>
        <v>0</v>
      </c>
      <c r="BA732" s="31">
        <f t="shared" si="80"/>
        <v>0</v>
      </c>
      <c r="BB732" s="31">
        <f t="shared" si="81"/>
        <v>0</v>
      </c>
      <c r="BC732" s="31">
        <f t="shared" si="84"/>
        <v>0</v>
      </c>
    </row>
    <row r="733" spans="1:55" ht="28.5" customHeight="1">
      <c r="A733" s="25"/>
      <c r="B733" s="26" t="s">
        <v>195</v>
      </c>
      <c r="C733" s="27"/>
      <c r="D733" s="27"/>
      <c r="E733" s="27"/>
      <c r="F733" s="28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  <c r="AA733" s="29"/>
      <c r="AB733" s="29"/>
      <c r="AC733" s="29"/>
      <c r="AD733" s="29"/>
      <c r="AE733" s="29"/>
      <c r="AJ733"/>
      <c r="AK733"/>
      <c r="AL733"/>
      <c r="AM733"/>
      <c r="AN733"/>
      <c r="AO733"/>
      <c r="AP733"/>
      <c r="AQ733"/>
      <c r="AR733"/>
      <c r="AS733"/>
      <c r="AT733" s="4" t="str">
        <f t="shared" si="82"/>
        <v/>
      </c>
      <c r="AU733" s="4" t="str">
        <f t="shared" si="78"/>
        <v>个金风险部</v>
      </c>
      <c r="AV733" s="4" t="str">
        <f t="shared" si="79"/>
        <v/>
      </c>
      <c r="AW733" s="4" t="str">
        <f>IFERROR(VLOOKUP(AV733,[1]字段!A:B,2,0),"")</f>
        <v/>
      </c>
      <c r="AX733" s="30" t="str">
        <f>IF(AW733="人力费用",IF(E733="","",VLOOKUP(E733,[1]字段!D:E,2,0)),AW733)</f>
        <v/>
      </c>
      <c r="AY733" s="30" t="str">
        <f>IF(AT733="","",VLOOKUP(AT733,[1]字段!H:I,2,0))</f>
        <v/>
      </c>
      <c r="AZ733" s="31">
        <f t="shared" si="83"/>
        <v>0</v>
      </c>
      <c r="BA733" s="31">
        <f t="shared" si="80"/>
        <v>0</v>
      </c>
      <c r="BB733" s="31">
        <f t="shared" si="81"/>
        <v>0</v>
      </c>
      <c r="BC733" s="31">
        <f t="shared" si="84"/>
        <v>0</v>
      </c>
    </row>
    <row r="734" spans="1:55" ht="28.5" customHeight="1">
      <c r="A734" s="32"/>
      <c r="B734" s="32"/>
      <c r="C734" s="33" t="s">
        <v>39</v>
      </c>
      <c r="D734" s="34" t="s">
        <v>40</v>
      </c>
      <c r="E734" s="35"/>
      <c r="F734" s="36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  <c r="AA734" s="29"/>
      <c r="AB734" s="29"/>
      <c r="AC734" s="29"/>
      <c r="AD734" s="29"/>
      <c r="AE734" s="29"/>
      <c r="AJ734"/>
      <c r="AK734"/>
      <c r="AL734"/>
      <c r="AM734"/>
      <c r="AN734"/>
      <c r="AO734"/>
      <c r="AP734"/>
      <c r="AQ734"/>
      <c r="AR734"/>
      <c r="AS734"/>
      <c r="AT734" s="4" t="str">
        <f t="shared" si="82"/>
        <v/>
      </c>
      <c r="AU734" s="4" t="str">
        <f t="shared" si="78"/>
        <v>个金风险部</v>
      </c>
      <c r="AV734" s="4" t="str">
        <f t="shared" si="79"/>
        <v>人力费用</v>
      </c>
      <c r="AW734" s="4" t="str">
        <f>IFERROR(VLOOKUP(AV734,[1]字段!A:B,2,0),"")</f>
        <v>人力费用</v>
      </c>
      <c r="AX734" s="30" t="str">
        <f>IF(AW734="人力费用",IF(E734="","",VLOOKUP(E734,[1]字段!D:E,2,0)),AW734)</f>
        <v/>
      </c>
      <c r="AY734" s="30" t="str">
        <f>IF(AT734="","",VLOOKUP(AT734,[1]字段!H:I,2,0))</f>
        <v/>
      </c>
      <c r="AZ734" s="31">
        <f t="shared" si="83"/>
        <v>0</v>
      </c>
      <c r="BA734" s="31">
        <f t="shared" si="80"/>
        <v>0</v>
      </c>
      <c r="BB734" s="31">
        <f t="shared" si="81"/>
        <v>0</v>
      </c>
      <c r="BC734" s="31">
        <f t="shared" si="84"/>
        <v>0</v>
      </c>
    </row>
    <row r="735" spans="1:55" ht="28.5" customHeight="1">
      <c r="A735" s="32"/>
      <c r="B735" s="32"/>
      <c r="C735" s="37"/>
      <c r="D735" s="38"/>
      <c r="E735" s="39" t="s">
        <v>41</v>
      </c>
      <c r="F735" s="39" t="s">
        <v>42</v>
      </c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  <c r="AA735" s="29"/>
      <c r="AB735" s="29"/>
      <c r="AC735" s="29"/>
      <c r="AD735" s="29"/>
      <c r="AE735" s="29"/>
      <c r="AJ735"/>
      <c r="AK735"/>
      <c r="AL735"/>
      <c r="AM735"/>
      <c r="AN735"/>
      <c r="AO735"/>
      <c r="AP735"/>
      <c r="AQ735"/>
      <c r="AR735"/>
      <c r="AS735"/>
      <c r="AT735" s="4" t="str">
        <f t="shared" si="82"/>
        <v>1.0倍人力基础工资</v>
      </c>
      <c r="AU735" s="4" t="str">
        <f t="shared" si="78"/>
        <v>个金风险部</v>
      </c>
      <c r="AV735" s="4" t="str">
        <f t="shared" si="79"/>
        <v>人力费用</v>
      </c>
      <c r="AW735" s="4" t="str">
        <f>IFERROR(VLOOKUP(AV735,[1]字段!A:B,2,0),"")</f>
        <v>人力费用</v>
      </c>
      <c r="AX735" s="30" t="str">
        <f>IF(AW735="人力费用",IF(E735="","",VLOOKUP(E735,[1]字段!D:E,2,0)),AW735)</f>
        <v>1.0倍人力</v>
      </c>
      <c r="AY735" s="30" t="str">
        <f>IF(AT735="","",VLOOKUP(AT735,[1]字段!H:I,2,0))</f>
        <v>1.0倍人力</v>
      </c>
      <c r="AZ735" s="31">
        <f t="shared" si="83"/>
        <v>0</v>
      </c>
      <c r="BA735" s="31">
        <f t="shared" si="80"/>
        <v>0</v>
      </c>
      <c r="BB735" s="31">
        <f t="shared" si="81"/>
        <v>0</v>
      </c>
      <c r="BC735" s="31">
        <f t="shared" si="84"/>
        <v>0</v>
      </c>
    </row>
    <row r="736" spans="1:55" ht="28.5" customHeight="1">
      <c r="A736" s="32"/>
      <c r="B736" s="32"/>
      <c r="C736" s="32"/>
      <c r="D736" s="40"/>
      <c r="E736" s="39">
        <v>5501010602</v>
      </c>
      <c r="F736" s="3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  <c r="AA736" s="29"/>
      <c r="AB736" s="29"/>
      <c r="AC736" s="29"/>
      <c r="AD736" s="29"/>
      <c r="AE736" s="29"/>
      <c r="AJ736"/>
      <c r="AK736"/>
      <c r="AL736"/>
      <c r="AM736"/>
      <c r="AN736"/>
      <c r="AO736"/>
      <c r="AP736"/>
      <c r="AQ736"/>
      <c r="AR736"/>
      <c r="AS736"/>
      <c r="AT736" s="4" t="str">
        <f t="shared" si="82"/>
        <v>利润分享</v>
      </c>
      <c r="AU736" s="4" t="str">
        <f t="shared" si="78"/>
        <v>个金风险部</v>
      </c>
      <c r="AV736" s="4" t="str">
        <f t="shared" si="79"/>
        <v>人力费用</v>
      </c>
      <c r="AW736" s="4" t="str">
        <f>IFERROR(VLOOKUP(AV736,[1]字段!A:B,2,0),"")</f>
        <v>人力费用</v>
      </c>
      <c r="AX736" s="30" t="str">
        <f>IF(AW736="人力费用",IF(E736="","",VLOOKUP(E736,[1]字段!D:E,2,0)),AW736)</f>
        <v>利润分享</v>
      </c>
      <c r="AY736" s="30" t="str">
        <f>IF(AT736="","",VLOOKUP(AT736,[1]字段!H:I,2,0))</f>
        <v>利润分享</v>
      </c>
      <c r="AZ736" s="31">
        <f t="shared" si="83"/>
        <v>0</v>
      </c>
      <c r="BA736" s="31">
        <f t="shared" si="80"/>
        <v>0</v>
      </c>
      <c r="BB736" s="31">
        <f t="shared" si="81"/>
        <v>0</v>
      </c>
      <c r="BC736" s="31">
        <f t="shared" si="84"/>
        <v>0</v>
      </c>
    </row>
    <row r="737" spans="1:55" ht="28.5" customHeight="1">
      <c r="A737" s="32"/>
      <c r="B737" s="32"/>
      <c r="C737" s="32"/>
      <c r="D737" s="40"/>
      <c r="E737" s="39">
        <v>5501010603</v>
      </c>
      <c r="F737" s="3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  <c r="AA737" s="29"/>
      <c r="AB737" s="29"/>
      <c r="AC737" s="29"/>
      <c r="AD737" s="29"/>
      <c r="AE737" s="29"/>
      <c r="AJ737"/>
      <c r="AK737"/>
      <c r="AL737"/>
      <c r="AM737"/>
      <c r="AN737"/>
      <c r="AO737"/>
      <c r="AP737"/>
      <c r="AQ737"/>
      <c r="AR737"/>
      <c r="AS737"/>
      <c r="AT737" s="4" t="str">
        <f t="shared" si="82"/>
        <v>留任奖励</v>
      </c>
      <c r="AU737" s="4" t="str">
        <f t="shared" si="78"/>
        <v>个金风险部</v>
      </c>
      <c r="AV737" s="4" t="str">
        <f t="shared" si="79"/>
        <v>人力费用</v>
      </c>
      <c r="AW737" s="4" t="str">
        <f>IFERROR(VLOOKUP(AV737,[1]字段!A:B,2,0),"")</f>
        <v>人力费用</v>
      </c>
      <c r="AX737" s="30" t="str">
        <f>IF(AW737="人力费用",IF(E737="","",VLOOKUP(E737,[1]字段!D:E,2,0)),AW737)</f>
        <v>留任奖励</v>
      </c>
      <c r="AY737" s="30" t="str">
        <f>IF(AT737="","",VLOOKUP(AT737,[1]字段!H:I,2,0))</f>
        <v>留任奖励</v>
      </c>
      <c r="AZ737" s="31">
        <f t="shared" si="83"/>
        <v>0</v>
      </c>
      <c r="BA737" s="31">
        <f t="shared" si="80"/>
        <v>0</v>
      </c>
      <c r="BB737" s="31">
        <f t="shared" si="81"/>
        <v>0</v>
      </c>
      <c r="BC737" s="31">
        <f t="shared" si="84"/>
        <v>0</v>
      </c>
    </row>
    <row r="738" spans="1:55" ht="28.5" customHeight="1">
      <c r="A738" s="32"/>
      <c r="B738" s="32"/>
      <c r="C738" s="32"/>
      <c r="D738" s="40"/>
      <c r="E738" s="39">
        <v>5501010604</v>
      </c>
      <c r="F738" s="3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  <c r="AA738" s="29"/>
      <c r="AB738" s="29"/>
      <c r="AC738" s="29"/>
      <c r="AD738" s="29"/>
      <c r="AE738" s="29"/>
      <c r="AJ738"/>
      <c r="AK738"/>
      <c r="AL738"/>
      <c r="AM738"/>
      <c r="AN738"/>
      <c r="AO738"/>
      <c r="AP738"/>
      <c r="AQ738"/>
      <c r="AR738"/>
      <c r="AS738"/>
      <c r="AT738" s="4" t="str">
        <f t="shared" si="82"/>
        <v>1.0倍人力</v>
      </c>
      <c r="AU738" s="4" t="str">
        <f t="shared" si="78"/>
        <v>个金风险部</v>
      </c>
      <c r="AV738" s="4" t="str">
        <f t="shared" si="79"/>
        <v>人力费用</v>
      </c>
      <c r="AW738" s="4" t="str">
        <f>IFERROR(VLOOKUP(AV738,[1]字段!A:B,2,0),"")</f>
        <v>人力费用</v>
      </c>
      <c r="AX738" s="30" t="str">
        <f>IF(AW738="人力费用",IF(E738="","",VLOOKUP(E738,[1]字段!D:E,2,0)),AW738)</f>
        <v>1.0倍人力</v>
      </c>
      <c r="AY738" s="30" t="str">
        <f>IF(AT738="","",VLOOKUP(AT738,[1]字段!H:I,2,0))</f>
        <v>1.0倍人力</v>
      </c>
      <c r="AZ738" s="31">
        <f t="shared" si="83"/>
        <v>0</v>
      </c>
      <c r="BA738" s="31">
        <f t="shared" si="80"/>
        <v>0</v>
      </c>
      <c r="BB738" s="31">
        <f t="shared" si="81"/>
        <v>0</v>
      </c>
      <c r="BC738" s="31">
        <f t="shared" si="84"/>
        <v>0</v>
      </c>
    </row>
    <row r="739" spans="1:55" ht="28.5" customHeight="1">
      <c r="A739" s="32"/>
      <c r="B739" s="32"/>
      <c r="C739" s="32"/>
      <c r="D739" s="40"/>
      <c r="E739" s="39" t="s">
        <v>43</v>
      </c>
      <c r="F739" s="39" t="s">
        <v>44</v>
      </c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  <c r="AA739" s="29"/>
      <c r="AB739" s="29"/>
      <c r="AC739" s="29"/>
      <c r="AD739" s="29"/>
      <c r="AE739" s="29"/>
      <c r="AJ739"/>
      <c r="AK739"/>
      <c r="AL739"/>
      <c r="AM739"/>
      <c r="AN739"/>
      <c r="AO739"/>
      <c r="AP739"/>
      <c r="AQ739"/>
      <c r="AR739"/>
      <c r="AS739"/>
      <c r="AT739" s="4" t="str">
        <f t="shared" si="82"/>
        <v>1.0倍人力团队建设费</v>
      </c>
      <c r="AU739" s="4" t="str">
        <f t="shared" si="78"/>
        <v>个金风险部</v>
      </c>
      <c r="AV739" s="4" t="str">
        <f t="shared" si="79"/>
        <v>人力费用</v>
      </c>
      <c r="AW739" s="4" t="str">
        <f>IFERROR(VLOOKUP(AV739,[1]字段!A:B,2,0),"")</f>
        <v>人力费用</v>
      </c>
      <c r="AX739" s="30" t="str">
        <f>IF(AW739="人力费用",IF(E739="","",VLOOKUP(E739,[1]字段!D:E,2,0)),AW739)</f>
        <v>1.0倍人力</v>
      </c>
      <c r="AY739" s="30" t="str">
        <f>IF(AT739="","",VLOOKUP(AT739,[1]字段!H:I,2,0))</f>
        <v>1.0倍人力</v>
      </c>
      <c r="AZ739" s="31">
        <f t="shared" si="83"/>
        <v>0</v>
      </c>
      <c r="BA739" s="31">
        <f t="shared" si="80"/>
        <v>0</v>
      </c>
      <c r="BB739" s="31">
        <f t="shared" si="81"/>
        <v>0</v>
      </c>
      <c r="BC739" s="31">
        <f t="shared" si="84"/>
        <v>0</v>
      </c>
    </row>
    <row r="740" spans="1:55" ht="28.5" customHeight="1">
      <c r="A740" s="32"/>
      <c r="B740" s="32"/>
      <c r="C740" s="32"/>
      <c r="D740" s="40"/>
      <c r="E740" s="39" t="s">
        <v>45</v>
      </c>
      <c r="F740" s="39" t="s">
        <v>46</v>
      </c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  <c r="AA740" s="29"/>
      <c r="AB740" s="29"/>
      <c r="AC740" s="29"/>
      <c r="AD740" s="29"/>
      <c r="AE740" s="29"/>
      <c r="AJ740"/>
      <c r="AK740"/>
      <c r="AL740"/>
      <c r="AM740"/>
      <c r="AN740"/>
      <c r="AO740"/>
      <c r="AP740"/>
      <c r="AQ740"/>
      <c r="AR740"/>
      <c r="AS740"/>
      <c r="AT740" s="4" t="str">
        <f t="shared" si="82"/>
        <v>1.0倍人力其他职工福利费</v>
      </c>
      <c r="AU740" s="4" t="str">
        <f t="shared" si="78"/>
        <v>个金风险部</v>
      </c>
      <c r="AV740" s="4" t="str">
        <f t="shared" si="79"/>
        <v>人力费用</v>
      </c>
      <c r="AW740" s="4" t="str">
        <f>IFERROR(VLOOKUP(AV740,[1]字段!A:B,2,0),"")</f>
        <v>人力费用</v>
      </c>
      <c r="AX740" s="30" t="str">
        <f>IF(AW740="人力费用",IF(E740="","",VLOOKUP(E740,[1]字段!D:E,2,0)),AW740)</f>
        <v>1.0倍人力</v>
      </c>
      <c r="AY740" s="30" t="str">
        <f>IF(AT740="","",VLOOKUP(AT740,[1]字段!H:I,2,0))</f>
        <v>1.0倍人力</v>
      </c>
      <c r="AZ740" s="31">
        <f t="shared" si="83"/>
        <v>0</v>
      </c>
      <c r="BA740" s="31">
        <f t="shared" si="80"/>
        <v>0</v>
      </c>
      <c r="BB740" s="31">
        <f t="shared" si="81"/>
        <v>0</v>
      </c>
      <c r="BC740" s="31">
        <f t="shared" si="84"/>
        <v>0</v>
      </c>
    </row>
    <row r="741" spans="1:55" ht="28.5" customHeight="1">
      <c r="A741" s="32"/>
      <c r="B741" s="32"/>
      <c r="C741" s="32"/>
      <c r="D741" s="40"/>
      <c r="E741" s="39" t="s">
        <v>47</v>
      </c>
      <c r="F741" s="39" t="s">
        <v>48</v>
      </c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  <c r="AA741" s="29"/>
      <c r="AB741" s="29"/>
      <c r="AC741" s="29"/>
      <c r="AD741" s="29"/>
      <c r="AE741" s="29"/>
      <c r="AJ741"/>
      <c r="AK741"/>
      <c r="AL741"/>
      <c r="AM741"/>
      <c r="AN741"/>
      <c r="AO741"/>
      <c r="AP741"/>
      <c r="AQ741"/>
      <c r="AR741"/>
      <c r="AS741"/>
      <c r="AT741" s="4" t="str">
        <f t="shared" si="82"/>
        <v>1.0倍人力工会经费</v>
      </c>
      <c r="AU741" s="4" t="str">
        <f t="shared" si="78"/>
        <v>个金风险部</v>
      </c>
      <c r="AV741" s="4" t="str">
        <f t="shared" si="79"/>
        <v>人力费用</v>
      </c>
      <c r="AW741" s="4" t="str">
        <f>IFERROR(VLOOKUP(AV741,[1]字段!A:B,2,0),"")</f>
        <v>人力费用</v>
      </c>
      <c r="AX741" s="30" t="str">
        <f>IF(AW741="人力费用",IF(E741="","",VLOOKUP(E741,[1]字段!D:E,2,0)),AW741)</f>
        <v>1.0倍人力</v>
      </c>
      <c r="AY741" s="30" t="str">
        <f>IF(AT741="","",VLOOKUP(AT741,[1]字段!H:I,2,0))</f>
        <v>1.0倍人力</v>
      </c>
      <c r="AZ741" s="31">
        <f t="shared" si="83"/>
        <v>0</v>
      </c>
      <c r="BA741" s="31">
        <f t="shared" si="80"/>
        <v>0</v>
      </c>
      <c r="BB741" s="31">
        <f t="shared" si="81"/>
        <v>0</v>
      </c>
      <c r="BC741" s="31">
        <f t="shared" si="84"/>
        <v>0</v>
      </c>
    </row>
    <row r="742" spans="1:55" ht="28.5" customHeight="1">
      <c r="A742" s="32"/>
      <c r="B742" s="32"/>
      <c r="C742" s="32"/>
      <c r="D742" s="40"/>
      <c r="E742" s="39" t="s">
        <v>49</v>
      </c>
      <c r="F742" s="39" t="s">
        <v>50</v>
      </c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  <c r="AA742" s="29"/>
      <c r="AB742" s="29"/>
      <c r="AC742" s="29"/>
      <c r="AD742" s="29"/>
      <c r="AE742" s="29"/>
      <c r="AJ742"/>
      <c r="AK742"/>
      <c r="AL742"/>
      <c r="AM742"/>
      <c r="AN742"/>
      <c r="AO742"/>
      <c r="AP742"/>
      <c r="AQ742"/>
      <c r="AR742"/>
      <c r="AS742"/>
      <c r="AT742" s="4" t="str">
        <f t="shared" si="82"/>
        <v>1.0倍人力基本养老保险</v>
      </c>
      <c r="AU742" s="4" t="str">
        <f t="shared" si="78"/>
        <v>个金风险部</v>
      </c>
      <c r="AV742" s="4" t="str">
        <f t="shared" si="79"/>
        <v>人力费用</v>
      </c>
      <c r="AW742" s="4" t="str">
        <f>IFERROR(VLOOKUP(AV742,[1]字段!A:B,2,0),"")</f>
        <v>人力费用</v>
      </c>
      <c r="AX742" s="30" t="str">
        <f>IF(AW742="人力费用",IF(E742="","",VLOOKUP(E742,[1]字段!D:E,2,0)),AW742)</f>
        <v>1.0倍人力</v>
      </c>
      <c r="AY742" s="30" t="str">
        <f>IF(AT742="","",VLOOKUP(AT742,[1]字段!H:I,2,0))</f>
        <v>1.0倍人力</v>
      </c>
      <c r="AZ742" s="31">
        <f t="shared" si="83"/>
        <v>0</v>
      </c>
      <c r="BA742" s="31">
        <f t="shared" si="80"/>
        <v>0</v>
      </c>
      <c r="BB742" s="31">
        <f t="shared" si="81"/>
        <v>0</v>
      </c>
      <c r="BC742" s="31">
        <f t="shared" si="84"/>
        <v>0</v>
      </c>
    </row>
    <row r="743" spans="1:55" ht="28.5" customHeight="1">
      <c r="A743" s="32"/>
      <c r="B743" s="32"/>
      <c r="C743" s="32"/>
      <c r="D743" s="40"/>
      <c r="E743" s="39" t="s">
        <v>51</v>
      </c>
      <c r="F743" s="39" t="s">
        <v>52</v>
      </c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  <c r="AA743" s="29"/>
      <c r="AB743" s="29"/>
      <c r="AC743" s="29"/>
      <c r="AD743" s="29"/>
      <c r="AE743" s="29"/>
      <c r="AJ743"/>
      <c r="AK743"/>
      <c r="AL743"/>
      <c r="AM743"/>
      <c r="AN743"/>
      <c r="AO743"/>
      <c r="AP743"/>
      <c r="AQ743"/>
      <c r="AR743"/>
      <c r="AS743"/>
      <c r="AT743" s="4" t="str">
        <f t="shared" si="82"/>
        <v>1.0倍人力基本医疗保险</v>
      </c>
      <c r="AU743" s="4" t="str">
        <f t="shared" si="78"/>
        <v>个金风险部</v>
      </c>
      <c r="AV743" s="4" t="str">
        <f t="shared" si="79"/>
        <v>人力费用</v>
      </c>
      <c r="AW743" s="4" t="str">
        <f>IFERROR(VLOOKUP(AV743,[1]字段!A:B,2,0),"")</f>
        <v>人力费用</v>
      </c>
      <c r="AX743" s="30" t="str">
        <f>IF(AW743="人力费用",IF(E743="","",VLOOKUP(E743,[1]字段!D:E,2,0)),AW743)</f>
        <v>1.0倍人力</v>
      </c>
      <c r="AY743" s="30" t="str">
        <f>IF(AT743="","",VLOOKUP(AT743,[1]字段!H:I,2,0))</f>
        <v>1.0倍人力</v>
      </c>
      <c r="AZ743" s="31">
        <f t="shared" si="83"/>
        <v>0</v>
      </c>
      <c r="BA743" s="31">
        <f t="shared" si="80"/>
        <v>0</v>
      </c>
      <c r="BB743" s="31">
        <f t="shared" si="81"/>
        <v>0</v>
      </c>
      <c r="BC743" s="31">
        <f t="shared" si="84"/>
        <v>0</v>
      </c>
    </row>
    <row r="744" spans="1:55" ht="28.5" customHeight="1">
      <c r="A744" s="32"/>
      <c r="B744" s="32"/>
      <c r="C744" s="32"/>
      <c r="D744" s="40"/>
      <c r="E744" s="39" t="s">
        <v>53</v>
      </c>
      <c r="F744" s="39" t="s">
        <v>54</v>
      </c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  <c r="AA744" s="29"/>
      <c r="AB744" s="29"/>
      <c r="AC744" s="29"/>
      <c r="AD744" s="29"/>
      <c r="AE744" s="29"/>
      <c r="AJ744"/>
      <c r="AK744"/>
      <c r="AL744"/>
      <c r="AM744"/>
      <c r="AN744"/>
      <c r="AO744"/>
      <c r="AP744"/>
      <c r="AQ744"/>
      <c r="AR744"/>
      <c r="AS744"/>
      <c r="AT744" s="4" t="str">
        <f t="shared" si="82"/>
        <v>1.0倍人力工伤保险</v>
      </c>
      <c r="AU744" s="4" t="str">
        <f t="shared" si="78"/>
        <v>个金风险部</v>
      </c>
      <c r="AV744" s="4" t="str">
        <f t="shared" si="79"/>
        <v>人力费用</v>
      </c>
      <c r="AW744" s="4" t="str">
        <f>IFERROR(VLOOKUP(AV744,[1]字段!A:B,2,0),"")</f>
        <v>人力费用</v>
      </c>
      <c r="AX744" s="30" t="str">
        <f>IF(AW744="人力费用",IF(E744="","",VLOOKUP(E744,[1]字段!D:E,2,0)),AW744)</f>
        <v>1.0倍人力</v>
      </c>
      <c r="AY744" s="30" t="str">
        <f>IF(AT744="","",VLOOKUP(AT744,[1]字段!H:I,2,0))</f>
        <v>1.0倍人力</v>
      </c>
      <c r="AZ744" s="31">
        <f t="shared" si="83"/>
        <v>0</v>
      </c>
      <c r="BA744" s="31">
        <f t="shared" si="80"/>
        <v>0</v>
      </c>
      <c r="BB744" s="31">
        <f t="shared" si="81"/>
        <v>0</v>
      </c>
      <c r="BC744" s="31">
        <f t="shared" si="84"/>
        <v>0</v>
      </c>
    </row>
    <row r="745" spans="1:55" ht="28.5" customHeight="1">
      <c r="A745" s="32"/>
      <c r="B745" s="32"/>
      <c r="C745" s="32"/>
      <c r="D745" s="40"/>
      <c r="E745" s="39" t="s">
        <v>55</v>
      </c>
      <c r="F745" s="39" t="s">
        <v>56</v>
      </c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  <c r="AA745" s="29"/>
      <c r="AB745" s="29"/>
      <c r="AC745" s="29"/>
      <c r="AD745" s="29"/>
      <c r="AE745" s="29"/>
      <c r="AJ745"/>
      <c r="AK745"/>
      <c r="AL745"/>
      <c r="AM745"/>
      <c r="AN745"/>
      <c r="AO745"/>
      <c r="AP745"/>
      <c r="AQ745"/>
      <c r="AR745"/>
      <c r="AS745"/>
      <c r="AT745" s="4" t="str">
        <f t="shared" si="82"/>
        <v>1.0倍人力生育保险</v>
      </c>
      <c r="AU745" s="4" t="str">
        <f t="shared" si="78"/>
        <v>个金风险部</v>
      </c>
      <c r="AV745" s="4" t="str">
        <f t="shared" si="79"/>
        <v>人力费用</v>
      </c>
      <c r="AW745" s="4" t="str">
        <f>IFERROR(VLOOKUP(AV745,[1]字段!A:B,2,0),"")</f>
        <v>人力费用</v>
      </c>
      <c r="AX745" s="30" t="str">
        <f>IF(AW745="人力费用",IF(E745="","",VLOOKUP(E745,[1]字段!D:E,2,0)),AW745)</f>
        <v>1.0倍人力</v>
      </c>
      <c r="AY745" s="30" t="str">
        <f>IF(AT745="","",VLOOKUP(AT745,[1]字段!H:I,2,0))</f>
        <v>1.0倍人力</v>
      </c>
      <c r="AZ745" s="31">
        <f t="shared" si="83"/>
        <v>0</v>
      </c>
      <c r="BA745" s="31">
        <f t="shared" si="80"/>
        <v>0</v>
      </c>
      <c r="BB745" s="31">
        <f t="shared" si="81"/>
        <v>0</v>
      </c>
      <c r="BC745" s="31">
        <f t="shared" si="84"/>
        <v>0</v>
      </c>
    </row>
    <row r="746" spans="1:55" ht="28.5" customHeight="1">
      <c r="A746" s="32"/>
      <c r="B746" s="32"/>
      <c r="C746" s="32"/>
      <c r="D746" s="40"/>
      <c r="E746" s="39" t="s">
        <v>57</v>
      </c>
      <c r="F746" s="39" t="s">
        <v>58</v>
      </c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  <c r="AA746" s="29"/>
      <c r="AB746" s="29"/>
      <c r="AC746" s="29"/>
      <c r="AD746" s="29"/>
      <c r="AE746" s="29"/>
      <c r="AJ746"/>
      <c r="AK746"/>
      <c r="AL746"/>
      <c r="AM746"/>
      <c r="AN746"/>
      <c r="AO746"/>
      <c r="AP746"/>
      <c r="AQ746"/>
      <c r="AR746"/>
      <c r="AS746"/>
      <c r="AT746" s="4" t="str">
        <f t="shared" si="82"/>
        <v>1.0倍人力失业保险</v>
      </c>
      <c r="AU746" s="4" t="str">
        <f t="shared" si="78"/>
        <v>个金风险部</v>
      </c>
      <c r="AV746" s="4" t="str">
        <f t="shared" si="79"/>
        <v>人力费用</v>
      </c>
      <c r="AW746" s="4" t="str">
        <f>IFERROR(VLOOKUP(AV746,[1]字段!A:B,2,0),"")</f>
        <v>人力费用</v>
      </c>
      <c r="AX746" s="30" t="str">
        <f>IF(AW746="人力费用",IF(E746="","",VLOOKUP(E746,[1]字段!D:E,2,0)),AW746)</f>
        <v>1.0倍人力</v>
      </c>
      <c r="AY746" s="30" t="str">
        <f>IF(AT746="","",VLOOKUP(AT746,[1]字段!H:I,2,0))</f>
        <v>1.0倍人力</v>
      </c>
      <c r="AZ746" s="31">
        <f t="shared" si="83"/>
        <v>0</v>
      </c>
      <c r="BA746" s="31">
        <f t="shared" si="80"/>
        <v>0</v>
      </c>
      <c r="BB746" s="31">
        <f t="shared" si="81"/>
        <v>0</v>
      </c>
      <c r="BC746" s="31">
        <f t="shared" si="84"/>
        <v>0</v>
      </c>
    </row>
    <row r="747" spans="1:55" ht="28.5" customHeight="1">
      <c r="A747" s="32"/>
      <c r="B747" s="32"/>
      <c r="C747" s="41"/>
      <c r="D747" s="42"/>
      <c r="E747" s="39" t="s">
        <v>59</v>
      </c>
      <c r="F747" s="39" t="s">
        <v>60</v>
      </c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  <c r="AA747" s="29"/>
      <c r="AB747" s="29"/>
      <c r="AC747" s="29"/>
      <c r="AD747" s="29"/>
      <c r="AE747" s="29"/>
      <c r="AJ747"/>
      <c r="AK747"/>
      <c r="AL747"/>
      <c r="AM747"/>
      <c r="AN747"/>
      <c r="AO747"/>
      <c r="AP747"/>
      <c r="AQ747"/>
      <c r="AR747"/>
      <c r="AS747"/>
      <c r="AT747" s="4" t="str">
        <f t="shared" si="82"/>
        <v>1.0倍人力住房公积金</v>
      </c>
      <c r="AU747" s="4" t="str">
        <f t="shared" si="78"/>
        <v>个金风险部</v>
      </c>
      <c r="AV747" s="4" t="str">
        <f t="shared" si="79"/>
        <v>人力费用</v>
      </c>
      <c r="AW747" s="4" t="str">
        <f>IFERROR(VLOOKUP(AV747,[1]字段!A:B,2,0),"")</f>
        <v>人力费用</v>
      </c>
      <c r="AX747" s="30" t="str">
        <f>IF(AW747="人力费用",IF(E747="","",VLOOKUP(E747,[1]字段!D:E,2,0)),AW747)</f>
        <v>1.0倍人力</v>
      </c>
      <c r="AY747" s="30" t="str">
        <f>IF(AT747="","",VLOOKUP(AT747,[1]字段!H:I,2,0))</f>
        <v>1.0倍人力</v>
      </c>
      <c r="AZ747" s="31">
        <f t="shared" si="83"/>
        <v>0</v>
      </c>
      <c r="BA747" s="31">
        <f t="shared" si="80"/>
        <v>0</v>
      </c>
      <c r="BB747" s="31">
        <f t="shared" si="81"/>
        <v>0</v>
      </c>
      <c r="BC747" s="31">
        <f t="shared" si="84"/>
        <v>0</v>
      </c>
    </row>
    <row r="748" spans="1:55" ht="28.5" customHeight="1">
      <c r="C748" s="33" t="s">
        <v>162</v>
      </c>
      <c r="D748" s="34" t="s">
        <v>163</v>
      </c>
      <c r="E748" s="35"/>
      <c r="F748" s="36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  <c r="AA748" s="29"/>
      <c r="AB748" s="29"/>
      <c r="AC748" s="29"/>
      <c r="AD748" s="29"/>
      <c r="AE748" s="29"/>
      <c r="AJ748"/>
      <c r="AK748"/>
      <c r="AL748"/>
      <c r="AM748"/>
      <c r="AN748"/>
      <c r="AO748"/>
      <c r="AP748"/>
      <c r="AQ748"/>
      <c r="AR748"/>
      <c r="AS748"/>
      <c r="AT748" s="4" t="str">
        <f t="shared" si="82"/>
        <v>运营费用</v>
      </c>
      <c r="AU748" s="4" t="str">
        <f t="shared" si="78"/>
        <v>个金风险部</v>
      </c>
      <c r="AV748" s="4" t="str">
        <f t="shared" si="79"/>
        <v>运营费用</v>
      </c>
      <c r="AW748" s="4" t="str">
        <f>IFERROR(VLOOKUP(AV748,[1]字段!A:B,2,0),"")</f>
        <v>运营费用</v>
      </c>
      <c r="AX748" s="30" t="str">
        <f>IF(AW748="人力费用",IF(E748="","",VLOOKUP(E748,[1]字段!D:E,2,0)),AW748)</f>
        <v>运营费用</v>
      </c>
      <c r="AY748" s="30">
        <f>IF(AT748="","",VLOOKUP(AT748,[1]字段!H:I,2,0))</f>
        <v>0</v>
      </c>
      <c r="AZ748" s="31">
        <f t="shared" si="83"/>
        <v>0</v>
      </c>
      <c r="BA748" s="31">
        <f t="shared" si="80"/>
        <v>0</v>
      </c>
      <c r="BB748" s="31">
        <f t="shared" si="81"/>
        <v>0</v>
      </c>
      <c r="BC748" s="31">
        <f t="shared" si="84"/>
        <v>0</v>
      </c>
    </row>
    <row r="749" spans="1:55" ht="28.5" customHeight="1">
      <c r="A749" s="32"/>
      <c r="B749" s="32"/>
      <c r="C749" s="37"/>
      <c r="D749" s="38"/>
      <c r="E749" s="39" t="s">
        <v>170</v>
      </c>
      <c r="F749" s="39" t="s">
        <v>171</v>
      </c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  <c r="AA749" s="29"/>
      <c r="AB749" s="29"/>
      <c r="AC749" s="29"/>
      <c r="AD749" s="29"/>
      <c r="AE749" s="29"/>
      <c r="AJ749"/>
      <c r="AK749"/>
      <c r="AL749"/>
      <c r="AM749"/>
      <c r="AN749"/>
      <c r="AO749"/>
      <c r="AP749"/>
      <c r="AQ749"/>
      <c r="AR749"/>
      <c r="AS749"/>
      <c r="AT749" s="4" t="str">
        <f t="shared" si="82"/>
        <v>运营费用技术服务费</v>
      </c>
      <c r="AU749" s="4" t="str">
        <f t="shared" si="78"/>
        <v>个金风险部</v>
      </c>
      <c r="AV749" s="4" t="str">
        <f t="shared" si="79"/>
        <v>运营费用</v>
      </c>
      <c r="AW749" s="4" t="str">
        <f>IFERROR(VLOOKUP(AV749,[1]字段!A:B,2,0),"")</f>
        <v>运营费用</v>
      </c>
      <c r="AX749" s="30" t="str">
        <f>IF(AW749="人力费用",IF(E749="","",VLOOKUP(E749,[1]字段!D:E,2,0)),AW749)</f>
        <v>运营费用</v>
      </c>
      <c r="AY749" s="30" t="str">
        <f>IF(AT749="","",VLOOKUP(AT749,[1]字段!H:I,2,0))</f>
        <v>运营费用-运营其他</v>
      </c>
      <c r="AZ749" s="31">
        <f t="shared" si="83"/>
        <v>0</v>
      </c>
      <c r="BA749" s="31">
        <f t="shared" si="80"/>
        <v>0</v>
      </c>
      <c r="BB749" s="31">
        <f t="shared" si="81"/>
        <v>0</v>
      </c>
      <c r="BC749" s="31">
        <f t="shared" si="84"/>
        <v>0</v>
      </c>
    </row>
    <row r="750" spans="1:55" ht="28.5" customHeight="1">
      <c r="A750" s="32"/>
      <c r="B750" s="32"/>
      <c r="C750" s="32"/>
      <c r="D750" s="40"/>
      <c r="E750" s="39" t="s">
        <v>172</v>
      </c>
      <c r="F750" s="39" t="s">
        <v>173</v>
      </c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  <c r="AA750" s="29"/>
      <c r="AB750" s="29"/>
      <c r="AC750" s="29"/>
      <c r="AD750" s="29"/>
      <c r="AE750" s="29"/>
      <c r="AJ750"/>
      <c r="AK750"/>
      <c r="AL750"/>
      <c r="AM750"/>
      <c r="AN750"/>
      <c r="AO750"/>
      <c r="AP750"/>
      <c r="AQ750"/>
      <c r="AR750"/>
      <c r="AS750"/>
      <c r="AT750" s="4" t="str">
        <f t="shared" si="82"/>
        <v>运营费用客服费</v>
      </c>
      <c r="AU750" s="4" t="str">
        <f t="shared" si="78"/>
        <v>个金风险部</v>
      </c>
      <c r="AV750" s="4" t="str">
        <f t="shared" si="79"/>
        <v>运营费用</v>
      </c>
      <c r="AW750" s="4" t="str">
        <f>IFERROR(VLOOKUP(AV750,[1]字段!A:B,2,0),"")</f>
        <v>运营费用</v>
      </c>
      <c r="AX750" s="30" t="str">
        <f>IF(AW750="人力费用",IF(E750="","",VLOOKUP(E750,[1]字段!D:E,2,0)),AW750)</f>
        <v>运营费用</v>
      </c>
      <c r="AY750" s="30" t="str">
        <f>IF(AT750="","",VLOOKUP(AT750,[1]字段!H:I,2,0))</f>
        <v>运营费用-客服费</v>
      </c>
      <c r="AZ750" s="31">
        <f t="shared" si="83"/>
        <v>0</v>
      </c>
      <c r="BA750" s="31">
        <f t="shared" si="80"/>
        <v>0</v>
      </c>
      <c r="BB750" s="31">
        <f t="shared" si="81"/>
        <v>0</v>
      </c>
      <c r="BC750" s="31">
        <f t="shared" si="84"/>
        <v>0</v>
      </c>
    </row>
    <row r="751" spans="1:55" ht="28.5" customHeight="1">
      <c r="A751" s="32"/>
      <c r="B751" s="32"/>
      <c r="C751" s="41"/>
      <c r="D751" s="42"/>
      <c r="E751" s="39" t="s">
        <v>83</v>
      </c>
      <c r="F751" s="39" t="s">
        <v>84</v>
      </c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  <c r="AA751" s="29"/>
      <c r="AB751" s="29"/>
      <c r="AC751" s="29"/>
      <c r="AD751" s="29"/>
      <c r="AE751" s="29"/>
      <c r="AJ751"/>
      <c r="AK751"/>
      <c r="AL751"/>
      <c r="AM751"/>
      <c r="AN751"/>
      <c r="AO751"/>
      <c r="AP751"/>
      <c r="AQ751"/>
      <c r="AR751"/>
      <c r="AS751"/>
      <c r="AT751" s="4" t="str">
        <f t="shared" si="82"/>
        <v>运营费用其他外包服务费</v>
      </c>
      <c r="AU751" s="4" t="str">
        <f t="shared" si="78"/>
        <v>个金风险部</v>
      </c>
      <c r="AV751" s="4" t="str">
        <f t="shared" si="79"/>
        <v>运营费用</v>
      </c>
      <c r="AW751" s="4" t="str">
        <f>IFERROR(VLOOKUP(AV751,[1]字段!A:B,2,0),"")</f>
        <v>运营费用</v>
      </c>
      <c r="AX751" s="30" t="str">
        <f>IF(AW751="人力费用",IF(E751="","",VLOOKUP(E751,[1]字段!D:E,2,0)),AW751)</f>
        <v>运营费用</v>
      </c>
      <c r="AY751" s="30" t="str">
        <f>IF(AT751="","",VLOOKUP(AT751,[1]字段!H:I,2,0))</f>
        <v>运营费用-外包服务费</v>
      </c>
      <c r="AZ751" s="31">
        <f t="shared" si="83"/>
        <v>0</v>
      </c>
      <c r="BA751" s="31">
        <f t="shared" si="80"/>
        <v>0</v>
      </c>
      <c r="BB751" s="31">
        <f t="shared" si="81"/>
        <v>0</v>
      </c>
      <c r="BC751" s="31">
        <f t="shared" si="84"/>
        <v>0</v>
      </c>
    </row>
    <row r="752" spans="1:55" ht="28.5" customHeight="1">
      <c r="C752" s="33" t="s">
        <v>65</v>
      </c>
      <c r="D752" s="34" t="s">
        <v>66</v>
      </c>
      <c r="E752" s="35"/>
      <c r="F752" s="36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  <c r="AA752" s="29"/>
      <c r="AB752" s="29"/>
      <c r="AC752" s="29"/>
      <c r="AD752" s="29"/>
      <c r="AE752" s="29"/>
      <c r="AJ752"/>
      <c r="AK752"/>
      <c r="AL752"/>
      <c r="AM752"/>
      <c r="AN752"/>
      <c r="AO752"/>
      <c r="AP752"/>
      <c r="AQ752"/>
      <c r="AR752"/>
      <c r="AS752"/>
      <c r="AT752" s="4" t="str">
        <f t="shared" si="82"/>
        <v>IT费用</v>
      </c>
      <c r="AU752" s="4" t="str">
        <f t="shared" si="78"/>
        <v>个金风险部</v>
      </c>
      <c r="AV752" s="4" t="str">
        <f t="shared" si="79"/>
        <v>IT科技费用</v>
      </c>
      <c r="AW752" s="4" t="str">
        <f>IFERROR(VLOOKUP(AV752,[1]字段!A:B,2,0),"")</f>
        <v>IT费用</v>
      </c>
      <c r="AX752" s="30" t="str">
        <f>IF(AW752="人力费用",IF(E752="","",VLOOKUP(E752,[1]字段!D:E,2,0)),AW752)</f>
        <v>IT费用</v>
      </c>
      <c r="AY752" s="30">
        <f>IF(AT752="","",VLOOKUP(AT752,[1]字段!H:I,2,0))</f>
        <v>0</v>
      </c>
      <c r="AZ752" s="31">
        <f t="shared" si="83"/>
        <v>0</v>
      </c>
      <c r="BA752" s="31">
        <f t="shared" si="80"/>
        <v>0</v>
      </c>
      <c r="BB752" s="31">
        <f t="shared" si="81"/>
        <v>0</v>
      </c>
      <c r="BC752" s="31">
        <f t="shared" si="84"/>
        <v>0</v>
      </c>
    </row>
    <row r="753" spans="1:55" ht="28.5" customHeight="1">
      <c r="A753" s="32"/>
      <c r="B753" s="32"/>
      <c r="C753" s="37"/>
      <c r="D753" s="38"/>
      <c r="E753" s="39" t="s">
        <v>71</v>
      </c>
      <c r="F753" s="39" t="s">
        <v>72</v>
      </c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  <c r="AA753" s="29"/>
      <c r="AB753" s="29"/>
      <c r="AC753" s="29"/>
      <c r="AD753" s="29"/>
      <c r="AE753" s="29"/>
      <c r="AJ753"/>
      <c r="AK753"/>
      <c r="AL753"/>
      <c r="AM753"/>
      <c r="AN753"/>
      <c r="AO753"/>
      <c r="AP753"/>
      <c r="AQ753"/>
      <c r="AR753"/>
      <c r="AS753"/>
      <c r="AT753" s="4" t="str">
        <f t="shared" si="82"/>
        <v>IT费用办公IT设备折旧费</v>
      </c>
      <c r="AU753" s="4" t="str">
        <f t="shared" si="78"/>
        <v>个金风险部</v>
      </c>
      <c r="AV753" s="4" t="str">
        <f t="shared" si="79"/>
        <v>IT科技费用</v>
      </c>
      <c r="AW753" s="4" t="str">
        <f>IFERROR(VLOOKUP(AV753,[1]字段!A:B,2,0),"")</f>
        <v>IT费用</v>
      </c>
      <c r="AX753" s="30" t="str">
        <f>IF(AW753="人力费用",IF(E753="","",VLOOKUP(E753,[1]字段!D:E,2,0)),AW753)</f>
        <v>IT费用</v>
      </c>
      <c r="AY753" s="30" t="str">
        <f>IF(AT753="","",VLOOKUP(AT753,[1]字段!H:I,2,0))</f>
        <v>IT费用</v>
      </c>
      <c r="AZ753" s="31">
        <f t="shared" si="83"/>
        <v>0</v>
      </c>
      <c r="BA753" s="31">
        <f t="shared" si="80"/>
        <v>0</v>
      </c>
      <c r="BB753" s="31">
        <f t="shared" si="81"/>
        <v>0</v>
      </c>
      <c r="BC753" s="31">
        <f t="shared" si="84"/>
        <v>0</v>
      </c>
    </row>
    <row r="754" spans="1:55" ht="28.5" customHeight="1">
      <c r="A754" s="32"/>
      <c r="B754" s="32"/>
      <c r="C754" s="41"/>
      <c r="D754" s="42"/>
      <c r="E754" s="39" t="s">
        <v>73</v>
      </c>
      <c r="F754" s="39" t="s">
        <v>74</v>
      </c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  <c r="AA754" s="29"/>
      <c r="AB754" s="29"/>
      <c r="AC754" s="29"/>
      <c r="AD754" s="29"/>
      <c r="AE754" s="29"/>
      <c r="AJ754"/>
      <c r="AK754"/>
      <c r="AL754"/>
      <c r="AM754"/>
      <c r="AN754"/>
      <c r="AO754"/>
      <c r="AP754"/>
      <c r="AQ754"/>
      <c r="AR754"/>
      <c r="AS754"/>
      <c r="AT754" s="4" t="str">
        <f t="shared" si="82"/>
        <v>IT费用计算机软件摊销</v>
      </c>
      <c r="AU754" s="4" t="str">
        <f t="shared" si="78"/>
        <v>个金风险部</v>
      </c>
      <c r="AV754" s="4" t="str">
        <f t="shared" si="79"/>
        <v>IT科技费用</v>
      </c>
      <c r="AW754" s="4" t="str">
        <f>IFERROR(VLOOKUP(AV754,[1]字段!A:B,2,0),"")</f>
        <v>IT费用</v>
      </c>
      <c r="AX754" s="30" t="str">
        <f>IF(AW754="人力费用",IF(E754="","",VLOOKUP(E754,[1]字段!D:E,2,0)),AW754)</f>
        <v>IT费用</v>
      </c>
      <c r="AY754" s="30" t="str">
        <f>IF(AT754="","",VLOOKUP(AT754,[1]字段!H:I,2,0))</f>
        <v>IT费用</v>
      </c>
      <c r="AZ754" s="31">
        <f t="shared" si="83"/>
        <v>0</v>
      </c>
      <c r="BA754" s="31">
        <f t="shared" si="80"/>
        <v>0</v>
      </c>
      <c r="BB754" s="31">
        <f t="shared" si="81"/>
        <v>0</v>
      </c>
      <c r="BC754" s="31">
        <f t="shared" si="84"/>
        <v>0</v>
      </c>
    </row>
    <row r="755" spans="1:55" ht="28.5" customHeight="1">
      <c r="C755" s="33" t="s">
        <v>93</v>
      </c>
      <c r="D755" s="34" t="s">
        <v>94</v>
      </c>
      <c r="E755" s="35"/>
      <c r="F755" s="36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  <c r="AA755" s="29"/>
      <c r="AB755" s="29"/>
      <c r="AC755" s="29"/>
      <c r="AD755" s="29"/>
      <c r="AE755" s="29"/>
      <c r="AJ755"/>
      <c r="AK755"/>
      <c r="AL755"/>
      <c r="AM755"/>
      <c r="AN755"/>
      <c r="AO755"/>
      <c r="AP755"/>
      <c r="AQ755"/>
      <c r="AR755"/>
      <c r="AS755"/>
      <c r="AT755" s="4" t="str">
        <f t="shared" si="82"/>
        <v>日常费用</v>
      </c>
      <c r="AU755" s="4" t="str">
        <f t="shared" si="78"/>
        <v>个金风险部</v>
      </c>
      <c r="AV755" s="4" t="str">
        <f t="shared" si="79"/>
        <v>日常费用</v>
      </c>
      <c r="AW755" s="4" t="str">
        <f>IFERROR(VLOOKUP(AV755,[1]字段!A:B,2,0),"")</f>
        <v>日常费用</v>
      </c>
      <c r="AX755" s="30" t="str">
        <f>IF(AW755="人力费用",IF(E755="","",VLOOKUP(E755,[1]字段!D:E,2,0)),AW755)</f>
        <v>日常费用</v>
      </c>
      <c r="AY755" s="30">
        <f>IF(AT755="","",VLOOKUP(AT755,[1]字段!H:I,2,0))</f>
        <v>0</v>
      </c>
      <c r="AZ755" s="31">
        <f t="shared" si="83"/>
        <v>0</v>
      </c>
      <c r="BA755" s="31">
        <f t="shared" si="80"/>
        <v>0</v>
      </c>
      <c r="BB755" s="31">
        <f t="shared" si="81"/>
        <v>0</v>
      </c>
      <c r="BC755" s="31">
        <f t="shared" si="84"/>
        <v>0</v>
      </c>
    </row>
    <row r="756" spans="1:55" ht="28.5" customHeight="1">
      <c r="A756" s="32"/>
      <c r="B756" s="32"/>
      <c r="C756" s="43"/>
      <c r="D756" s="43"/>
      <c r="E756" s="39" t="s">
        <v>77</v>
      </c>
      <c r="F756" s="39" t="s">
        <v>78</v>
      </c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  <c r="AA756" s="29"/>
      <c r="AB756" s="29"/>
      <c r="AC756" s="29"/>
      <c r="AD756" s="29"/>
      <c r="AE756" s="29"/>
      <c r="AJ756"/>
      <c r="AK756"/>
      <c r="AL756"/>
      <c r="AM756"/>
      <c r="AN756"/>
      <c r="AO756"/>
      <c r="AP756"/>
      <c r="AQ756"/>
      <c r="AR756"/>
      <c r="AS756"/>
      <c r="AT756" s="4" t="str">
        <f t="shared" si="82"/>
        <v>日常费用咨询费</v>
      </c>
      <c r="AU756" s="4" t="str">
        <f t="shared" si="78"/>
        <v>个金风险部</v>
      </c>
      <c r="AV756" s="4" t="str">
        <f t="shared" si="79"/>
        <v>日常费用</v>
      </c>
      <c r="AW756" s="4" t="str">
        <f>IFERROR(VLOOKUP(AV756,[1]字段!A:B,2,0),"")</f>
        <v>日常费用</v>
      </c>
      <c r="AX756" s="30" t="str">
        <f>IF(AW756="人力费用",IF(E756="","",VLOOKUP(E756,[1]字段!D:E,2,0)),AW756)</f>
        <v>日常费用</v>
      </c>
      <c r="AY756" s="30" t="str">
        <f>IF(AT756="","",VLOOKUP(AT756,[1]字段!H:I,2,0))</f>
        <v>日常费用-咨询费</v>
      </c>
      <c r="AZ756" s="31">
        <f t="shared" si="83"/>
        <v>0</v>
      </c>
      <c r="BA756" s="31">
        <f t="shared" si="80"/>
        <v>0</v>
      </c>
      <c r="BB756" s="31">
        <f t="shared" si="81"/>
        <v>0</v>
      </c>
      <c r="BC756" s="31">
        <f t="shared" si="84"/>
        <v>0</v>
      </c>
    </row>
    <row r="757" spans="1:55" ht="28.5" customHeight="1">
      <c r="A757" s="32"/>
      <c r="B757" s="32"/>
      <c r="C757" s="32"/>
      <c r="D757" s="40"/>
      <c r="E757" s="39" t="s">
        <v>170</v>
      </c>
      <c r="F757" s="39" t="s">
        <v>171</v>
      </c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  <c r="AA757" s="29"/>
      <c r="AB757" s="29"/>
      <c r="AC757" s="29"/>
      <c r="AD757" s="29"/>
      <c r="AE757" s="29"/>
      <c r="AJ757"/>
      <c r="AK757"/>
      <c r="AL757"/>
      <c r="AM757"/>
      <c r="AN757"/>
      <c r="AO757"/>
      <c r="AP757"/>
      <c r="AQ757"/>
      <c r="AR757"/>
      <c r="AS757"/>
      <c r="AT757" s="4" t="str">
        <f t="shared" si="82"/>
        <v>日常费用技术服务费</v>
      </c>
      <c r="AU757" s="4" t="str">
        <f t="shared" si="78"/>
        <v>个金风险部</v>
      </c>
      <c r="AV757" s="4" t="str">
        <f t="shared" si="79"/>
        <v>日常费用</v>
      </c>
      <c r="AW757" s="4" t="str">
        <f>IFERROR(VLOOKUP(AV757,[1]字段!A:B,2,0),"")</f>
        <v>日常费用</v>
      </c>
      <c r="AX757" s="30" t="str">
        <f>IF(AW757="人力费用",IF(E757="","",VLOOKUP(E757,[1]字段!D:E,2,0)),AW757)</f>
        <v>日常费用</v>
      </c>
      <c r="AY757" s="30" t="str">
        <f>IF(AT757="","",VLOOKUP(AT757,[1]字段!H:I,2,0))</f>
        <v>日常费用-其他</v>
      </c>
      <c r="AZ757" s="31">
        <f t="shared" si="83"/>
        <v>0</v>
      </c>
      <c r="BA757" s="31">
        <f t="shared" si="80"/>
        <v>0</v>
      </c>
      <c r="BB757" s="31">
        <f t="shared" si="81"/>
        <v>0</v>
      </c>
      <c r="BC757" s="31">
        <f t="shared" si="84"/>
        <v>0</v>
      </c>
    </row>
    <row r="758" spans="1:55" ht="28.5" customHeight="1">
      <c r="A758" s="32"/>
      <c r="B758" s="32"/>
      <c r="C758" s="32"/>
      <c r="D758" s="40"/>
      <c r="E758" s="39" t="s">
        <v>95</v>
      </c>
      <c r="F758" s="39" t="s">
        <v>96</v>
      </c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  <c r="AA758" s="29"/>
      <c r="AB758" s="29"/>
      <c r="AC758" s="29"/>
      <c r="AD758" s="29"/>
      <c r="AE758" s="29"/>
      <c r="AJ758"/>
      <c r="AK758"/>
      <c r="AL758"/>
      <c r="AM758"/>
      <c r="AN758"/>
      <c r="AO758"/>
      <c r="AP758"/>
      <c r="AQ758"/>
      <c r="AR758"/>
      <c r="AS758"/>
      <c r="AT758" s="4" t="str">
        <f t="shared" si="82"/>
        <v>日常费用业务招待费</v>
      </c>
      <c r="AU758" s="4" t="str">
        <f t="shared" si="78"/>
        <v>个金风险部</v>
      </c>
      <c r="AV758" s="4" t="str">
        <f t="shared" si="79"/>
        <v>日常费用</v>
      </c>
      <c r="AW758" s="4" t="str">
        <f>IFERROR(VLOOKUP(AV758,[1]字段!A:B,2,0),"")</f>
        <v>日常费用</v>
      </c>
      <c r="AX758" s="30" t="str">
        <f>IF(AW758="人力费用",IF(E758="","",VLOOKUP(E758,[1]字段!D:E,2,0)),AW758)</f>
        <v>日常费用</v>
      </c>
      <c r="AY758" s="30" t="str">
        <f>IF(AT758="","",VLOOKUP(AT758,[1]字段!H:I,2,0))</f>
        <v>日常费用-其他</v>
      </c>
      <c r="AZ758" s="31">
        <f t="shared" si="83"/>
        <v>0</v>
      </c>
      <c r="BA758" s="31">
        <f t="shared" si="80"/>
        <v>0</v>
      </c>
      <c r="BB758" s="31">
        <f t="shared" si="81"/>
        <v>0</v>
      </c>
      <c r="BC758" s="31">
        <f t="shared" si="84"/>
        <v>0</v>
      </c>
    </row>
    <row r="759" spans="1:55" ht="28.5" customHeight="1">
      <c r="A759" s="41"/>
      <c r="B759" s="41"/>
      <c r="C759" s="41"/>
      <c r="D759" s="42"/>
      <c r="E759" s="39" t="s">
        <v>139</v>
      </c>
      <c r="F759" s="39" t="s">
        <v>140</v>
      </c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  <c r="AA759" s="29"/>
      <c r="AB759" s="29"/>
      <c r="AC759" s="29"/>
      <c r="AD759" s="29"/>
      <c r="AE759" s="29"/>
      <c r="AJ759"/>
      <c r="AK759"/>
      <c r="AL759"/>
      <c r="AM759"/>
      <c r="AN759"/>
      <c r="AO759"/>
      <c r="AP759"/>
      <c r="AQ759"/>
      <c r="AR759"/>
      <c r="AS759"/>
      <c r="AT759" s="4" t="str">
        <f t="shared" si="82"/>
        <v>日常费用差旅费</v>
      </c>
      <c r="AU759" s="4" t="str">
        <f t="shared" si="78"/>
        <v>个金风险部</v>
      </c>
      <c r="AV759" s="4" t="str">
        <f t="shared" si="79"/>
        <v>日常费用</v>
      </c>
      <c r="AW759" s="4" t="str">
        <f>IFERROR(VLOOKUP(AV759,[1]字段!A:B,2,0),"")</f>
        <v>日常费用</v>
      </c>
      <c r="AX759" s="30" t="str">
        <f>IF(AW759="人力费用",IF(E759="","",VLOOKUP(E759,[1]字段!D:E,2,0)),AW759)</f>
        <v>日常费用</v>
      </c>
      <c r="AY759" s="30" t="str">
        <f>IF(AT759="","",VLOOKUP(AT759,[1]字段!H:I,2,0))</f>
        <v>日常费用-其他</v>
      </c>
      <c r="AZ759" s="31">
        <f t="shared" si="83"/>
        <v>0</v>
      </c>
      <c r="BA759" s="31">
        <f t="shared" si="80"/>
        <v>0</v>
      </c>
      <c r="BB759" s="31">
        <f t="shared" si="81"/>
        <v>0</v>
      </c>
      <c r="BC759" s="31">
        <f t="shared" si="84"/>
        <v>0</v>
      </c>
    </row>
    <row r="760" spans="1:55" ht="28.5" customHeight="1">
      <c r="A760" s="25"/>
      <c r="B760" s="26" t="s">
        <v>196</v>
      </c>
      <c r="C760" s="27"/>
      <c r="D760" s="27"/>
      <c r="E760" s="27"/>
      <c r="F760" s="28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  <c r="AA760" s="29"/>
      <c r="AB760" s="29"/>
      <c r="AC760" s="29"/>
      <c r="AD760" s="29"/>
      <c r="AE760" s="29"/>
      <c r="AJ760"/>
      <c r="AK760"/>
      <c r="AL760"/>
      <c r="AM760"/>
      <c r="AN760"/>
      <c r="AO760"/>
      <c r="AP760"/>
      <c r="AQ760"/>
      <c r="AR760"/>
      <c r="AS760"/>
      <c r="AT760" s="4" t="str">
        <f t="shared" si="82"/>
        <v/>
      </c>
      <c r="AU760" s="4" t="str">
        <f t="shared" si="78"/>
        <v>个金市场部</v>
      </c>
      <c r="AV760" s="4" t="str">
        <f t="shared" si="79"/>
        <v/>
      </c>
      <c r="AW760" s="4" t="str">
        <f>IFERROR(VLOOKUP(AV760,[1]字段!A:B,2,0),"")</f>
        <v/>
      </c>
      <c r="AX760" s="30" t="str">
        <f>IF(AW760="人力费用",IF(E760="","",VLOOKUP(E760,[1]字段!D:E,2,0)),AW760)</f>
        <v/>
      </c>
      <c r="AY760" s="30" t="str">
        <f>IF(AT760="","",VLOOKUP(AT760,[1]字段!H:I,2,0))</f>
        <v/>
      </c>
      <c r="AZ760" s="31">
        <f t="shared" si="83"/>
        <v>0</v>
      </c>
      <c r="BA760" s="31">
        <f t="shared" si="80"/>
        <v>0</v>
      </c>
      <c r="BB760" s="31">
        <f t="shared" si="81"/>
        <v>0</v>
      </c>
      <c r="BC760" s="31">
        <f t="shared" si="84"/>
        <v>0</v>
      </c>
    </row>
    <row r="761" spans="1:55" ht="28.5" customHeight="1">
      <c r="A761" s="32"/>
      <c r="B761" s="32"/>
      <c r="C761" s="33" t="s">
        <v>39</v>
      </c>
      <c r="D761" s="34" t="s">
        <v>40</v>
      </c>
      <c r="E761" s="35"/>
      <c r="F761" s="36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  <c r="AA761" s="29"/>
      <c r="AB761" s="29"/>
      <c r="AC761" s="29"/>
      <c r="AD761" s="29"/>
      <c r="AE761" s="29"/>
      <c r="AJ761"/>
      <c r="AK761"/>
      <c r="AL761"/>
      <c r="AM761"/>
      <c r="AN761"/>
      <c r="AO761"/>
      <c r="AP761"/>
      <c r="AQ761"/>
      <c r="AR761"/>
      <c r="AS761"/>
      <c r="AT761" s="4" t="str">
        <f t="shared" si="82"/>
        <v/>
      </c>
      <c r="AU761" s="4" t="str">
        <f t="shared" si="78"/>
        <v>个金市场部</v>
      </c>
      <c r="AV761" s="4" t="str">
        <f t="shared" si="79"/>
        <v>人力费用</v>
      </c>
      <c r="AW761" s="4" t="str">
        <f>IFERROR(VLOOKUP(AV761,[1]字段!A:B,2,0),"")</f>
        <v>人力费用</v>
      </c>
      <c r="AX761" s="30" t="str">
        <f>IF(AW761="人力费用",IF(E761="","",VLOOKUP(E761,[1]字段!D:E,2,0)),AW761)</f>
        <v/>
      </c>
      <c r="AY761" s="30" t="str">
        <f>IF(AT761="","",VLOOKUP(AT761,[1]字段!H:I,2,0))</f>
        <v/>
      </c>
      <c r="AZ761" s="31">
        <f t="shared" si="83"/>
        <v>0</v>
      </c>
      <c r="BA761" s="31">
        <f t="shared" si="80"/>
        <v>0</v>
      </c>
      <c r="BB761" s="31">
        <f t="shared" si="81"/>
        <v>0</v>
      </c>
      <c r="BC761" s="31">
        <f t="shared" si="84"/>
        <v>0</v>
      </c>
    </row>
    <row r="762" spans="1:55" ht="28.5" customHeight="1">
      <c r="A762" s="32"/>
      <c r="B762" s="32"/>
      <c r="C762" s="37"/>
      <c r="D762" s="38"/>
      <c r="E762" s="39" t="s">
        <v>41</v>
      </c>
      <c r="F762" s="39" t="s">
        <v>42</v>
      </c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  <c r="AA762" s="29"/>
      <c r="AB762" s="29"/>
      <c r="AC762" s="29"/>
      <c r="AD762" s="29"/>
      <c r="AE762" s="29"/>
      <c r="AJ762"/>
      <c r="AK762"/>
      <c r="AL762"/>
      <c r="AM762"/>
      <c r="AN762"/>
      <c r="AO762"/>
      <c r="AP762"/>
      <c r="AQ762"/>
      <c r="AR762"/>
      <c r="AS762"/>
      <c r="AT762" s="4" t="str">
        <f t="shared" si="82"/>
        <v>1.0倍人力基础工资</v>
      </c>
      <c r="AU762" s="4" t="str">
        <f t="shared" si="78"/>
        <v>个金市场部</v>
      </c>
      <c r="AV762" s="4" t="str">
        <f t="shared" si="79"/>
        <v>人力费用</v>
      </c>
      <c r="AW762" s="4" t="str">
        <f>IFERROR(VLOOKUP(AV762,[1]字段!A:B,2,0),"")</f>
        <v>人力费用</v>
      </c>
      <c r="AX762" s="30" t="str">
        <f>IF(AW762="人力费用",IF(E762="","",VLOOKUP(E762,[1]字段!D:E,2,0)),AW762)</f>
        <v>1.0倍人力</v>
      </c>
      <c r="AY762" s="30" t="str">
        <f>IF(AT762="","",VLOOKUP(AT762,[1]字段!H:I,2,0))</f>
        <v>1.0倍人力</v>
      </c>
      <c r="AZ762" s="31">
        <f t="shared" si="83"/>
        <v>0</v>
      </c>
      <c r="BA762" s="31">
        <f t="shared" si="80"/>
        <v>0</v>
      </c>
      <c r="BB762" s="31">
        <f t="shared" si="81"/>
        <v>0</v>
      </c>
      <c r="BC762" s="31">
        <f t="shared" si="84"/>
        <v>0</v>
      </c>
    </row>
    <row r="763" spans="1:55" ht="28.5" customHeight="1">
      <c r="A763" s="32"/>
      <c r="B763" s="32"/>
      <c r="C763" s="32"/>
      <c r="D763" s="40"/>
      <c r="E763" s="39">
        <v>5501010602</v>
      </c>
      <c r="F763" s="3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  <c r="AA763" s="29"/>
      <c r="AB763" s="29"/>
      <c r="AC763" s="29"/>
      <c r="AD763" s="29"/>
      <c r="AE763" s="29"/>
      <c r="AJ763"/>
      <c r="AK763"/>
      <c r="AL763"/>
      <c r="AM763"/>
      <c r="AN763"/>
      <c r="AO763"/>
      <c r="AP763"/>
      <c r="AQ763"/>
      <c r="AR763"/>
      <c r="AS763"/>
      <c r="AT763" s="4" t="str">
        <f t="shared" si="82"/>
        <v>利润分享</v>
      </c>
      <c r="AU763" s="4" t="str">
        <f t="shared" si="78"/>
        <v>个金市场部</v>
      </c>
      <c r="AV763" s="4" t="str">
        <f t="shared" si="79"/>
        <v>人力费用</v>
      </c>
      <c r="AW763" s="4" t="str">
        <f>IFERROR(VLOOKUP(AV763,[1]字段!A:B,2,0),"")</f>
        <v>人力费用</v>
      </c>
      <c r="AX763" s="30" t="str">
        <f>IF(AW763="人力费用",IF(E763="","",VLOOKUP(E763,[1]字段!D:E,2,0)),AW763)</f>
        <v>利润分享</v>
      </c>
      <c r="AY763" s="30" t="str">
        <f>IF(AT763="","",VLOOKUP(AT763,[1]字段!H:I,2,0))</f>
        <v>利润分享</v>
      </c>
      <c r="AZ763" s="31">
        <f t="shared" si="83"/>
        <v>0</v>
      </c>
      <c r="BA763" s="31">
        <f t="shared" si="80"/>
        <v>0</v>
      </c>
      <c r="BB763" s="31">
        <f t="shared" si="81"/>
        <v>0</v>
      </c>
      <c r="BC763" s="31">
        <f t="shared" si="84"/>
        <v>0</v>
      </c>
    </row>
    <row r="764" spans="1:55" ht="28.5" customHeight="1">
      <c r="A764" s="32"/>
      <c r="B764" s="32"/>
      <c r="C764" s="32"/>
      <c r="D764" s="40"/>
      <c r="E764" s="39">
        <v>5501010603</v>
      </c>
      <c r="F764" s="3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  <c r="AA764" s="29"/>
      <c r="AB764" s="29"/>
      <c r="AC764" s="29"/>
      <c r="AD764" s="29"/>
      <c r="AE764" s="29"/>
      <c r="AJ764"/>
      <c r="AK764"/>
      <c r="AL764"/>
      <c r="AM764"/>
      <c r="AN764"/>
      <c r="AO764"/>
      <c r="AP764"/>
      <c r="AQ764"/>
      <c r="AR764"/>
      <c r="AS764"/>
      <c r="AT764" s="4" t="str">
        <f>AX764&amp;F764</f>
        <v>留任奖励</v>
      </c>
      <c r="AU764" s="4" t="str">
        <f t="shared" si="78"/>
        <v>个金市场部</v>
      </c>
      <c r="AV764" s="4" t="str">
        <f t="shared" si="79"/>
        <v>人力费用</v>
      </c>
      <c r="AW764" s="4" t="str">
        <f>IFERROR(VLOOKUP(AV764,[1]字段!A:B,2,0),"")</f>
        <v>人力费用</v>
      </c>
      <c r="AX764" s="30" t="str">
        <f>IF(AW764="人力费用",IF(E764="","",VLOOKUP(E764,[1]字段!D:E,2,0)),AW764)</f>
        <v>留任奖励</v>
      </c>
      <c r="AY764" s="30" t="str">
        <f>IF(AT764="","",VLOOKUP(AT764,[1]字段!H:I,2,0))</f>
        <v>留任奖励</v>
      </c>
      <c r="AZ764" s="31">
        <f t="shared" si="83"/>
        <v>0</v>
      </c>
      <c r="BA764" s="31">
        <f t="shared" si="80"/>
        <v>0</v>
      </c>
      <c r="BB764" s="31">
        <f t="shared" si="81"/>
        <v>0</v>
      </c>
      <c r="BC764" s="31">
        <f t="shared" si="84"/>
        <v>0</v>
      </c>
    </row>
    <row r="765" spans="1:55" ht="28.5" customHeight="1">
      <c r="A765" s="32"/>
      <c r="B765" s="32"/>
      <c r="C765" s="32"/>
      <c r="D765" s="40"/>
      <c r="E765" s="39">
        <v>5501010604</v>
      </c>
      <c r="F765" s="3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  <c r="AA765" s="29"/>
      <c r="AB765" s="29"/>
      <c r="AC765" s="29"/>
      <c r="AD765" s="29"/>
      <c r="AE765" s="29"/>
      <c r="AJ765"/>
      <c r="AK765"/>
      <c r="AL765"/>
      <c r="AM765"/>
      <c r="AN765"/>
      <c r="AO765"/>
      <c r="AP765"/>
      <c r="AQ765"/>
      <c r="AR765"/>
      <c r="AS765"/>
      <c r="AT765" s="4" t="str">
        <f t="shared" si="82"/>
        <v>1.0倍人力</v>
      </c>
      <c r="AU765" s="4" t="str">
        <f t="shared" si="78"/>
        <v>个金市场部</v>
      </c>
      <c r="AV765" s="4" t="str">
        <f t="shared" si="79"/>
        <v>人力费用</v>
      </c>
      <c r="AW765" s="4" t="str">
        <f>IFERROR(VLOOKUP(AV765,[1]字段!A:B,2,0),"")</f>
        <v>人力费用</v>
      </c>
      <c r="AX765" s="30" t="str">
        <f>IF(AW765="人力费用",IF(E765="","",VLOOKUP(E765,[1]字段!D:E,2,0)),AW765)</f>
        <v>1.0倍人力</v>
      </c>
      <c r="AY765" s="30" t="str">
        <f>IF(AT765="","",VLOOKUP(AT765,[1]字段!H:I,2,0))</f>
        <v>1.0倍人力</v>
      </c>
      <c r="AZ765" s="31">
        <f t="shared" si="83"/>
        <v>0</v>
      </c>
      <c r="BA765" s="31">
        <f t="shared" si="80"/>
        <v>0</v>
      </c>
      <c r="BB765" s="31">
        <f t="shared" si="81"/>
        <v>0</v>
      </c>
      <c r="BC765" s="31">
        <f t="shared" si="84"/>
        <v>0</v>
      </c>
    </row>
    <row r="766" spans="1:55" ht="28.5" customHeight="1">
      <c r="A766" s="32"/>
      <c r="B766" s="32"/>
      <c r="C766" s="32"/>
      <c r="D766" s="40"/>
      <c r="E766" s="39" t="s">
        <v>43</v>
      </c>
      <c r="F766" s="39" t="s">
        <v>44</v>
      </c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  <c r="AA766" s="29"/>
      <c r="AB766" s="29"/>
      <c r="AC766" s="29"/>
      <c r="AD766" s="29"/>
      <c r="AE766" s="29"/>
      <c r="AJ766"/>
      <c r="AK766"/>
      <c r="AL766"/>
      <c r="AM766"/>
      <c r="AN766"/>
      <c r="AO766"/>
      <c r="AP766"/>
      <c r="AQ766"/>
      <c r="AR766"/>
      <c r="AS766"/>
      <c r="AT766" s="4" t="str">
        <f t="shared" si="82"/>
        <v>1.0倍人力团队建设费</v>
      </c>
      <c r="AU766" s="4" t="str">
        <f t="shared" si="78"/>
        <v>个金市场部</v>
      </c>
      <c r="AV766" s="4" t="str">
        <f t="shared" si="79"/>
        <v>人力费用</v>
      </c>
      <c r="AW766" s="4" t="str">
        <f>IFERROR(VLOOKUP(AV766,[1]字段!A:B,2,0),"")</f>
        <v>人力费用</v>
      </c>
      <c r="AX766" s="30" t="str">
        <f>IF(AW766="人力费用",IF(E766="","",VLOOKUP(E766,[1]字段!D:E,2,0)),AW766)</f>
        <v>1.0倍人力</v>
      </c>
      <c r="AY766" s="30" t="str">
        <f>IF(AT766="","",VLOOKUP(AT766,[1]字段!H:I,2,0))</f>
        <v>1.0倍人力</v>
      </c>
      <c r="AZ766" s="31">
        <f t="shared" si="83"/>
        <v>0</v>
      </c>
      <c r="BA766" s="31">
        <f t="shared" si="80"/>
        <v>0</v>
      </c>
      <c r="BB766" s="31">
        <f t="shared" si="81"/>
        <v>0</v>
      </c>
      <c r="BC766" s="31">
        <f t="shared" si="84"/>
        <v>0</v>
      </c>
    </row>
    <row r="767" spans="1:55" ht="28.5" customHeight="1">
      <c r="A767" s="32"/>
      <c r="B767" s="32"/>
      <c r="C767" s="32"/>
      <c r="D767" s="40"/>
      <c r="E767" s="39" t="s">
        <v>45</v>
      </c>
      <c r="F767" s="39" t="s">
        <v>46</v>
      </c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  <c r="AA767" s="29"/>
      <c r="AB767" s="29"/>
      <c r="AC767" s="29"/>
      <c r="AD767" s="29"/>
      <c r="AE767" s="29"/>
      <c r="AJ767"/>
      <c r="AK767"/>
      <c r="AL767"/>
      <c r="AM767"/>
      <c r="AN767"/>
      <c r="AO767"/>
      <c r="AP767"/>
      <c r="AQ767"/>
      <c r="AR767"/>
      <c r="AS767"/>
      <c r="AT767" s="4" t="str">
        <f t="shared" si="82"/>
        <v>1.0倍人力其他职工福利费</v>
      </c>
      <c r="AU767" s="4" t="str">
        <f t="shared" si="78"/>
        <v>个金市场部</v>
      </c>
      <c r="AV767" s="4" t="str">
        <f t="shared" si="79"/>
        <v>人力费用</v>
      </c>
      <c r="AW767" s="4" t="str">
        <f>IFERROR(VLOOKUP(AV767,[1]字段!A:B,2,0),"")</f>
        <v>人力费用</v>
      </c>
      <c r="AX767" s="30" t="str">
        <f>IF(AW767="人力费用",IF(E767="","",VLOOKUP(E767,[1]字段!D:E,2,0)),AW767)</f>
        <v>1.0倍人力</v>
      </c>
      <c r="AY767" s="30" t="str">
        <f>IF(AT767="","",VLOOKUP(AT767,[1]字段!H:I,2,0))</f>
        <v>1.0倍人力</v>
      </c>
      <c r="AZ767" s="31">
        <f t="shared" si="83"/>
        <v>0</v>
      </c>
      <c r="BA767" s="31">
        <f t="shared" si="80"/>
        <v>0</v>
      </c>
      <c r="BB767" s="31">
        <f t="shared" si="81"/>
        <v>0</v>
      </c>
      <c r="BC767" s="31">
        <f t="shared" si="84"/>
        <v>0</v>
      </c>
    </row>
    <row r="768" spans="1:55" ht="28.5" customHeight="1">
      <c r="A768" s="32"/>
      <c r="B768" s="32"/>
      <c r="C768" s="32"/>
      <c r="D768" s="40"/>
      <c r="E768" s="39" t="s">
        <v>47</v>
      </c>
      <c r="F768" s="39" t="s">
        <v>48</v>
      </c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  <c r="AA768" s="29"/>
      <c r="AB768" s="29"/>
      <c r="AC768" s="29"/>
      <c r="AD768" s="29"/>
      <c r="AE768" s="29"/>
      <c r="AJ768"/>
      <c r="AK768"/>
      <c r="AL768"/>
      <c r="AM768"/>
      <c r="AN768"/>
      <c r="AO768"/>
      <c r="AP768"/>
      <c r="AQ768"/>
      <c r="AR768"/>
      <c r="AS768"/>
      <c r="AT768" s="4" t="str">
        <f t="shared" si="82"/>
        <v>1.0倍人力工会经费</v>
      </c>
      <c r="AU768" s="4" t="str">
        <f t="shared" si="78"/>
        <v>个金市场部</v>
      </c>
      <c r="AV768" s="4" t="str">
        <f t="shared" si="79"/>
        <v>人力费用</v>
      </c>
      <c r="AW768" s="4" t="str">
        <f>IFERROR(VLOOKUP(AV768,[1]字段!A:B,2,0),"")</f>
        <v>人力费用</v>
      </c>
      <c r="AX768" s="30" t="str">
        <f>IF(AW768="人力费用",IF(E768="","",VLOOKUP(E768,[1]字段!D:E,2,0)),AW768)</f>
        <v>1.0倍人力</v>
      </c>
      <c r="AY768" s="30" t="str">
        <f>IF(AT768="","",VLOOKUP(AT768,[1]字段!H:I,2,0))</f>
        <v>1.0倍人力</v>
      </c>
      <c r="AZ768" s="31">
        <f t="shared" si="83"/>
        <v>0</v>
      </c>
      <c r="BA768" s="31">
        <f t="shared" si="80"/>
        <v>0</v>
      </c>
      <c r="BB768" s="31">
        <f t="shared" si="81"/>
        <v>0</v>
      </c>
      <c r="BC768" s="31">
        <f t="shared" si="84"/>
        <v>0</v>
      </c>
    </row>
    <row r="769" spans="1:55" ht="28.5" customHeight="1">
      <c r="A769" s="32"/>
      <c r="B769" s="32"/>
      <c r="C769" s="32"/>
      <c r="D769" s="40"/>
      <c r="E769" s="39" t="s">
        <v>49</v>
      </c>
      <c r="F769" s="39" t="s">
        <v>50</v>
      </c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  <c r="AA769" s="29"/>
      <c r="AB769" s="29"/>
      <c r="AC769" s="29"/>
      <c r="AD769" s="29"/>
      <c r="AE769" s="29"/>
      <c r="AJ769"/>
      <c r="AK769"/>
      <c r="AL769"/>
      <c r="AM769"/>
      <c r="AN769"/>
      <c r="AO769"/>
      <c r="AP769"/>
      <c r="AQ769"/>
      <c r="AR769"/>
      <c r="AS769"/>
      <c r="AT769" s="4" t="str">
        <f t="shared" si="82"/>
        <v>1.0倍人力基本养老保险</v>
      </c>
      <c r="AU769" s="4" t="str">
        <f t="shared" si="78"/>
        <v>个金市场部</v>
      </c>
      <c r="AV769" s="4" t="str">
        <f t="shared" si="79"/>
        <v>人力费用</v>
      </c>
      <c r="AW769" s="4" t="str">
        <f>IFERROR(VLOOKUP(AV769,[1]字段!A:B,2,0),"")</f>
        <v>人力费用</v>
      </c>
      <c r="AX769" s="30" t="str">
        <f>IF(AW769="人力费用",IF(E769="","",VLOOKUP(E769,[1]字段!D:E,2,0)),AW769)</f>
        <v>1.0倍人力</v>
      </c>
      <c r="AY769" s="30" t="str">
        <f>IF(AT769="","",VLOOKUP(AT769,[1]字段!H:I,2,0))</f>
        <v>1.0倍人力</v>
      </c>
      <c r="AZ769" s="31">
        <f t="shared" si="83"/>
        <v>0</v>
      </c>
      <c r="BA769" s="31">
        <f t="shared" si="80"/>
        <v>0</v>
      </c>
      <c r="BB769" s="31">
        <f t="shared" si="81"/>
        <v>0</v>
      </c>
      <c r="BC769" s="31">
        <f t="shared" si="84"/>
        <v>0</v>
      </c>
    </row>
    <row r="770" spans="1:55" ht="28.5" customHeight="1">
      <c r="A770" s="32"/>
      <c r="B770" s="32"/>
      <c r="C770" s="32"/>
      <c r="D770" s="40"/>
      <c r="E770" s="39" t="s">
        <v>51</v>
      </c>
      <c r="F770" s="39" t="s">
        <v>52</v>
      </c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  <c r="AA770" s="29"/>
      <c r="AB770" s="29"/>
      <c r="AC770" s="29"/>
      <c r="AD770" s="29"/>
      <c r="AE770" s="29"/>
      <c r="AJ770"/>
      <c r="AK770"/>
      <c r="AL770"/>
      <c r="AM770"/>
      <c r="AN770"/>
      <c r="AO770"/>
      <c r="AP770"/>
      <c r="AQ770"/>
      <c r="AR770"/>
      <c r="AS770"/>
      <c r="AT770" s="4" t="str">
        <f t="shared" si="82"/>
        <v>1.0倍人力基本医疗保险</v>
      </c>
      <c r="AU770" s="4" t="str">
        <f t="shared" si="78"/>
        <v>个金市场部</v>
      </c>
      <c r="AV770" s="4" t="str">
        <f t="shared" si="79"/>
        <v>人力费用</v>
      </c>
      <c r="AW770" s="4" t="str">
        <f>IFERROR(VLOOKUP(AV770,[1]字段!A:B,2,0),"")</f>
        <v>人力费用</v>
      </c>
      <c r="AX770" s="30" t="str">
        <f>IF(AW770="人力费用",IF(E770="","",VLOOKUP(E770,[1]字段!D:E,2,0)),AW770)</f>
        <v>1.0倍人力</v>
      </c>
      <c r="AY770" s="30" t="str">
        <f>IF(AT770="","",VLOOKUP(AT770,[1]字段!H:I,2,0))</f>
        <v>1.0倍人力</v>
      </c>
      <c r="AZ770" s="31">
        <f t="shared" si="83"/>
        <v>0</v>
      </c>
      <c r="BA770" s="31">
        <f t="shared" si="80"/>
        <v>0</v>
      </c>
      <c r="BB770" s="31">
        <f t="shared" si="81"/>
        <v>0</v>
      </c>
      <c r="BC770" s="31">
        <f t="shared" si="84"/>
        <v>0</v>
      </c>
    </row>
    <row r="771" spans="1:55" ht="28.5" customHeight="1">
      <c r="A771" s="32"/>
      <c r="B771" s="32"/>
      <c r="C771" s="32"/>
      <c r="D771" s="40"/>
      <c r="E771" s="39" t="s">
        <v>53</v>
      </c>
      <c r="F771" s="39" t="s">
        <v>54</v>
      </c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  <c r="AA771" s="29"/>
      <c r="AB771" s="29"/>
      <c r="AC771" s="29"/>
      <c r="AD771" s="29"/>
      <c r="AE771" s="29"/>
      <c r="AJ771"/>
      <c r="AK771"/>
      <c r="AL771"/>
      <c r="AM771"/>
      <c r="AN771"/>
      <c r="AO771"/>
      <c r="AP771"/>
      <c r="AQ771"/>
      <c r="AR771"/>
      <c r="AS771"/>
      <c r="AT771" s="4" t="str">
        <f t="shared" si="82"/>
        <v>1.0倍人力工伤保险</v>
      </c>
      <c r="AU771" s="4" t="str">
        <f t="shared" si="78"/>
        <v>个金市场部</v>
      </c>
      <c r="AV771" s="4" t="str">
        <f t="shared" si="79"/>
        <v>人力费用</v>
      </c>
      <c r="AW771" s="4" t="str">
        <f>IFERROR(VLOOKUP(AV771,[1]字段!A:B,2,0),"")</f>
        <v>人力费用</v>
      </c>
      <c r="AX771" s="30" t="str">
        <f>IF(AW771="人力费用",IF(E771="","",VLOOKUP(E771,[1]字段!D:E,2,0)),AW771)</f>
        <v>1.0倍人力</v>
      </c>
      <c r="AY771" s="30" t="str">
        <f>IF(AT771="","",VLOOKUP(AT771,[1]字段!H:I,2,0))</f>
        <v>1.0倍人力</v>
      </c>
      <c r="AZ771" s="31">
        <f t="shared" si="83"/>
        <v>0</v>
      </c>
      <c r="BA771" s="31">
        <f t="shared" si="80"/>
        <v>0</v>
      </c>
      <c r="BB771" s="31">
        <f t="shared" si="81"/>
        <v>0</v>
      </c>
      <c r="BC771" s="31">
        <f t="shared" si="84"/>
        <v>0</v>
      </c>
    </row>
    <row r="772" spans="1:55" ht="28.5" customHeight="1">
      <c r="A772" s="32"/>
      <c r="B772" s="32"/>
      <c r="C772" s="32"/>
      <c r="D772" s="40"/>
      <c r="E772" s="39" t="s">
        <v>55</v>
      </c>
      <c r="F772" s="39" t="s">
        <v>56</v>
      </c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  <c r="AA772" s="29"/>
      <c r="AB772" s="29"/>
      <c r="AC772" s="29"/>
      <c r="AD772" s="29"/>
      <c r="AE772" s="29"/>
      <c r="AJ772"/>
      <c r="AK772"/>
      <c r="AL772"/>
      <c r="AM772"/>
      <c r="AN772"/>
      <c r="AO772"/>
      <c r="AP772"/>
      <c r="AQ772"/>
      <c r="AR772"/>
      <c r="AS772"/>
      <c r="AT772" s="4" t="str">
        <f t="shared" si="82"/>
        <v>1.0倍人力生育保险</v>
      </c>
      <c r="AU772" s="4" t="str">
        <f t="shared" si="78"/>
        <v>个金市场部</v>
      </c>
      <c r="AV772" s="4" t="str">
        <f t="shared" si="79"/>
        <v>人力费用</v>
      </c>
      <c r="AW772" s="4" t="str">
        <f>IFERROR(VLOOKUP(AV772,[1]字段!A:B,2,0),"")</f>
        <v>人力费用</v>
      </c>
      <c r="AX772" s="30" t="str">
        <f>IF(AW772="人力费用",IF(E772="","",VLOOKUP(E772,[1]字段!D:E,2,0)),AW772)</f>
        <v>1.0倍人力</v>
      </c>
      <c r="AY772" s="30" t="str">
        <f>IF(AT772="","",VLOOKUP(AT772,[1]字段!H:I,2,0))</f>
        <v>1.0倍人力</v>
      </c>
      <c r="AZ772" s="31">
        <f t="shared" si="83"/>
        <v>0</v>
      </c>
      <c r="BA772" s="31">
        <f t="shared" si="80"/>
        <v>0</v>
      </c>
      <c r="BB772" s="31">
        <f t="shared" si="81"/>
        <v>0</v>
      </c>
      <c r="BC772" s="31">
        <f t="shared" si="84"/>
        <v>0</v>
      </c>
    </row>
    <row r="773" spans="1:55" ht="28.5" customHeight="1">
      <c r="A773" s="32"/>
      <c r="B773" s="32"/>
      <c r="C773" s="32"/>
      <c r="D773" s="40"/>
      <c r="E773" s="39" t="s">
        <v>57</v>
      </c>
      <c r="F773" s="39" t="s">
        <v>58</v>
      </c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  <c r="AA773" s="29"/>
      <c r="AB773" s="29"/>
      <c r="AC773" s="29"/>
      <c r="AD773" s="29"/>
      <c r="AE773" s="29"/>
      <c r="AJ773"/>
      <c r="AK773"/>
      <c r="AL773"/>
      <c r="AM773"/>
      <c r="AN773"/>
      <c r="AO773"/>
      <c r="AP773"/>
      <c r="AQ773"/>
      <c r="AR773"/>
      <c r="AS773"/>
      <c r="AT773" s="4" t="str">
        <f t="shared" si="82"/>
        <v>1.0倍人力失业保险</v>
      </c>
      <c r="AU773" s="4" t="str">
        <f t="shared" ref="AU773:AU836" si="85">IF(B773="",AU772,B773)</f>
        <v>个金市场部</v>
      </c>
      <c r="AV773" s="4" t="str">
        <f t="shared" ref="AV773:AV836" si="86">IF(B773&lt;&gt;"","",IF(D773="",AV772,D773))</f>
        <v>人力费用</v>
      </c>
      <c r="AW773" s="4" t="str">
        <f>IFERROR(VLOOKUP(AV773,[1]字段!A:B,2,0),"")</f>
        <v>人力费用</v>
      </c>
      <c r="AX773" s="30" t="str">
        <f>IF(AW773="人力费用",IF(E773="","",VLOOKUP(E773,[1]字段!D:E,2,0)),AW773)</f>
        <v>1.0倍人力</v>
      </c>
      <c r="AY773" s="30" t="str">
        <f>IF(AT773="","",VLOOKUP(AT773,[1]字段!H:I,2,0))</f>
        <v>1.0倍人力</v>
      </c>
      <c r="AZ773" s="31">
        <f t="shared" si="83"/>
        <v>0</v>
      </c>
      <c r="BA773" s="31">
        <f t="shared" ref="BA773:BA836" si="87">IF($E773="",0,SUMIF($G$1:$AE$1,BA$4,$G773:$AE773))</f>
        <v>0</v>
      </c>
      <c r="BB773" s="31">
        <f t="shared" ref="BB773:BB836" si="88">AZ773+BA773</f>
        <v>0</v>
      </c>
      <c r="BC773" s="31">
        <f t="shared" si="84"/>
        <v>0</v>
      </c>
    </row>
    <row r="774" spans="1:55" ht="28.5" customHeight="1">
      <c r="A774" s="32"/>
      <c r="B774" s="32"/>
      <c r="C774" s="41"/>
      <c r="D774" s="42"/>
      <c r="E774" s="39" t="s">
        <v>59</v>
      </c>
      <c r="F774" s="39" t="s">
        <v>60</v>
      </c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  <c r="AA774" s="29"/>
      <c r="AB774" s="29"/>
      <c r="AC774" s="29"/>
      <c r="AD774" s="29"/>
      <c r="AE774" s="29"/>
      <c r="AJ774"/>
      <c r="AK774"/>
      <c r="AL774"/>
      <c r="AM774"/>
      <c r="AN774"/>
      <c r="AO774"/>
      <c r="AP774"/>
      <c r="AQ774"/>
      <c r="AR774"/>
      <c r="AS774"/>
      <c r="AT774" s="4" t="str">
        <f t="shared" ref="AT774:AT837" si="89">AX774&amp;F774</f>
        <v>1.0倍人力住房公积金</v>
      </c>
      <c r="AU774" s="4" t="str">
        <f t="shared" si="85"/>
        <v>个金市场部</v>
      </c>
      <c r="AV774" s="4" t="str">
        <f t="shared" si="86"/>
        <v>人力费用</v>
      </c>
      <c r="AW774" s="4" t="str">
        <f>IFERROR(VLOOKUP(AV774,[1]字段!A:B,2,0),"")</f>
        <v>人力费用</v>
      </c>
      <c r="AX774" s="30" t="str">
        <f>IF(AW774="人力费用",IF(E774="","",VLOOKUP(E774,[1]字段!D:E,2,0)),AW774)</f>
        <v>1.0倍人力</v>
      </c>
      <c r="AY774" s="30" t="str">
        <f>IF(AT774="","",VLOOKUP(AT774,[1]字段!H:I,2,0))</f>
        <v>1.0倍人力</v>
      </c>
      <c r="AZ774" s="31">
        <f t="shared" ref="AZ774:AZ837" si="90">IF($E774="",0,SUMIF($G$1:$AB$1,AZ$4,$G774:$AB774))</f>
        <v>0</v>
      </c>
      <c r="BA774" s="31">
        <f t="shared" si="87"/>
        <v>0</v>
      </c>
      <c r="BB774" s="31">
        <f t="shared" si="88"/>
        <v>0</v>
      </c>
      <c r="BC774" s="31">
        <f t="shared" ref="BC774:BC837" si="91">IF(E774="",0,SUM(G774:AE774)-AZ774-BA774)</f>
        <v>0</v>
      </c>
    </row>
    <row r="775" spans="1:55" ht="28.5" customHeight="1">
      <c r="C775" s="33" t="s">
        <v>107</v>
      </c>
      <c r="D775" s="34" t="s">
        <v>108</v>
      </c>
      <c r="E775" s="35"/>
      <c r="F775" s="36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  <c r="AA775" s="29"/>
      <c r="AB775" s="29"/>
      <c r="AC775" s="29"/>
      <c r="AD775" s="29"/>
      <c r="AE775" s="29"/>
      <c r="AJ775"/>
      <c r="AK775"/>
      <c r="AL775"/>
      <c r="AM775"/>
      <c r="AN775"/>
      <c r="AO775"/>
      <c r="AP775"/>
      <c r="AQ775"/>
      <c r="AR775"/>
      <c r="AS775"/>
      <c r="AT775" s="4" t="str">
        <f t="shared" si="89"/>
        <v>营销费用</v>
      </c>
      <c r="AU775" s="4" t="str">
        <f t="shared" si="85"/>
        <v>个金市场部</v>
      </c>
      <c r="AV775" s="4" t="str">
        <f t="shared" si="86"/>
        <v>营销费用</v>
      </c>
      <c r="AW775" s="4" t="str">
        <f>IFERROR(VLOOKUP(AV775,[1]字段!A:B,2,0),"")</f>
        <v>营销费用</v>
      </c>
      <c r="AX775" s="30" t="str">
        <f>IF(AW775="人力费用",IF(E775="","",VLOOKUP(E775,[1]字段!D:E,2,0)),AW775)</f>
        <v>营销费用</v>
      </c>
      <c r="AY775" s="30">
        <f>IF(AT775="","",VLOOKUP(AT775,[1]字段!H:I,2,0))</f>
        <v>0</v>
      </c>
      <c r="AZ775" s="31">
        <f t="shared" si="90"/>
        <v>0</v>
      </c>
      <c r="BA775" s="31">
        <f t="shared" si="87"/>
        <v>0</v>
      </c>
      <c r="BB775" s="31">
        <f t="shared" si="88"/>
        <v>0</v>
      </c>
      <c r="BC775" s="31">
        <f t="shared" si="91"/>
        <v>0</v>
      </c>
    </row>
    <row r="776" spans="1:55" ht="28.5" customHeight="1">
      <c r="A776" s="32"/>
      <c r="B776" s="32"/>
      <c r="C776" s="37"/>
      <c r="D776" s="38"/>
      <c r="E776" s="39" t="s">
        <v>109</v>
      </c>
      <c r="F776" s="39" t="s">
        <v>110</v>
      </c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  <c r="AA776" s="29"/>
      <c r="AB776" s="29"/>
      <c r="AC776" s="29"/>
      <c r="AD776" s="29"/>
      <c r="AE776" s="29"/>
      <c r="AJ776"/>
      <c r="AK776"/>
      <c r="AL776"/>
      <c r="AM776"/>
      <c r="AN776"/>
      <c r="AO776"/>
      <c r="AP776"/>
      <c r="AQ776"/>
      <c r="AR776"/>
      <c r="AS776"/>
      <c r="AT776" s="4" t="str">
        <f t="shared" si="89"/>
        <v>营销费用广告费</v>
      </c>
      <c r="AU776" s="4" t="str">
        <f t="shared" si="85"/>
        <v>个金市场部</v>
      </c>
      <c r="AV776" s="4" t="str">
        <f t="shared" si="86"/>
        <v>营销费用</v>
      </c>
      <c r="AW776" s="4" t="str">
        <f>IFERROR(VLOOKUP(AV776,[1]字段!A:B,2,0),"")</f>
        <v>营销费用</v>
      </c>
      <c r="AX776" s="30" t="str">
        <f>IF(AW776="人力费用",IF(E776="","",VLOOKUP(E776,[1]字段!D:E,2,0)),AW776)</f>
        <v>营销费用</v>
      </c>
      <c r="AY776" s="30" t="str">
        <f>IF(AT776="","",VLOOKUP(AT776,[1]字段!H:I,2,0))</f>
        <v>营销费用</v>
      </c>
      <c r="AZ776" s="31">
        <f t="shared" si="90"/>
        <v>0</v>
      </c>
      <c r="BA776" s="31">
        <f t="shared" si="87"/>
        <v>0</v>
      </c>
      <c r="BB776" s="31">
        <f t="shared" si="88"/>
        <v>0</v>
      </c>
      <c r="BC776" s="31">
        <f t="shared" si="91"/>
        <v>0</v>
      </c>
    </row>
    <row r="777" spans="1:55" ht="28.5" customHeight="1">
      <c r="A777" s="32"/>
      <c r="B777" s="32"/>
      <c r="C777" s="32"/>
      <c r="D777" s="40"/>
      <c r="E777" s="39" t="s">
        <v>181</v>
      </c>
      <c r="F777" s="39" t="s">
        <v>182</v>
      </c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  <c r="AA777" s="29"/>
      <c r="AB777" s="29"/>
      <c r="AC777" s="29"/>
      <c r="AD777" s="29"/>
      <c r="AE777" s="29"/>
      <c r="AJ777"/>
      <c r="AK777"/>
      <c r="AL777"/>
      <c r="AM777"/>
      <c r="AN777"/>
      <c r="AO777"/>
      <c r="AP777"/>
      <c r="AQ777"/>
      <c r="AR777"/>
      <c r="AS777"/>
      <c r="AT777" s="4" t="str">
        <f t="shared" si="89"/>
        <v>营销费用短信费</v>
      </c>
      <c r="AU777" s="4" t="str">
        <f t="shared" si="85"/>
        <v>个金市场部</v>
      </c>
      <c r="AV777" s="4" t="str">
        <f t="shared" si="86"/>
        <v>营销费用</v>
      </c>
      <c r="AW777" s="4" t="str">
        <f>IFERROR(VLOOKUP(AV777,[1]字段!A:B,2,0),"")</f>
        <v>营销费用</v>
      </c>
      <c r="AX777" s="30" t="str">
        <f>IF(AW777="人力费用",IF(E777="","",VLOOKUP(E777,[1]字段!D:E,2,0)),AW777)</f>
        <v>营销费用</v>
      </c>
      <c r="AY777" s="30" t="str">
        <f>IF(AT777="","",VLOOKUP(AT777,[1]字段!H:I,2,0))</f>
        <v>营销费用</v>
      </c>
      <c r="AZ777" s="31">
        <f t="shared" si="90"/>
        <v>0</v>
      </c>
      <c r="BA777" s="31">
        <f t="shared" si="87"/>
        <v>0</v>
      </c>
      <c r="BB777" s="31">
        <f t="shared" si="88"/>
        <v>0</v>
      </c>
      <c r="BC777" s="31">
        <f t="shared" si="91"/>
        <v>0</v>
      </c>
    </row>
    <row r="778" spans="1:55" ht="28.5" customHeight="1">
      <c r="A778" s="32"/>
      <c r="B778" s="32"/>
      <c r="C778" s="41"/>
      <c r="D778" s="42"/>
      <c r="E778" s="39" t="s">
        <v>111</v>
      </c>
      <c r="F778" s="39" t="s">
        <v>112</v>
      </c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  <c r="AA778" s="29"/>
      <c r="AB778" s="29"/>
      <c r="AC778" s="29"/>
      <c r="AD778" s="29"/>
      <c r="AE778" s="29"/>
      <c r="AJ778"/>
      <c r="AK778"/>
      <c r="AL778"/>
      <c r="AM778"/>
      <c r="AN778"/>
      <c r="AO778"/>
      <c r="AP778"/>
      <c r="AQ778"/>
      <c r="AR778"/>
      <c r="AS778"/>
      <c r="AT778" s="4" t="str">
        <f t="shared" si="89"/>
        <v>营销费用业务宣传费</v>
      </c>
      <c r="AU778" s="4" t="str">
        <f t="shared" si="85"/>
        <v>个金市场部</v>
      </c>
      <c r="AV778" s="4" t="str">
        <f t="shared" si="86"/>
        <v>营销费用</v>
      </c>
      <c r="AW778" s="4" t="str">
        <f>IFERROR(VLOOKUP(AV778,[1]字段!A:B,2,0),"")</f>
        <v>营销费用</v>
      </c>
      <c r="AX778" s="30" t="str">
        <f>IF(AW778="人力费用",IF(E778="","",VLOOKUP(E778,[1]字段!D:E,2,0)),AW778)</f>
        <v>营销费用</v>
      </c>
      <c r="AY778" s="30" t="str">
        <f>IF(AT778="","",VLOOKUP(AT778,[1]字段!H:I,2,0))</f>
        <v>营销费用</v>
      </c>
      <c r="AZ778" s="31">
        <f t="shared" si="90"/>
        <v>0</v>
      </c>
      <c r="BA778" s="31">
        <f t="shared" si="87"/>
        <v>0</v>
      </c>
      <c r="BB778" s="31">
        <f t="shared" si="88"/>
        <v>0</v>
      </c>
      <c r="BC778" s="31">
        <f t="shared" si="91"/>
        <v>0</v>
      </c>
    </row>
    <row r="779" spans="1:55" ht="28.5" customHeight="1">
      <c r="C779" s="33" t="s">
        <v>162</v>
      </c>
      <c r="D779" s="34" t="s">
        <v>163</v>
      </c>
      <c r="E779" s="35"/>
      <c r="F779" s="36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  <c r="AA779" s="29"/>
      <c r="AB779" s="29"/>
      <c r="AC779" s="29"/>
      <c r="AD779" s="29"/>
      <c r="AE779" s="29"/>
      <c r="AJ779"/>
      <c r="AK779"/>
      <c r="AL779"/>
      <c r="AM779"/>
      <c r="AN779"/>
      <c r="AO779"/>
      <c r="AP779"/>
      <c r="AQ779"/>
      <c r="AR779"/>
      <c r="AS779"/>
      <c r="AT779" s="4" t="str">
        <f t="shared" si="89"/>
        <v>运营费用</v>
      </c>
      <c r="AU779" s="4" t="str">
        <f t="shared" si="85"/>
        <v>个金市场部</v>
      </c>
      <c r="AV779" s="4" t="str">
        <f t="shared" si="86"/>
        <v>运营费用</v>
      </c>
      <c r="AW779" s="4" t="str">
        <f>IFERROR(VLOOKUP(AV779,[1]字段!A:B,2,0),"")</f>
        <v>运营费用</v>
      </c>
      <c r="AX779" s="30" t="str">
        <f>IF(AW779="人力费用",IF(E779="","",VLOOKUP(E779,[1]字段!D:E,2,0)),AW779)</f>
        <v>运营费用</v>
      </c>
      <c r="AY779" s="30">
        <f>IF(AT779="","",VLOOKUP(AT779,[1]字段!H:I,2,0))</f>
        <v>0</v>
      </c>
      <c r="AZ779" s="31">
        <f t="shared" si="90"/>
        <v>0</v>
      </c>
      <c r="BA779" s="31">
        <f t="shared" si="87"/>
        <v>0</v>
      </c>
      <c r="BB779" s="31">
        <f t="shared" si="88"/>
        <v>0</v>
      </c>
      <c r="BC779" s="31">
        <f t="shared" si="91"/>
        <v>0</v>
      </c>
    </row>
    <row r="780" spans="1:55" ht="28.5" customHeight="1">
      <c r="A780" s="32"/>
      <c r="B780" s="32"/>
      <c r="C780" s="43"/>
      <c r="D780" s="43"/>
      <c r="E780" s="39" t="s">
        <v>83</v>
      </c>
      <c r="F780" s="39" t="s">
        <v>84</v>
      </c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  <c r="AA780" s="29"/>
      <c r="AB780" s="29"/>
      <c r="AC780" s="29"/>
      <c r="AD780" s="29"/>
      <c r="AE780" s="29"/>
      <c r="AJ780"/>
      <c r="AK780"/>
      <c r="AL780"/>
      <c r="AM780"/>
      <c r="AN780"/>
      <c r="AO780"/>
      <c r="AP780"/>
      <c r="AQ780"/>
      <c r="AR780"/>
      <c r="AS780"/>
      <c r="AT780" s="4" t="str">
        <f t="shared" si="89"/>
        <v>运营费用其他外包服务费</v>
      </c>
      <c r="AU780" s="4" t="str">
        <f t="shared" si="85"/>
        <v>个金市场部</v>
      </c>
      <c r="AV780" s="4" t="str">
        <f t="shared" si="86"/>
        <v>运营费用</v>
      </c>
      <c r="AW780" s="4" t="str">
        <f>IFERROR(VLOOKUP(AV780,[1]字段!A:B,2,0),"")</f>
        <v>运营费用</v>
      </c>
      <c r="AX780" s="30" t="str">
        <f>IF(AW780="人力费用",IF(E780="","",VLOOKUP(E780,[1]字段!D:E,2,0)),AW780)</f>
        <v>运营费用</v>
      </c>
      <c r="AY780" s="30" t="str">
        <f>IF(AT780="","",VLOOKUP(AT780,[1]字段!H:I,2,0))</f>
        <v>运营费用-外包服务费</v>
      </c>
      <c r="AZ780" s="31">
        <f t="shared" si="90"/>
        <v>0</v>
      </c>
      <c r="BA780" s="31">
        <f t="shared" si="87"/>
        <v>0</v>
      </c>
      <c r="BB780" s="31">
        <f t="shared" si="88"/>
        <v>0</v>
      </c>
      <c r="BC780" s="31">
        <f t="shared" si="91"/>
        <v>0</v>
      </c>
    </row>
    <row r="781" spans="1:55" ht="28.5" customHeight="1">
      <c r="C781" s="33" t="s">
        <v>65</v>
      </c>
      <c r="D781" s="34" t="s">
        <v>66</v>
      </c>
      <c r="E781" s="35"/>
      <c r="F781" s="36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  <c r="AA781" s="29"/>
      <c r="AB781" s="29"/>
      <c r="AC781" s="29"/>
      <c r="AD781" s="29"/>
      <c r="AE781" s="29"/>
      <c r="AJ781"/>
      <c r="AK781"/>
      <c r="AL781"/>
      <c r="AM781"/>
      <c r="AN781"/>
      <c r="AO781"/>
      <c r="AP781"/>
      <c r="AQ781"/>
      <c r="AR781"/>
      <c r="AS781"/>
      <c r="AT781" s="4" t="str">
        <f t="shared" si="89"/>
        <v>IT费用</v>
      </c>
      <c r="AU781" s="4" t="str">
        <f t="shared" si="85"/>
        <v>个金市场部</v>
      </c>
      <c r="AV781" s="4" t="str">
        <f t="shared" si="86"/>
        <v>IT科技费用</v>
      </c>
      <c r="AW781" s="4" t="str">
        <f>IFERROR(VLOOKUP(AV781,[1]字段!A:B,2,0),"")</f>
        <v>IT费用</v>
      </c>
      <c r="AX781" s="30" t="str">
        <f>IF(AW781="人力费用",IF(E781="","",VLOOKUP(E781,[1]字段!D:E,2,0)),AW781)</f>
        <v>IT费用</v>
      </c>
      <c r="AY781" s="30">
        <f>IF(AT781="","",VLOOKUP(AT781,[1]字段!H:I,2,0))</f>
        <v>0</v>
      </c>
      <c r="AZ781" s="31">
        <f t="shared" si="90"/>
        <v>0</v>
      </c>
      <c r="BA781" s="31">
        <f t="shared" si="87"/>
        <v>0</v>
      </c>
      <c r="BB781" s="31">
        <f t="shared" si="88"/>
        <v>0</v>
      </c>
      <c r="BC781" s="31">
        <f t="shared" si="91"/>
        <v>0</v>
      </c>
    </row>
    <row r="782" spans="1:55" ht="28.5" customHeight="1">
      <c r="A782" s="32"/>
      <c r="B782" s="32"/>
      <c r="C782" s="43"/>
      <c r="D782" s="43"/>
      <c r="E782" s="39" t="s">
        <v>71</v>
      </c>
      <c r="F782" s="39" t="s">
        <v>72</v>
      </c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  <c r="AA782" s="29"/>
      <c r="AB782" s="29"/>
      <c r="AC782" s="29"/>
      <c r="AD782" s="29"/>
      <c r="AE782" s="29"/>
      <c r="AJ782"/>
      <c r="AK782"/>
      <c r="AL782"/>
      <c r="AM782"/>
      <c r="AN782"/>
      <c r="AO782"/>
      <c r="AP782"/>
      <c r="AQ782"/>
      <c r="AR782"/>
      <c r="AS782"/>
      <c r="AT782" s="4" t="str">
        <f t="shared" si="89"/>
        <v>IT费用办公IT设备折旧费</v>
      </c>
      <c r="AU782" s="4" t="str">
        <f t="shared" si="85"/>
        <v>个金市场部</v>
      </c>
      <c r="AV782" s="4" t="str">
        <f t="shared" si="86"/>
        <v>IT科技费用</v>
      </c>
      <c r="AW782" s="4" t="str">
        <f>IFERROR(VLOOKUP(AV782,[1]字段!A:B,2,0),"")</f>
        <v>IT费用</v>
      </c>
      <c r="AX782" s="30" t="str">
        <f>IF(AW782="人力费用",IF(E782="","",VLOOKUP(E782,[1]字段!D:E,2,0)),AW782)</f>
        <v>IT费用</v>
      </c>
      <c r="AY782" s="30" t="str">
        <f>IF(AT782="","",VLOOKUP(AT782,[1]字段!H:I,2,0))</f>
        <v>IT费用</v>
      </c>
      <c r="AZ782" s="31">
        <f t="shared" si="90"/>
        <v>0</v>
      </c>
      <c r="BA782" s="31">
        <f t="shared" si="87"/>
        <v>0</v>
      </c>
      <c r="BB782" s="31">
        <f t="shared" si="88"/>
        <v>0</v>
      </c>
      <c r="BC782" s="31">
        <f t="shared" si="91"/>
        <v>0</v>
      </c>
    </row>
    <row r="783" spans="1:55" ht="28.5" customHeight="1">
      <c r="C783" s="33" t="s">
        <v>93</v>
      </c>
      <c r="D783" s="34" t="s">
        <v>94</v>
      </c>
      <c r="E783" s="35"/>
      <c r="F783" s="36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  <c r="AA783" s="29"/>
      <c r="AB783" s="29"/>
      <c r="AC783" s="29"/>
      <c r="AD783" s="29"/>
      <c r="AE783" s="29"/>
      <c r="AJ783"/>
      <c r="AK783"/>
      <c r="AL783"/>
      <c r="AM783"/>
      <c r="AN783"/>
      <c r="AO783"/>
      <c r="AP783"/>
      <c r="AQ783"/>
      <c r="AR783"/>
      <c r="AS783"/>
      <c r="AT783" s="4" t="str">
        <f t="shared" si="89"/>
        <v>日常费用</v>
      </c>
      <c r="AU783" s="4" t="str">
        <f t="shared" si="85"/>
        <v>个金市场部</v>
      </c>
      <c r="AV783" s="4" t="str">
        <f t="shared" si="86"/>
        <v>日常费用</v>
      </c>
      <c r="AW783" s="4" t="str">
        <f>IFERROR(VLOOKUP(AV783,[1]字段!A:B,2,0),"")</f>
        <v>日常费用</v>
      </c>
      <c r="AX783" s="30" t="str">
        <f>IF(AW783="人力费用",IF(E783="","",VLOOKUP(E783,[1]字段!D:E,2,0)),AW783)</f>
        <v>日常费用</v>
      </c>
      <c r="AY783" s="30">
        <f>IF(AT783="","",VLOOKUP(AT783,[1]字段!H:I,2,0))</f>
        <v>0</v>
      </c>
      <c r="AZ783" s="31">
        <f t="shared" si="90"/>
        <v>0</v>
      </c>
      <c r="BA783" s="31">
        <f t="shared" si="87"/>
        <v>0</v>
      </c>
      <c r="BB783" s="31">
        <f t="shared" si="88"/>
        <v>0</v>
      </c>
      <c r="BC783" s="31">
        <f t="shared" si="91"/>
        <v>0</v>
      </c>
    </row>
    <row r="784" spans="1:55" ht="28.5" customHeight="1">
      <c r="A784" s="32"/>
      <c r="B784" s="32"/>
      <c r="C784" s="37"/>
      <c r="D784" s="38"/>
      <c r="E784" s="39" t="s">
        <v>148</v>
      </c>
      <c r="F784" s="39" t="s">
        <v>149</v>
      </c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  <c r="AA784" s="29"/>
      <c r="AB784" s="29"/>
      <c r="AC784" s="29"/>
      <c r="AD784" s="29"/>
      <c r="AE784" s="29"/>
      <c r="AJ784"/>
      <c r="AK784"/>
      <c r="AL784"/>
      <c r="AM784"/>
      <c r="AN784"/>
      <c r="AO784"/>
      <c r="AP784"/>
      <c r="AQ784"/>
      <c r="AR784"/>
      <c r="AS784"/>
      <c r="AT784" s="4" t="str">
        <f t="shared" si="89"/>
        <v>日常费用商标摊销</v>
      </c>
      <c r="AU784" s="4" t="str">
        <f t="shared" si="85"/>
        <v>个金市场部</v>
      </c>
      <c r="AV784" s="4" t="str">
        <f t="shared" si="86"/>
        <v>日常费用</v>
      </c>
      <c r="AW784" s="4" t="str">
        <f>IFERROR(VLOOKUP(AV784,[1]字段!A:B,2,0),"")</f>
        <v>日常费用</v>
      </c>
      <c r="AX784" s="30" t="str">
        <f>IF(AW784="人力费用",IF(E784="","",VLOOKUP(E784,[1]字段!D:E,2,0)),AW784)</f>
        <v>日常费用</v>
      </c>
      <c r="AY784" s="30" t="str">
        <f>IF(AT784="","",VLOOKUP(AT784,[1]字段!H:I,2,0))</f>
        <v>日常费用-其他</v>
      </c>
      <c r="AZ784" s="31">
        <f t="shared" si="90"/>
        <v>0</v>
      </c>
      <c r="BA784" s="31">
        <f t="shared" si="87"/>
        <v>0</v>
      </c>
      <c r="BB784" s="31">
        <f t="shared" si="88"/>
        <v>0</v>
      </c>
      <c r="BC784" s="31">
        <f t="shared" si="91"/>
        <v>0</v>
      </c>
    </row>
    <row r="785" spans="1:55" ht="28.5" customHeight="1">
      <c r="A785" s="32"/>
      <c r="B785" s="32"/>
      <c r="C785" s="32"/>
      <c r="D785" s="40"/>
      <c r="E785" s="39" t="s">
        <v>95</v>
      </c>
      <c r="F785" s="39" t="s">
        <v>96</v>
      </c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  <c r="AA785" s="29"/>
      <c r="AB785" s="29"/>
      <c r="AC785" s="29"/>
      <c r="AD785" s="29"/>
      <c r="AE785" s="29"/>
      <c r="AJ785"/>
      <c r="AK785"/>
      <c r="AL785"/>
      <c r="AM785"/>
      <c r="AN785"/>
      <c r="AO785"/>
      <c r="AP785"/>
      <c r="AQ785"/>
      <c r="AR785"/>
      <c r="AS785"/>
      <c r="AT785" s="4" t="str">
        <f t="shared" si="89"/>
        <v>日常费用业务招待费</v>
      </c>
      <c r="AU785" s="4" t="str">
        <f t="shared" si="85"/>
        <v>个金市场部</v>
      </c>
      <c r="AV785" s="4" t="str">
        <f t="shared" si="86"/>
        <v>日常费用</v>
      </c>
      <c r="AW785" s="4" t="str">
        <f>IFERROR(VLOOKUP(AV785,[1]字段!A:B,2,0),"")</f>
        <v>日常费用</v>
      </c>
      <c r="AX785" s="30" t="str">
        <f>IF(AW785="人力费用",IF(E785="","",VLOOKUP(E785,[1]字段!D:E,2,0)),AW785)</f>
        <v>日常费用</v>
      </c>
      <c r="AY785" s="30" t="str">
        <f>IF(AT785="","",VLOOKUP(AT785,[1]字段!H:I,2,0))</f>
        <v>日常费用-其他</v>
      </c>
      <c r="AZ785" s="31">
        <f t="shared" si="90"/>
        <v>0</v>
      </c>
      <c r="BA785" s="31">
        <f t="shared" si="87"/>
        <v>0</v>
      </c>
      <c r="BB785" s="31">
        <f t="shared" si="88"/>
        <v>0</v>
      </c>
      <c r="BC785" s="31">
        <f t="shared" si="91"/>
        <v>0</v>
      </c>
    </row>
    <row r="786" spans="1:55" ht="28.5" customHeight="1">
      <c r="A786" s="32"/>
      <c r="B786" s="32"/>
      <c r="C786" s="32"/>
      <c r="D786" s="40"/>
      <c r="E786" s="39" t="s">
        <v>139</v>
      </c>
      <c r="F786" s="39" t="s">
        <v>140</v>
      </c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  <c r="AA786" s="29"/>
      <c r="AB786" s="29"/>
      <c r="AC786" s="29"/>
      <c r="AD786" s="29"/>
      <c r="AE786" s="29"/>
      <c r="AJ786"/>
      <c r="AK786"/>
      <c r="AL786"/>
      <c r="AM786"/>
      <c r="AN786"/>
      <c r="AO786"/>
      <c r="AP786"/>
      <c r="AQ786"/>
      <c r="AR786"/>
      <c r="AS786"/>
      <c r="AT786" s="4" t="str">
        <f t="shared" si="89"/>
        <v>日常费用差旅费</v>
      </c>
      <c r="AU786" s="4" t="str">
        <f t="shared" si="85"/>
        <v>个金市场部</v>
      </c>
      <c r="AV786" s="4" t="str">
        <f t="shared" si="86"/>
        <v>日常费用</v>
      </c>
      <c r="AW786" s="4" t="str">
        <f>IFERROR(VLOOKUP(AV786,[1]字段!A:B,2,0),"")</f>
        <v>日常费用</v>
      </c>
      <c r="AX786" s="30" t="str">
        <f>IF(AW786="人力费用",IF(E786="","",VLOOKUP(E786,[1]字段!D:E,2,0)),AW786)</f>
        <v>日常费用</v>
      </c>
      <c r="AY786" s="30" t="str">
        <f>IF(AT786="","",VLOOKUP(AT786,[1]字段!H:I,2,0))</f>
        <v>日常费用-其他</v>
      </c>
      <c r="AZ786" s="31">
        <f t="shared" si="90"/>
        <v>0</v>
      </c>
      <c r="BA786" s="31">
        <f t="shared" si="87"/>
        <v>0</v>
      </c>
      <c r="BB786" s="31">
        <f t="shared" si="88"/>
        <v>0</v>
      </c>
      <c r="BC786" s="31">
        <f t="shared" si="91"/>
        <v>0</v>
      </c>
    </row>
    <row r="787" spans="1:55" ht="28.5" customHeight="1">
      <c r="A787" s="41"/>
      <c r="B787" s="41"/>
      <c r="C787" s="41"/>
      <c r="D787" s="42"/>
      <c r="E787" s="39" t="s">
        <v>104</v>
      </c>
      <c r="F787" s="39" t="s">
        <v>105</v>
      </c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  <c r="AA787" s="29"/>
      <c r="AB787" s="29"/>
      <c r="AC787" s="29"/>
      <c r="AD787" s="29"/>
      <c r="AE787" s="29"/>
      <c r="AJ787"/>
      <c r="AK787"/>
      <c r="AL787"/>
      <c r="AM787"/>
      <c r="AN787"/>
      <c r="AO787"/>
      <c r="AP787"/>
      <c r="AQ787"/>
      <c r="AR787"/>
      <c r="AS787"/>
      <c r="AT787" s="4" t="str">
        <f t="shared" si="89"/>
        <v>日常费用会议费</v>
      </c>
      <c r="AU787" s="4" t="str">
        <f t="shared" si="85"/>
        <v>个金市场部</v>
      </c>
      <c r="AV787" s="4" t="str">
        <f t="shared" si="86"/>
        <v>日常费用</v>
      </c>
      <c r="AW787" s="4" t="str">
        <f>IFERROR(VLOOKUP(AV787,[1]字段!A:B,2,0),"")</f>
        <v>日常费用</v>
      </c>
      <c r="AX787" s="30" t="str">
        <f>IF(AW787="人力费用",IF(E787="","",VLOOKUP(E787,[1]字段!D:E,2,0)),AW787)</f>
        <v>日常费用</v>
      </c>
      <c r="AY787" s="30" t="str">
        <f>IF(AT787="","",VLOOKUP(AT787,[1]字段!H:I,2,0))</f>
        <v>日常费用-其他</v>
      </c>
      <c r="AZ787" s="31">
        <f t="shared" si="90"/>
        <v>0</v>
      </c>
      <c r="BA787" s="31">
        <f t="shared" si="87"/>
        <v>0</v>
      </c>
      <c r="BB787" s="31">
        <f t="shared" si="88"/>
        <v>0</v>
      </c>
      <c r="BC787" s="31">
        <f t="shared" si="91"/>
        <v>0</v>
      </c>
    </row>
    <row r="788" spans="1:55" ht="28.5" customHeight="1">
      <c r="A788" s="25"/>
      <c r="B788" s="26" t="s">
        <v>197</v>
      </c>
      <c r="C788" s="27"/>
      <c r="D788" s="27"/>
      <c r="E788" s="27"/>
      <c r="F788" s="28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  <c r="AA788" s="29"/>
      <c r="AB788" s="29"/>
      <c r="AC788" s="29"/>
      <c r="AD788" s="29"/>
      <c r="AE788" s="29"/>
      <c r="AJ788"/>
      <c r="AK788"/>
      <c r="AL788"/>
      <c r="AM788"/>
      <c r="AN788"/>
      <c r="AO788"/>
      <c r="AP788"/>
      <c r="AQ788"/>
      <c r="AR788"/>
      <c r="AS788"/>
      <c r="AT788" s="4" t="str">
        <f t="shared" si="89"/>
        <v/>
      </c>
      <c r="AU788" s="4" t="str">
        <f t="shared" si="85"/>
        <v>个金运营管理部</v>
      </c>
      <c r="AV788" s="4" t="str">
        <f t="shared" si="86"/>
        <v/>
      </c>
      <c r="AW788" s="4" t="str">
        <f>IFERROR(VLOOKUP(AV788,[1]字段!A:B,2,0),"")</f>
        <v/>
      </c>
      <c r="AX788" s="30" t="str">
        <f>IF(AW788="人力费用",IF(E788="","",VLOOKUP(E788,[1]字段!D:E,2,0)),AW788)</f>
        <v/>
      </c>
      <c r="AY788" s="30" t="str">
        <f>IF(AT788="","",VLOOKUP(AT788,[1]字段!H:I,2,0))</f>
        <v/>
      </c>
      <c r="AZ788" s="31">
        <f t="shared" si="90"/>
        <v>0</v>
      </c>
      <c r="BA788" s="31">
        <f t="shared" si="87"/>
        <v>0</v>
      </c>
      <c r="BB788" s="31">
        <f t="shared" si="88"/>
        <v>0</v>
      </c>
      <c r="BC788" s="31">
        <f t="shared" si="91"/>
        <v>0</v>
      </c>
    </row>
    <row r="789" spans="1:55" ht="28.5" customHeight="1">
      <c r="A789" s="32"/>
      <c r="B789" s="32"/>
      <c r="C789" s="33" t="s">
        <v>39</v>
      </c>
      <c r="D789" s="34" t="s">
        <v>40</v>
      </c>
      <c r="E789" s="35"/>
      <c r="F789" s="36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  <c r="AA789" s="29"/>
      <c r="AB789" s="29"/>
      <c r="AC789" s="29"/>
      <c r="AD789" s="29"/>
      <c r="AE789" s="29"/>
      <c r="AJ789"/>
      <c r="AK789"/>
      <c r="AL789"/>
      <c r="AM789"/>
      <c r="AN789"/>
      <c r="AO789"/>
      <c r="AP789"/>
      <c r="AQ789"/>
      <c r="AR789"/>
      <c r="AS789"/>
      <c r="AT789" s="4" t="str">
        <f t="shared" si="89"/>
        <v/>
      </c>
      <c r="AU789" s="4" t="str">
        <f t="shared" si="85"/>
        <v>个金运营管理部</v>
      </c>
      <c r="AV789" s="4" t="str">
        <f t="shared" si="86"/>
        <v>人力费用</v>
      </c>
      <c r="AW789" s="4" t="str">
        <f>IFERROR(VLOOKUP(AV789,[1]字段!A:B,2,0),"")</f>
        <v>人力费用</v>
      </c>
      <c r="AX789" s="30" t="str">
        <f>IF(AW789="人力费用",IF(E789="","",VLOOKUP(E789,[1]字段!D:E,2,0)),AW789)</f>
        <v/>
      </c>
      <c r="AY789" s="30" t="str">
        <f>IF(AT789="","",VLOOKUP(AT789,[1]字段!H:I,2,0))</f>
        <v/>
      </c>
      <c r="AZ789" s="31">
        <f t="shared" si="90"/>
        <v>0</v>
      </c>
      <c r="BA789" s="31">
        <f t="shared" si="87"/>
        <v>0</v>
      </c>
      <c r="BB789" s="31">
        <f t="shared" si="88"/>
        <v>0</v>
      </c>
      <c r="BC789" s="31">
        <f t="shared" si="91"/>
        <v>0</v>
      </c>
    </row>
    <row r="790" spans="1:55" ht="28.5" customHeight="1">
      <c r="A790" s="32"/>
      <c r="B790" s="32"/>
      <c r="C790" s="37"/>
      <c r="D790" s="38"/>
      <c r="E790" s="39" t="s">
        <v>41</v>
      </c>
      <c r="F790" s="39" t="s">
        <v>42</v>
      </c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  <c r="AA790" s="29"/>
      <c r="AB790" s="29"/>
      <c r="AC790" s="29"/>
      <c r="AD790" s="29"/>
      <c r="AE790" s="29"/>
      <c r="AJ790"/>
      <c r="AK790"/>
      <c r="AL790"/>
      <c r="AM790"/>
      <c r="AN790"/>
      <c r="AO790"/>
      <c r="AP790"/>
      <c r="AQ790"/>
      <c r="AR790"/>
      <c r="AS790"/>
      <c r="AT790" s="4" t="str">
        <f t="shared" si="89"/>
        <v>1.0倍人力基础工资</v>
      </c>
      <c r="AU790" s="4" t="str">
        <f t="shared" si="85"/>
        <v>个金运营管理部</v>
      </c>
      <c r="AV790" s="4" t="str">
        <f t="shared" si="86"/>
        <v>人力费用</v>
      </c>
      <c r="AW790" s="4" t="str">
        <f>IFERROR(VLOOKUP(AV790,[1]字段!A:B,2,0),"")</f>
        <v>人力费用</v>
      </c>
      <c r="AX790" s="30" t="str">
        <f>IF(AW790="人力费用",IF(E790="","",VLOOKUP(E790,[1]字段!D:E,2,0)),AW790)</f>
        <v>1.0倍人力</v>
      </c>
      <c r="AY790" s="30" t="str">
        <f>IF(AT790="","",VLOOKUP(AT790,[1]字段!H:I,2,0))</f>
        <v>1.0倍人力</v>
      </c>
      <c r="AZ790" s="31">
        <f t="shared" si="90"/>
        <v>0</v>
      </c>
      <c r="BA790" s="31">
        <f t="shared" si="87"/>
        <v>0</v>
      </c>
      <c r="BB790" s="31">
        <f t="shared" si="88"/>
        <v>0</v>
      </c>
      <c r="BC790" s="31">
        <f t="shared" si="91"/>
        <v>0</v>
      </c>
    </row>
    <row r="791" spans="1:55" ht="28.5" customHeight="1">
      <c r="A791" s="32"/>
      <c r="B791" s="32"/>
      <c r="C791" s="32"/>
      <c r="D791" s="40"/>
      <c r="E791" s="39">
        <v>5501010602</v>
      </c>
      <c r="F791" s="3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  <c r="AA791" s="29"/>
      <c r="AB791" s="29"/>
      <c r="AC791" s="29"/>
      <c r="AD791" s="29"/>
      <c r="AE791" s="29"/>
      <c r="AJ791"/>
      <c r="AK791"/>
      <c r="AL791"/>
      <c r="AM791"/>
      <c r="AN791"/>
      <c r="AO791"/>
      <c r="AP791"/>
      <c r="AQ791"/>
      <c r="AR791"/>
      <c r="AS791"/>
      <c r="AT791" s="4" t="str">
        <f t="shared" si="89"/>
        <v>利润分享</v>
      </c>
      <c r="AU791" s="4" t="str">
        <f t="shared" si="85"/>
        <v>个金运营管理部</v>
      </c>
      <c r="AV791" s="4" t="str">
        <f t="shared" si="86"/>
        <v>人力费用</v>
      </c>
      <c r="AW791" s="4" t="str">
        <f>IFERROR(VLOOKUP(AV791,[1]字段!A:B,2,0),"")</f>
        <v>人力费用</v>
      </c>
      <c r="AX791" s="30" t="str">
        <f>IF(AW791="人力费用",IF(E791="","",VLOOKUP(E791,[1]字段!D:E,2,0)),AW791)</f>
        <v>利润分享</v>
      </c>
      <c r="AY791" s="30" t="str">
        <f>IF(AT791="","",VLOOKUP(AT791,[1]字段!H:I,2,0))</f>
        <v>利润分享</v>
      </c>
      <c r="AZ791" s="31">
        <f t="shared" si="90"/>
        <v>0</v>
      </c>
      <c r="BA791" s="31">
        <f t="shared" si="87"/>
        <v>0</v>
      </c>
      <c r="BB791" s="31">
        <f t="shared" si="88"/>
        <v>0</v>
      </c>
      <c r="BC791" s="31">
        <f t="shared" si="91"/>
        <v>0</v>
      </c>
    </row>
    <row r="792" spans="1:55" ht="28.5" customHeight="1">
      <c r="A792" s="32"/>
      <c r="B792" s="32"/>
      <c r="C792" s="32"/>
      <c r="D792" s="40"/>
      <c r="E792" s="39">
        <v>5501010603</v>
      </c>
      <c r="F792" s="3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  <c r="AA792" s="29"/>
      <c r="AB792" s="29"/>
      <c r="AC792" s="29"/>
      <c r="AD792" s="29"/>
      <c r="AE792" s="29"/>
      <c r="AJ792"/>
      <c r="AK792"/>
      <c r="AL792"/>
      <c r="AM792"/>
      <c r="AN792"/>
      <c r="AO792"/>
      <c r="AP792"/>
      <c r="AQ792"/>
      <c r="AR792"/>
      <c r="AS792"/>
      <c r="AT792" s="4" t="str">
        <f t="shared" si="89"/>
        <v>留任奖励</v>
      </c>
      <c r="AU792" s="4" t="str">
        <f t="shared" si="85"/>
        <v>个金运营管理部</v>
      </c>
      <c r="AV792" s="4" t="str">
        <f t="shared" si="86"/>
        <v>人力费用</v>
      </c>
      <c r="AW792" s="4" t="str">
        <f>IFERROR(VLOOKUP(AV792,[1]字段!A:B,2,0),"")</f>
        <v>人力费用</v>
      </c>
      <c r="AX792" s="30" t="str">
        <f>IF(AW792="人力费用",IF(E792="","",VLOOKUP(E792,[1]字段!D:E,2,0)),AW792)</f>
        <v>留任奖励</v>
      </c>
      <c r="AY792" s="30" t="str">
        <f>IF(AT792="","",VLOOKUP(AT792,[1]字段!H:I,2,0))</f>
        <v>留任奖励</v>
      </c>
      <c r="AZ792" s="31">
        <f t="shared" si="90"/>
        <v>0</v>
      </c>
      <c r="BA792" s="31">
        <f t="shared" si="87"/>
        <v>0</v>
      </c>
      <c r="BB792" s="31">
        <f t="shared" si="88"/>
        <v>0</v>
      </c>
      <c r="BC792" s="31">
        <f t="shared" si="91"/>
        <v>0</v>
      </c>
    </row>
    <row r="793" spans="1:55" ht="28.5" customHeight="1">
      <c r="A793" s="32"/>
      <c r="B793" s="32"/>
      <c r="C793" s="32"/>
      <c r="D793" s="40"/>
      <c r="E793" s="39">
        <v>5501010604</v>
      </c>
      <c r="F793" s="3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  <c r="AA793" s="29"/>
      <c r="AB793" s="29"/>
      <c r="AC793" s="29"/>
      <c r="AD793" s="29"/>
      <c r="AE793" s="29"/>
      <c r="AJ793"/>
      <c r="AK793"/>
      <c r="AL793"/>
      <c r="AM793"/>
      <c r="AN793"/>
      <c r="AO793"/>
      <c r="AP793"/>
      <c r="AQ793"/>
      <c r="AR793"/>
      <c r="AS793"/>
      <c r="AT793" s="4" t="str">
        <f t="shared" si="89"/>
        <v>1.0倍人力</v>
      </c>
      <c r="AU793" s="4" t="str">
        <f t="shared" si="85"/>
        <v>个金运营管理部</v>
      </c>
      <c r="AV793" s="4" t="str">
        <f t="shared" si="86"/>
        <v>人力费用</v>
      </c>
      <c r="AW793" s="4" t="str">
        <f>IFERROR(VLOOKUP(AV793,[1]字段!A:B,2,0),"")</f>
        <v>人力费用</v>
      </c>
      <c r="AX793" s="30" t="str">
        <f>IF(AW793="人力费用",IF(E793="","",VLOOKUP(E793,[1]字段!D:E,2,0)),AW793)</f>
        <v>1.0倍人力</v>
      </c>
      <c r="AY793" s="30" t="str">
        <f>IF(AT793="","",VLOOKUP(AT793,[1]字段!H:I,2,0))</f>
        <v>1.0倍人力</v>
      </c>
      <c r="AZ793" s="31">
        <f t="shared" si="90"/>
        <v>0</v>
      </c>
      <c r="BA793" s="31">
        <f t="shared" si="87"/>
        <v>0</v>
      </c>
      <c r="BB793" s="31">
        <f t="shared" si="88"/>
        <v>0</v>
      </c>
      <c r="BC793" s="31">
        <f t="shared" si="91"/>
        <v>0</v>
      </c>
    </row>
    <row r="794" spans="1:55" ht="28.5" customHeight="1">
      <c r="A794" s="32"/>
      <c r="B794" s="32"/>
      <c r="C794" s="32"/>
      <c r="D794" s="40"/>
      <c r="E794" s="39" t="s">
        <v>43</v>
      </c>
      <c r="F794" s="39" t="s">
        <v>44</v>
      </c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  <c r="AA794" s="29"/>
      <c r="AB794" s="29"/>
      <c r="AC794" s="29"/>
      <c r="AD794" s="29"/>
      <c r="AE794" s="29"/>
      <c r="AJ794"/>
      <c r="AK794"/>
      <c r="AL794"/>
      <c r="AM794"/>
      <c r="AN794"/>
      <c r="AO794"/>
      <c r="AP794"/>
      <c r="AQ794"/>
      <c r="AR794"/>
      <c r="AS794"/>
      <c r="AT794" s="4" t="str">
        <f t="shared" si="89"/>
        <v>1.0倍人力团队建设费</v>
      </c>
      <c r="AU794" s="4" t="str">
        <f t="shared" si="85"/>
        <v>个金运营管理部</v>
      </c>
      <c r="AV794" s="4" t="str">
        <f t="shared" si="86"/>
        <v>人力费用</v>
      </c>
      <c r="AW794" s="4" t="str">
        <f>IFERROR(VLOOKUP(AV794,[1]字段!A:B,2,0),"")</f>
        <v>人力费用</v>
      </c>
      <c r="AX794" s="30" t="str">
        <f>IF(AW794="人力费用",IF(E794="","",VLOOKUP(E794,[1]字段!D:E,2,0)),AW794)</f>
        <v>1.0倍人力</v>
      </c>
      <c r="AY794" s="30" t="str">
        <f>IF(AT794="","",VLOOKUP(AT794,[1]字段!H:I,2,0))</f>
        <v>1.0倍人力</v>
      </c>
      <c r="AZ794" s="31">
        <f t="shared" si="90"/>
        <v>0</v>
      </c>
      <c r="BA794" s="31">
        <f t="shared" si="87"/>
        <v>0</v>
      </c>
      <c r="BB794" s="31">
        <f t="shared" si="88"/>
        <v>0</v>
      </c>
      <c r="BC794" s="31">
        <f t="shared" si="91"/>
        <v>0</v>
      </c>
    </row>
    <row r="795" spans="1:55" ht="28.5" customHeight="1">
      <c r="A795" s="32"/>
      <c r="B795" s="32"/>
      <c r="C795" s="32"/>
      <c r="D795" s="40"/>
      <c r="E795" s="39" t="s">
        <v>45</v>
      </c>
      <c r="F795" s="39" t="s">
        <v>46</v>
      </c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  <c r="AA795" s="29"/>
      <c r="AB795" s="29"/>
      <c r="AC795" s="29"/>
      <c r="AD795" s="29"/>
      <c r="AE795" s="29"/>
      <c r="AJ795"/>
      <c r="AK795"/>
      <c r="AL795"/>
      <c r="AM795"/>
      <c r="AN795"/>
      <c r="AO795"/>
      <c r="AP795"/>
      <c r="AQ795"/>
      <c r="AR795"/>
      <c r="AS795"/>
      <c r="AT795" s="4" t="str">
        <f t="shared" si="89"/>
        <v>1.0倍人力其他职工福利费</v>
      </c>
      <c r="AU795" s="4" t="str">
        <f t="shared" si="85"/>
        <v>个金运营管理部</v>
      </c>
      <c r="AV795" s="4" t="str">
        <f t="shared" si="86"/>
        <v>人力费用</v>
      </c>
      <c r="AW795" s="4" t="str">
        <f>IFERROR(VLOOKUP(AV795,[1]字段!A:B,2,0),"")</f>
        <v>人力费用</v>
      </c>
      <c r="AX795" s="30" t="str">
        <f>IF(AW795="人力费用",IF(E795="","",VLOOKUP(E795,[1]字段!D:E,2,0)),AW795)</f>
        <v>1.0倍人力</v>
      </c>
      <c r="AY795" s="30" t="str">
        <f>IF(AT795="","",VLOOKUP(AT795,[1]字段!H:I,2,0))</f>
        <v>1.0倍人力</v>
      </c>
      <c r="AZ795" s="31">
        <f t="shared" si="90"/>
        <v>0</v>
      </c>
      <c r="BA795" s="31">
        <f t="shared" si="87"/>
        <v>0</v>
      </c>
      <c r="BB795" s="31">
        <f t="shared" si="88"/>
        <v>0</v>
      </c>
      <c r="BC795" s="31">
        <f t="shared" si="91"/>
        <v>0</v>
      </c>
    </row>
    <row r="796" spans="1:55" ht="28.5" customHeight="1">
      <c r="A796" s="32"/>
      <c r="B796" s="32"/>
      <c r="C796" s="32"/>
      <c r="D796" s="40"/>
      <c r="E796" s="39" t="s">
        <v>47</v>
      </c>
      <c r="F796" s="39" t="s">
        <v>48</v>
      </c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  <c r="AA796" s="29"/>
      <c r="AB796" s="29"/>
      <c r="AC796" s="29"/>
      <c r="AD796" s="29"/>
      <c r="AE796" s="29"/>
      <c r="AJ796"/>
      <c r="AK796"/>
      <c r="AL796"/>
      <c r="AM796"/>
      <c r="AN796"/>
      <c r="AO796"/>
      <c r="AP796"/>
      <c r="AQ796"/>
      <c r="AR796"/>
      <c r="AS796"/>
      <c r="AT796" s="4" t="str">
        <f t="shared" si="89"/>
        <v>1.0倍人力工会经费</v>
      </c>
      <c r="AU796" s="4" t="str">
        <f t="shared" si="85"/>
        <v>个金运营管理部</v>
      </c>
      <c r="AV796" s="4" t="str">
        <f t="shared" si="86"/>
        <v>人力费用</v>
      </c>
      <c r="AW796" s="4" t="str">
        <f>IFERROR(VLOOKUP(AV796,[1]字段!A:B,2,0),"")</f>
        <v>人力费用</v>
      </c>
      <c r="AX796" s="30" t="str">
        <f>IF(AW796="人力费用",IF(E796="","",VLOOKUP(E796,[1]字段!D:E,2,0)),AW796)</f>
        <v>1.0倍人力</v>
      </c>
      <c r="AY796" s="30" t="str">
        <f>IF(AT796="","",VLOOKUP(AT796,[1]字段!H:I,2,0))</f>
        <v>1.0倍人力</v>
      </c>
      <c r="AZ796" s="31">
        <f t="shared" si="90"/>
        <v>0</v>
      </c>
      <c r="BA796" s="31">
        <f t="shared" si="87"/>
        <v>0</v>
      </c>
      <c r="BB796" s="31">
        <f t="shared" si="88"/>
        <v>0</v>
      </c>
      <c r="BC796" s="31">
        <f t="shared" si="91"/>
        <v>0</v>
      </c>
    </row>
    <row r="797" spans="1:55" ht="28.5" customHeight="1">
      <c r="A797" s="32"/>
      <c r="B797" s="32"/>
      <c r="C797" s="32"/>
      <c r="D797" s="40"/>
      <c r="E797" s="39" t="s">
        <v>49</v>
      </c>
      <c r="F797" s="39" t="s">
        <v>50</v>
      </c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  <c r="AA797" s="29"/>
      <c r="AB797" s="29"/>
      <c r="AC797" s="29"/>
      <c r="AD797" s="29"/>
      <c r="AE797" s="29"/>
      <c r="AJ797"/>
      <c r="AK797"/>
      <c r="AL797"/>
      <c r="AM797"/>
      <c r="AN797"/>
      <c r="AO797"/>
      <c r="AP797"/>
      <c r="AQ797"/>
      <c r="AR797"/>
      <c r="AS797"/>
      <c r="AT797" s="4" t="str">
        <f t="shared" si="89"/>
        <v>1.0倍人力基本养老保险</v>
      </c>
      <c r="AU797" s="4" t="str">
        <f t="shared" si="85"/>
        <v>个金运营管理部</v>
      </c>
      <c r="AV797" s="4" t="str">
        <f t="shared" si="86"/>
        <v>人力费用</v>
      </c>
      <c r="AW797" s="4" t="str">
        <f>IFERROR(VLOOKUP(AV797,[1]字段!A:B,2,0),"")</f>
        <v>人力费用</v>
      </c>
      <c r="AX797" s="30" t="str">
        <f>IF(AW797="人力费用",IF(E797="","",VLOOKUP(E797,[1]字段!D:E,2,0)),AW797)</f>
        <v>1.0倍人力</v>
      </c>
      <c r="AY797" s="30" t="str">
        <f>IF(AT797="","",VLOOKUP(AT797,[1]字段!H:I,2,0))</f>
        <v>1.0倍人力</v>
      </c>
      <c r="AZ797" s="31">
        <f t="shared" si="90"/>
        <v>0</v>
      </c>
      <c r="BA797" s="31">
        <f t="shared" si="87"/>
        <v>0</v>
      </c>
      <c r="BB797" s="31">
        <f t="shared" si="88"/>
        <v>0</v>
      </c>
      <c r="BC797" s="31">
        <f t="shared" si="91"/>
        <v>0</v>
      </c>
    </row>
    <row r="798" spans="1:55" ht="28.5" customHeight="1">
      <c r="A798" s="32"/>
      <c r="B798" s="32"/>
      <c r="C798" s="32"/>
      <c r="D798" s="40"/>
      <c r="E798" s="39" t="s">
        <v>51</v>
      </c>
      <c r="F798" s="39" t="s">
        <v>52</v>
      </c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  <c r="AA798" s="29"/>
      <c r="AB798" s="29"/>
      <c r="AC798" s="29"/>
      <c r="AD798" s="29"/>
      <c r="AE798" s="29"/>
      <c r="AJ798"/>
      <c r="AK798"/>
      <c r="AL798"/>
      <c r="AM798"/>
      <c r="AN798"/>
      <c r="AO798"/>
      <c r="AP798"/>
      <c r="AQ798"/>
      <c r="AR798"/>
      <c r="AS798"/>
      <c r="AT798" s="4" t="str">
        <f t="shared" si="89"/>
        <v>1.0倍人力基本医疗保险</v>
      </c>
      <c r="AU798" s="4" t="str">
        <f t="shared" si="85"/>
        <v>个金运营管理部</v>
      </c>
      <c r="AV798" s="4" t="str">
        <f t="shared" si="86"/>
        <v>人力费用</v>
      </c>
      <c r="AW798" s="4" t="str">
        <f>IFERROR(VLOOKUP(AV798,[1]字段!A:B,2,0),"")</f>
        <v>人力费用</v>
      </c>
      <c r="AX798" s="30" t="str">
        <f>IF(AW798="人力费用",IF(E798="","",VLOOKUP(E798,[1]字段!D:E,2,0)),AW798)</f>
        <v>1.0倍人力</v>
      </c>
      <c r="AY798" s="30" t="str">
        <f>IF(AT798="","",VLOOKUP(AT798,[1]字段!H:I,2,0))</f>
        <v>1.0倍人力</v>
      </c>
      <c r="AZ798" s="31">
        <f t="shared" si="90"/>
        <v>0</v>
      </c>
      <c r="BA798" s="31">
        <f t="shared" si="87"/>
        <v>0</v>
      </c>
      <c r="BB798" s="31">
        <f t="shared" si="88"/>
        <v>0</v>
      </c>
      <c r="BC798" s="31">
        <f t="shared" si="91"/>
        <v>0</v>
      </c>
    </row>
    <row r="799" spans="1:55" ht="28.5" customHeight="1">
      <c r="A799" s="32"/>
      <c r="B799" s="32"/>
      <c r="C799" s="32"/>
      <c r="D799" s="40"/>
      <c r="E799" s="39" t="s">
        <v>53</v>
      </c>
      <c r="F799" s="39" t="s">
        <v>54</v>
      </c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  <c r="AA799" s="29"/>
      <c r="AB799" s="29"/>
      <c r="AC799" s="29"/>
      <c r="AD799" s="29"/>
      <c r="AE799" s="29"/>
      <c r="AJ799"/>
      <c r="AK799"/>
      <c r="AL799"/>
      <c r="AM799"/>
      <c r="AN799"/>
      <c r="AO799"/>
      <c r="AP799"/>
      <c r="AQ799"/>
      <c r="AR799"/>
      <c r="AS799"/>
      <c r="AT799" s="4" t="str">
        <f t="shared" si="89"/>
        <v>1.0倍人力工伤保险</v>
      </c>
      <c r="AU799" s="4" t="str">
        <f t="shared" si="85"/>
        <v>个金运营管理部</v>
      </c>
      <c r="AV799" s="4" t="str">
        <f t="shared" si="86"/>
        <v>人力费用</v>
      </c>
      <c r="AW799" s="4" t="str">
        <f>IFERROR(VLOOKUP(AV799,[1]字段!A:B,2,0),"")</f>
        <v>人力费用</v>
      </c>
      <c r="AX799" s="30" t="str">
        <f>IF(AW799="人力费用",IF(E799="","",VLOOKUP(E799,[1]字段!D:E,2,0)),AW799)</f>
        <v>1.0倍人力</v>
      </c>
      <c r="AY799" s="30" t="str">
        <f>IF(AT799="","",VLOOKUP(AT799,[1]字段!H:I,2,0))</f>
        <v>1.0倍人力</v>
      </c>
      <c r="AZ799" s="31">
        <f t="shared" si="90"/>
        <v>0</v>
      </c>
      <c r="BA799" s="31">
        <f t="shared" si="87"/>
        <v>0</v>
      </c>
      <c r="BB799" s="31">
        <f t="shared" si="88"/>
        <v>0</v>
      </c>
      <c r="BC799" s="31">
        <f t="shared" si="91"/>
        <v>0</v>
      </c>
    </row>
    <row r="800" spans="1:55" ht="28.5" customHeight="1">
      <c r="A800" s="32"/>
      <c r="B800" s="32"/>
      <c r="C800" s="32"/>
      <c r="D800" s="40"/>
      <c r="E800" s="39" t="s">
        <v>55</v>
      </c>
      <c r="F800" s="39" t="s">
        <v>56</v>
      </c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  <c r="AA800" s="29"/>
      <c r="AB800" s="29"/>
      <c r="AC800" s="29"/>
      <c r="AD800" s="29"/>
      <c r="AE800" s="29"/>
      <c r="AJ800"/>
      <c r="AK800"/>
      <c r="AL800"/>
      <c r="AM800"/>
      <c r="AN800"/>
      <c r="AO800"/>
      <c r="AP800"/>
      <c r="AQ800"/>
      <c r="AR800"/>
      <c r="AS800"/>
      <c r="AT800" s="4" t="str">
        <f t="shared" si="89"/>
        <v>1.0倍人力生育保险</v>
      </c>
      <c r="AU800" s="4" t="str">
        <f t="shared" si="85"/>
        <v>个金运营管理部</v>
      </c>
      <c r="AV800" s="4" t="str">
        <f t="shared" si="86"/>
        <v>人力费用</v>
      </c>
      <c r="AW800" s="4" t="str">
        <f>IFERROR(VLOOKUP(AV800,[1]字段!A:B,2,0),"")</f>
        <v>人力费用</v>
      </c>
      <c r="AX800" s="30" t="str">
        <f>IF(AW800="人力费用",IF(E800="","",VLOOKUP(E800,[1]字段!D:E,2,0)),AW800)</f>
        <v>1.0倍人力</v>
      </c>
      <c r="AY800" s="30" t="str">
        <f>IF(AT800="","",VLOOKUP(AT800,[1]字段!H:I,2,0))</f>
        <v>1.0倍人力</v>
      </c>
      <c r="AZ800" s="31">
        <f t="shared" si="90"/>
        <v>0</v>
      </c>
      <c r="BA800" s="31">
        <f t="shared" si="87"/>
        <v>0</v>
      </c>
      <c r="BB800" s="31">
        <f t="shared" si="88"/>
        <v>0</v>
      </c>
      <c r="BC800" s="31">
        <f t="shared" si="91"/>
        <v>0</v>
      </c>
    </row>
    <row r="801" spans="1:55" ht="28.5" customHeight="1">
      <c r="A801" s="32"/>
      <c r="B801" s="32"/>
      <c r="C801" s="32"/>
      <c r="D801" s="40"/>
      <c r="E801" s="39" t="s">
        <v>57</v>
      </c>
      <c r="F801" s="39" t="s">
        <v>58</v>
      </c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  <c r="AA801" s="29"/>
      <c r="AB801" s="29"/>
      <c r="AC801" s="29"/>
      <c r="AD801" s="29"/>
      <c r="AE801" s="29"/>
      <c r="AJ801"/>
      <c r="AK801"/>
      <c r="AL801"/>
      <c r="AM801"/>
      <c r="AN801"/>
      <c r="AO801"/>
      <c r="AP801"/>
      <c r="AQ801"/>
      <c r="AR801"/>
      <c r="AS801"/>
      <c r="AT801" s="4" t="str">
        <f t="shared" si="89"/>
        <v>1.0倍人力失业保险</v>
      </c>
      <c r="AU801" s="4" t="str">
        <f t="shared" si="85"/>
        <v>个金运营管理部</v>
      </c>
      <c r="AV801" s="4" t="str">
        <f t="shared" si="86"/>
        <v>人力费用</v>
      </c>
      <c r="AW801" s="4" t="str">
        <f>IFERROR(VLOOKUP(AV801,[1]字段!A:B,2,0),"")</f>
        <v>人力费用</v>
      </c>
      <c r="AX801" s="30" t="str">
        <f>IF(AW801="人力费用",IF(E801="","",VLOOKUP(E801,[1]字段!D:E,2,0)),AW801)</f>
        <v>1.0倍人力</v>
      </c>
      <c r="AY801" s="30" t="str">
        <f>IF(AT801="","",VLOOKUP(AT801,[1]字段!H:I,2,0))</f>
        <v>1.0倍人力</v>
      </c>
      <c r="AZ801" s="31">
        <f t="shared" si="90"/>
        <v>0</v>
      </c>
      <c r="BA801" s="31">
        <f t="shared" si="87"/>
        <v>0</v>
      </c>
      <c r="BB801" s="31">
        <f t="shared" si="88"/>
        <v>0</v>
      </c>
      <c r="BC801" s="31">
        <f t="shared" si="91"/>
        <v>0</v>
      </c>
    </row>
    <row r="802" spans="1:55" ht="28.5" customHeight="1">
      <c r="A802" s="32"/>
      <c r="B802" s="32"/>
      <c r="C802" s="32"/>
      <c r="D802" s="40"/>
      <c r="E802" s="39" t="s">
        <v>59</v>
      </c>
      <c r="F802" s="39" t="s">
        <v>60</v>
      </c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  <c r="AA802" s="29"/>
      <c r="AB802" s="29"/>
      <c r="AC802" s="29"/>
      <c r="AD802" s="29"/>
      <c r="AE802" s="29"/>
      <c r="AJ802"/>
      <c r="AK802"/>
      <c r="AL802"/>
      <c r="AM802"/>
      <c r="AN802"/>
      <c r="AO802"/>
      <c r="AP802"/>
      <c r="AQ802"/>
      <c r="AR802"/>
      <c r="AS802"/>
      <c r="AT802" s="4" t="str">
        <f t="shared" si="89"/>
        <v>1.0倍人力住房公积金</v>
      </c>
      <c r="AU802" s="4" t="str">
        <f t="shared" si="85"/>
        <v>个金运营管理部</v>
      </c>
      <c r="AV802" s="4" t="str">
        <f t="shared" si="86"/>
        <v>人力费用</v>
      </c>
      <c r="AW802" s="4" t="str">
        <f>IFERROR(VLOOKUP(AV802,[1]字段!A:B,2,0),"")</f>
        <v>人力费用</v>
      </c>
      <c r="AX802" s="30" t="str">
        <f>IF(AW802="人力费用",IF(E802="","",VLOOKUP(E802,[1]字段!D:E,2,0)),AW802)</f>
        <v>1.0倍人力</v>
      </c>
      <c r="AY802" s="30" t="str">
        <f>IF(AT802="","",VLOOKUP(AT802,[1]字段!H:I,2,0))</f>
        <v>1.0倍人力</v>
      </c>
      <c r="AZ802" s="31">
        <f t="shared" si="90"/>
        <v>0</v>
      </c>
      <c r="BA802" s="31">
        <f t="shared" si="87"/>
        <v>0</v>
      </c>
      <c r="BB802" s="31">
        <f t="shared" si="88"/>
        <v>0</v>
      </c>
      <c r="BC802" s="31">
        <f t="shared" si="91"/>
        <v>0</v>
      </c>
    </row>
    <row r="803" spans="1:55" ht="28.5" customHeight="1">
      <c r="A803" s="32"/>
      <c r="B803" s="32"/>
      <c r="C803" s="41"/>
      <c r="D803" s="42"/>
      <c r="E803" s="39" t="s">
        <v>100</v>
      </c>
      <c r="F803" s="39" t="s">
        <v>101</v>
      </c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  <c r="AA803" s="29"/>
      <c r="AB803" s="29"/>
      <c r="AC803" s="29"/>
      <c r="AD803" s="29"/>
      <c r="AE803" s="29"/>
      <c r="AJ803"/>
      <c r="AK803"/>
      <c r="AL803"/>
      <c r="AM803"/>
      <c r="AN803"/>
      <c r="AO803"/>
      <c r="AP803"/>
      <c r="AQ803"/>
      <c r="AR803"/>
      <c r="AS803"/>
      <c r="AT803" s="4" t="str">
        <f t="shared" si="89"/>
        <v>劳务支出劳务支出</v>
      </c>
      <c r="AU803" s="4" t="str">
        <f t="shared" si="85"/>
        <v>个金运营管理部</v>
      </c>
      <c r="AV803" s="4" t="str">
        <f t="shared" si="86"/>
        <v>人力费用</v>
      </c>
      <c r="AW803" s="4" t="str">
        <f>IFERROR(VLOOKUP(AV803,[1]字段!A:B,2,0),"")</f>
        <v>人力费用</v>
      </c>
      <c r="AX803" s="30" t="str">
        <f>IF(AW803="人力费用",IF(E803="","",VLOOKUP(E803,[1]字段!D:E,2,0)),AW803)</f>
        <v>劳务支出</v>
      </c>
      <c r="AY803" s="30" t="str">
        <f>IF(AT803="","",VLOOKUP(AT803,[1]字段!H:I,2,0))</f>
        <v>劳务支出</v>
      </c>
      <c r="AZ803" s="31">
        <f t="shared" si="90"/>
        <v>0</v>
      </c>
      <c r="BA803" s="31">
        <f t="shared" si="87"/>
        <v>0</v>
      </c>
      <c r="BB803" s="31">
        <f t="shared" si="88"/>
        <v>0</v>
      </c>
      <c r="BC803" s="31">
        <f t="shared" si="91"/>
        <v>0</v>
      </c>
    </row>
    <row r="804" spans="1:55" ht="28.5" customHeight="1">
      <c r="C804" s="33" t="s">
        <v>162</v>
      </c>
      <c r="D804" s="34" t="s">
        <v>163</v>
      </c>
      <c r="E804" s="35"/>
      <c r="F804" s="36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  <c r="AA804" s="29"/>
      <c r="AB804" s="29"/>
      <c r="AC804" s="29"/>
      <c r="AD804" s="29"/>
      <c r="AE804" s="29"/>
      <c r="AJ804"/>
      <c r="AK804"/>
      <c r="AL804"/>
      <c r="AM804"/>
      <c r="AN804"/>
      <c r="AO804"/>
      <c r="AP804"/>
      <c r="AQ804"/>
      <c r="AR804"/>
      <c r="AS804"/>
      <c r="AT804" s="4" t="str">
        <f t="shared" si="89"/>
        <v>运营费用</v>
      </c>
      <c r="AU804" s="4" t="str">
        <f t="shared" si="85"/>
        <v>个金运营管理部</v>
      </c>
      <c r="AV804" s="4" t="str">
        <f t="shared" si="86"/>
        <v>运营费用</v>
      </c>
      <c r="AW804" s="4" t="str">
        <f>IFERROR(VLOOKUP(AV804,[1]字段!A:B,2,0),"")</f>
        <v>运营费用</v>
      </c>
      <c r="AX804" s="30" t="str">
        <f>IF(AW804="人力费用",IF(E804="","",VLOOKUP(E804,[1]字段!D:E,2,0)),AW804)</f>
        <v>运营费用</v>
      </c>
      <c r="AY804" s="30">
        <f>IF(AT804="","",VLOOKUP(AT804,[1]字段!H:I,2,0))</f>
        <v>0</v>
      </c>
      <c r="AZ804" s="31">
        <f t="shared" si="90"/>
        <v>0</v>
      </c>
      <c r="BA804" s="31">
        <f t="shared" si="87"/>
        <v>0</v>
      </c>
      <c r="BB804" s="31">
        <f t="shared" si="88"/>
        <v>0</v>
      </c>
      <c r="BC804" s="31">
        <f t="shared" si="91"/>
        <v>0</v>
      </c>
    </row>
    <row r="805" spans="1:55" ht="28.5" customHeight="1">
      <c r="A805" s="32"/>
      <c r="B805" s="32"/>
      <c r="C805" s="43"/>
      <c r="D805" s="43"/>
      <c r="E805" s="39" t="s">
        <v>83</v>
      </c>
      <c r="F805" s="39" t="s">
        <v>84</v>
      </c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  <c r="AA805" s="29"/>
      <c r="AB805" s="29"/>
      <c r="AC805" s="29"/>
      <c r="AD805" s="29"/>
      <c r="AE805" s="29"/>
      <c r="AJ805"/>
      <c r="AK805"/>
      <c r="AL805"/>
      <c r="AM805"/>
      <c r="AN805"/>
      <c r="AO805"/>
      <c r="AP805"/>
      <c r="AQ805"/>
      <c r="AR805"/>
      <c r="AS805"/>
      <c r="AT805" s="4" t="str">
        <f t="shared" si="89"/>
        <v>运营费用其他外包服务费</v>
      </c>
      <c r="AU805" s="4" t="str">
        <f t="shared" si="85"/>
        <v>个金运营管理部</v>
      </c>
      <c r="AV805" s="4" t="str">
        <f t="shared" si="86"/>
        <v>运营费用</v>
      </c>
      <c r="AW805" s="4" t="str">
        <f>IFERROR(VLOOKUP(AV805,[1]字段!A:B,2,0),"")</f>
        <v>运营费用</v>
      </c>
      <c r="AX805" s="30" t="str">
        <f>IF(AW805="人力费用",IF(E805="","",VLOOKUP(E805,[1]字段!D:E,2,0)),AW805)</f>
        <v>运营费用</v>
      </c>
      <c r="AY805" s="30" t="str">
        <f>IF(AT805="","",VLOOKUP(AT805,[1]字段!H:I,2,0))</f>
        <v>运营费用-外包服务费</v>
      </c>
      <c r="AZ805" s="31">
        <f t="shared" si="90"/>
        <v>0</v>
      </c>
      <c r="BA805" s="31">
        <f t="shared" si="87"/>
        <v>0</v>
      </c>
      <c r="BB805" s="31">
        <f t="shared" si="88"/>
        <v>0</v>
      </c>
      <c r="BC805" s="31">
        <f t="shared" si="91"/>
        <v>0</v>
      </c>
    </row>
    <row r="806" spans="1:55" ht="28.5" customHeight="1">
      <c r="C806" s="33" t="s">
        <v>61</v>
      </c>
      <c r="D806" s="34" t="s">
        <v>62</v>
      </c>
      <c r="E806" s="35"/>
      <c r="F806" s="36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  <c r="AA806" s="29"/>
      <c r="AB806" s="29"/>
      <c r="AC806" s="29"/>
      <c r="AD806" s="29"/>
      <c r="AE806" s="29"/>
      <c r="AJ806"/>
      <c r="AK806"/>
      <c r="AL806"/>
      <c r="AM806"/>
      <c r="AN806"/>
      <c r="AO806"/>
      <c r="AP806"/>
      <c r="AQ806"/>
      <c r="AR806"/>
      <c r="AS806"/>
      <c r="AT806" s="4" t="str">
        <f t="shared" si="89"/>
        <v>运营费用</v>
      </c>
      <c r="AU806" s="4" t="str">
        <f t="shared" si="85"/>
        <v>个金运营管理部</v>
      </c>
      <c r="AV806" s="4" t="str">
        <f t="shared" si="86"/>
        <v>IT运营费用</v>
      </c>
      <c r="AW806" s="4" t="str">
        <f>IFERROR(VLOOKUP(AV806,[1]字段!A:B,2,0),"")</f>
        <v>运营费用</v>
      </c>
      <c r="AX806" s="30" t="str">
        <f>IF(AW806="人力费用",IF(E806="","",VLOOKUP(E806,[1]字段!D:E,2,0)),AW806)</f>
        <v>运营费用</v>
      </c>
      <c r="AY806" s="30">
        <f>IF(AT806="","",VLOOKUP(AT806,[1]字段!H:I,2,0))</f>
        <v>0</v>
      </c>
      <c r="AZ806" s="31">
        <f t="shared" si="90"/>
        <v>0</v>
      </c>
      <c r="BA806" s="31">
        <f t="shared" si="87"/>
        <v>0</v>
      </c>
      <c r="BB806" s="31">
        <f t="shared" si="88"/>
        <v>0</v>
      </c>
      <c r="BC806" s="31">
        <f t="shared" si="91"/>
        <v>0</v>
      </c>
    </row>
    <row r="807" spans="1:55" ht="28.5" customHeight="1">
      <c r="A807" s="32"/>
      <c r="B807" s="32"/>
      <c r="C807" s="43"/>
      <c r="D807" s="43"/>
      <c r="E807" s="39" t="s">
        <v>63</v>
      </c>
      <c r="F807" s="39" t="s">
        <v>64</v>
      </c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  <c r="AA807" s="29"/>
      <c r="AB807" s="29"/>
      <c r="AC807" s="29"/>
      <c r="AD807" s="29"/>
      <c r="AE807" s="29"/>
      <c r="AJ807"/>
      <c r="AK807"/>
      <c r="AL807"/>
      <c r="AM807"/>
      <c r="AN807"/>
      <c r="AO807"/>
      <c r="AP807"/>
      <c r="AQ807"/>
      <c r="AR807"/>
      <c r="AS807"/>
      <c r="AT807" s="4" t="str">
        <f t="shared" si="89"/>
        <v>运营费用信息资料费</v>
      </c>
      <c r="AU807" s="4" t="str">
        <f t="shared" si="85"/>
        <v>个金运营管理部</v>
      </c>
      <c r="AV807" s="4" t="str">
        <f t="shared" si="86"/>
        <v>IT运营费用</v>
      </c>
      <c r="AW807" s="4" t="str">
        <f>IFERROR(VLOOKUP(AV807,[1]字段!A:B,2,0),"")</f>
        <v>运营费用</v>
      </c>
      <c r="AX807" s="30" t="str">
        <f>IF(AW807="人力费用",IF(E807="","",VLOOKUP(E807,[1]字段!D:E,2,0)),AW807)</f>
        <v>运营费用</v>
      </c>
      <c r="AY807" s="30" t="str">
        <f>IF(AT807="","",VLOOKUP(AT807,[1]字段!H:I,2,0))</f>
        <v>运营费用-运营其他</v>
      </c>
      <c r="AZ807" s="31">
        <f t="shared" si="90"/>
        <v>0</v>
      </c>
      <c r="BA807" s="31">
        <f t="shared" si="87"/>
        <v>0</v>
      </c>
      <c r="BB807" s="31">
        <f t="shared" si="88"/>
        <v>0</v>
      </c>
      <c r="BC807" s="31">
        <f t="shared" si="91"/>
        <v>0</v>
      </c>
    </row>
    <row r="808" spans="1:55" ht="28.5" customHeight="1">
      <c r="C808" s="33" t="s">
        <v>65</v>
      </c>
      <c r="D808" s="34" t="s">
        <v>66</v>
      </c>
      <c r="E808" s="35"/>
      <c r="F808" s="36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  <c r="AA808" s="29"/>
      <c r="AB808" s="29"/>
      <c r="AC808" s="29"/>
      <c r="AD808" s="29"/>
      <c r="AE808" s="29"/>
      <c r="AJ808"/>
      <c r="AK808"/>
      <c r="AL808"/>
      <c r="AM808"/>
      <c r="AN808"/>
      <c r="AO808"/>
      <c r="AP808"/>
      <c r="AQ808"/>
      <c r="AR808"/>
      <c r="AS808"/>
      <c r="AT808" s="4" t="str">
        <f t="shared" si="89"/>
        <v>IT费用</v>
      </c>
      <c r="AU808" s="4" t="str">
        <f t="shared" si="85"/>
        <v>个金运营管理部</v>
      </c>
      <c r="AV808" s="4" t="str">
        <f t="shared" si="86"/>
        <v>IT科技费用</v>
      </c>
      <c r="AW808" s="4" t="str">
        <f>IFERROR(VLOOKUP(AV808,[1]字段!A:B,2,0),"")</f>
        <v>IT费用</v>
      </c>
      <c r="AX808" s="30" t="str">
        <f>IF(AW808="人力费用",IF(E808="","",VLOOKUP(E808,[1]字段!D:E,2,0)),AW808)</f>
        <v>IT费用</v>
      </c>
      <c r="AY808" s="30">
        <f>IF(AT808="","",VLOOKUP(AT808,[1]字段!H:I,2,0))</f>
        <v>0</v>
      </c>
      <c r="AZ808" s="31">
        <f t="shared" si="90"/>
        <v>0</v>
      </c>
      <c r="BA808" s="31">
        <f t="shared" si="87"/>
        <v>0</v>
      </c>
      <c r="BB808" s="31">
        <f t="shared" si="88"/>
        <v>0</v>
      </c>
      <c r="BC808" s="31">
        <f t="shared" si="91"/>
        <v>0</v>
      </c>
    </row>
    <row r="809" spans="1:55" ht="28.5" customHeight="1">
      <c r="A809" s="32"/>
      <c r="B809" s="32"/>
      <c r="C809" s="37"/>
      <c r="D809" s="38"/>
      <c r="E809" s="39" t="s">
        <v>67</v>
      </c>
      <c r="F809" s="39" t="s">
        <v>68</v>
      </c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  <c r="AA809" s="29"/>
      <c r="AB809" s="29"/>
      <c r="AC809" s="29"/>
      <c r="AD809" s="29"/>
      <c r="AE809" s="29"/>
      <c r="AJ809"/>
      <c r="AK809"/>
      <c r="AL809"/>
      <c r="AM809"/>
      <c r="AN809"/>
      <c r="AO809"/>
      <c r="AP809"/>
      <c r="AQ809"/>
      <c r="AR809"/>
      <c r="AS809"/>
      <c r="AT809" s="4" t="str">
        <f t="shared" si="89"/>
        <v>IT费用一般运营设备折旧费</v>
      </c>
      <c r="AU809" s="4" t="str">
        <f t="shared" si="85"/>
        <v>个金运营管理部</v>
      </c>
      <c r="AV809" s="4" t="str">
        <f t="shared" si="86"/>
        <v>IT科技费用</v>
      </c>
      <c r="AW809" s="4" t="str">
        <f>IFERROR(VLOOKUP(AV809,[1]字段!A:B,2,0),"")</f>
        <v>IT费用</v>
      </c>
      <c r="AX809" s="30" t="str">
        <f>IF(AW809="人力费用",IF(E809="","",VLOOKUP(E809,[1]字段!D:E,2,0)),AW809)</f>
        <v>IT费用</v>
      </c>
      <c r="AY809" s="30" t="str">
        <f>IF(AT809="","",VLOOKUP(AT809,[1]字段!H:I,2,0))</f>
        <v>IT费用</v>
      </c>
      <c r="AZ809" s="31">
        <f t="shared" si="90"/>
        <v>0</v>
      </c>
      <c r="BA809" s="31">
        <f t="shared" si="87"/>
        <v>0</v>
      </c>
      <c r="BB809" s="31">
        <f t="shared" si="88"/>
        <v>0</v>
      </c>
      <c r="BC809" s="31">
        <f t="shared" si="91"/>
        <v>0</v>
      </c>
    </row>
    <row r="810" spans="1:55" ht="28.5" customHeight="1">
      <c r="A810" s="32"/>
      <c r="B810" s="32"/>
      <c r="C810" s="32"/>
      <c r="D810" s="40"/>
      <c r="E810" s="39" t="s">
        <v>69</v>
      </c>
      <c r="F810" s="39" t="s">
        <v>70</v>
      </c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  <c r="AA810" s="29"/>
      <c r="AB810" s="29"/>
      <c r="AC810" s="29"/>
      <c r="AD810" s="29"/>
      <c r="AE810" s="29"/>
      <c r="AJ810"/>
      <c r="AK810"/>
      <c r="AL810"/>
      <c r="AM810"/>
      <c r="AN810"/>
      <c r="AO810"/>
      <c r="AP810"/>
      <c r="AQ810"/>
      <c r="AR810"/>
      <c r="AS810"/>
      <c r="AT810" s="4" t="str">
        <f t="shared" si="89"/>
        <v>IT费用移动终端折旧费</v>
      </c>
      <c r="AU810" s="4" t="str">
        <f t="shared" si="85"/>
        <v>个金运营管理部</v>
      </c>
      <c r="AV810" s="4" t="str">
        <f t="shared" si="86"/>
        <v>IT科技费用</v>
      </c>
      <c r="AW810" s="4" t="str">
        <f>IFERROR(VLOOKUP(AV810,[1]字段!A:B,2,0),"")</f>
        <v>IT费用</v>
      </c>
      <c r="AX810" s="30" t="str">
        <f>IF(AW810="人力费用",IF(E810="","",VLOOKUP(E810,[1]字段!D:E,2,0)),AW810)</f>
        <v>IT费用</v>
      </c>
      <c r="AY810" s="30" t="str">
        <f>IF(AT810="","",VLOOKUP(AT810,[1]字段!H:I,2,0))</f>
        <v>IT费用</v>
      </c>
      <c r="AZ810" s="31">
        <f t="shared" si="90"/>
        <v>0</v>
      </c>
      <c r="BA810" s="31">
        <f t="shared" si="87"/>
        <v>0</v>
      </c>
      <c r="BB810" s="31">
        <f t="shared" si="88"/>
        <v>0</v>
      </c>
      <c r="BC810" s="31">
        <f t="shared" si="91"/>
        <v>0</v>
      </c>
    </row>
    <row r="811" spans="1:55" ht="28.5" customHeight="1">
      <c r="A811" s="32"/>
      <c r="B811" s="32"/>
      <c r="C811" s="32"/>
      <c r="D811" s="40"/>
      <c r="E811" s="39" t="s">
        <v>71</v>
      </c>
      <c r="F811" s="39" t="s">
        <v>72</v>
      </c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  <c r="AA811" s="29"/>
      <c r="AB811" s="29"/>
      <c r="AC811" s="29"/>
      <c r="AD811" s="29"/>
      <c r="AE811" s="29"/>
      <c r="AJ811"/>
      <c r="AK811"/>
      <c r="AL811"/>
      <c r="AM811"/>
      <c r="AN811"/>
      <c r="AO811"/>
      <c r="AP811"/>
      <c r="AQ811"/>
      <c r="AR811"/>
      <c r="AS811"/>
      <c r="AT811" s="4" t="str">
        <f t="shared" si="89"/>
        <v>IT费用办公IT设备折旧费</v>
      </c>
      <c r="AU811" s="4" t="str">
        <f t="shared" si="85"/>
        <v>个金运营管理部</v>
      </c>
      <c r="AV811" s="4" t="str">
        <f t="shared" si="86"/>
        <v>IT科技费用</v>
      </c>
      <c r="AW811" s="4" t="str">
        <f>IFERROR(VLOOKUP(AV811,[1]字段!A:B,2,0),"")</f>
        <v>IT费用</v>
      </c>
      <c r="AX811" s="30" t="str">
        <f>IF(AW811="人力费用",IF(E811="","",VLOOKUP(E811,[1]字段!D:E,2,0)),AW811)</f>
        <v>IT费用</v>
      </c>
      <c r="AY811" s="30" t="str">
        <f>IF(AT811="","",VLOOKUP(AT811,[1]字段!H:I,2,0))</f>
        <v>IT费用</v>
      </c>
      <c r="AZ811" s="31">
        <f t="shared" si="90"/>
        <v>0</v>
      </c>
      <c r="BA811" s="31">
        <f t="shared" si="87"/>
        <v>0</v>
      </c>
      <c r="BB811" s="31">
        <f t="shared" si="88"/>
        <v>0</v>
      </c>
      <c r="BC811" s="31">
        <f t="shared" si="91"/>
        <v>0</v>
      </c>
    </row>
    <row r="812" spans="1:55" ht="28.5" customHeight="1">
      <c r="A812" s="32"/>
      <c r="B812" s="32"/>
      <c r="C812" s="32"/>
      <c r="D812" s="40"/>
      <c r="E812" s="39" t="s">
        <v>73</v>
      </c>
      <c r="F812" s="39" t="s">
        <v>74</v>
      </c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  <c r="AA812" s="29"/>
      <c r="AB812" s="29"/>
      <c r="AC812" s="29"/>
      <c r="AD812" s="29"/>
      <c r="AE812" s="29"/>
      <c r="AJ812"/>
      <c r="AK812"/>
      <c r="AL812"/>
      <c r="AM812"/>
      <c r="AN812"/>
      <c r="AO812"/>
      <c r="AP812"/>
      <c r="AQ812"/>
      <c r="AR812"/>
      <c r="AS812"/>
      <c r="AT812" s="4" t="str">
        <f t="shared" si="89"/>
        <v>IT费用计算机软件摊销</v>
      </c>
      <c r="AU812" s="4" t="str">
        <f t="shared" si="85"/>
        <v>个金运营管理部</v>
      </c>
      <c r="AV812" s="4" t="str">
        <f t="shared" si="86"/>
        <v>IT科技费用</v>
      </c>
      <c r="AW812" s="4" t="str">
        <f>IFERROR(VLOOKUP(AV812,[1]字段!A:B,2,0),"")</f>
        <v>IT费用</v>
      </c>
      <c r="AX812" s="30" t="str">
        <f>IF(AW812="人力费用",IF(E812="","",VLOOKUP(E812,[1]字段!D:E,2,0)),AW812)</f>
        <v>IT费用</v>
      </c>
      <c r="AY812" s="30" t="str">
        <f>IF(AT812="","",VLOOKUP(AT812,[1]字段!H:I,2,0))</f>
        <v>IT费用</v>
      </c>
      <c r="AZ812" s="31">
        <f t="shared" si="90"/>
        <v>0</v>
      </c>
      <c r="BA812" s="31">
        <f t="shared" si="87"/>
        <v>0</v>
      </c>
      <c r="BB812" s="31">
        <f t="shared" si="88"/>
        <v>0</v>
      </c>
      <c r="BC812" s="31">
        <f t="shared" si="91"/>
        <v>0</v>
      </c>
    </row>
    <row r="813" spans="1:55" ht="28.5" customHeight="1">
      <c r="A813" s="32"/>
      <c r="B813" s="32"/>
      <c r="C813" s="32"/>
      <c r="D813" s="40"/>
      <c r="E813" s="39" t="s">
        <v>75</v>
      </c>
      <c r="F813" s="39" t="s">
        <v>76</v>
      </c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  <c r="AA813" s="29"/>
      <c r="AB813" s="29"/>
      <c r="AC813" s="29"/>
      <c r="AD813" s="29"/>
      <c r="AE813" s="29"/>
      <c r="AJ813"/>
      <c r="AK813"/>
      <c r="AL813"/>
      <c r="AM813"/>
      <c r="AN813"/>
      <c r="AO813"/>
      <c r="AP813"/>
      <c r="AQ813"/>
      <c r="AR813"/>
      <c r="AS813"/>
      <c r="AT813" s="4" t="str">
        <f t="shared" si="89"/>
        <v>IT费用数据资源摊销</v>
      </c>
      <c r="AU813" s="4" t="str">
        <f t="shared" si="85"/>
        <v>个金运营管理部</v>
      </c>
      <c r="AV813" s="4" t="str">
        <f t="shared" si="86"/>
        <v>IT科技费用</v>
      </c>
      <c r="AW813" s="4" t="str">
        <f>IFERROR(VLOOKUP(AV813,[1]字段!A:B,2,0),"")</f>
        <v>IT费用</v>
      </c>
      <c r="AX813" s="30" t="str">
        <f>IF(AW813="人力费用",IF(E813="","",VLOOKUP(E813,[1]字段!D:E,2,0)),AW813)</f>
        <v>IT费用</v>
      </c>
      <c r="AY813" s="30" t="str">
        <f>IF(AT813="","",VLOOKUP(AT813,[1]字段!H:I,2,0))</f>
        <v>IT费用</v>
      </c>
      <c r="AZ813" s="31">
        <f t="shared" si="90"/>
        <v>0</v>
      </c>
      <c r="BA813" s="31">
        <f t="shared" si="87"/>
        <v>0</v>
      </c>
      <c r="BB813" s="31">
        <f t="shared" si="88"/>
        <v>0</v>
      </c>
      <c r="BC813" s="31">
        <f t="shared" si="91"/>
        <v>0</v>
      </c>
    </row>
    <row r="814" spans="1:55" ht="28.5" customHeight="1">
      <c r="A814" s="32"/>
      <c r="B814" s="32"/>
      <c r="C814" s="32"/>
      <c r="D814" s="40"/>
      <c r="E814" s="39" t="s">
        <v>77</v>
      </c>
      <c r="F814" s="39" t="s">
        <v>78</v>
      </c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  <c r="AA814" s="29"/>
      <c r="AB814" s="29"/>
      <c r="AC814" s="29"/>
      <c r="AD814" s="29"/>
      <c r="AE814" s="29"/>
      <c r="AJ814"/>
      <c r="AK814"/>
      <c r="AL814"/>
      <c r="AM814"/>
      <c r="AN814"/>
      <c r="AO814"/>
      <c r="AP814"/>
      <c r="AQ814"/>
      <c r="AR814"/>
      <c r="AS814"/>
      <c r="AT814" s="4" t="str">
        <f t="shared" si="89"/>
        <v>IT费用咨询费</v>
      </c>
      <c r="AU814" s="4" t="str">
        <f t="shared" si="85"/>
        <v>个金运营管理部</v>
      </c>
      <c r="AV814" s="4" t="str">
        <f t="shared" si="86"/>
        <v>IT科技费用</v>
      </c>
      <c r="AW814" s="4" t="str">
        <f>IFERROR(VLOOKUP(AV814,[1]字段!A:B,2,0),"")</f>
        <v>IT费用</v>
      </c>
      <c r="AX814" s="30" t="str">
        <f>IF(AW814="人力费用",IF(E814="","",VLOOKUP(E814,[1]字段!D:E,2,0)),AW814)</f>
        <v>IT费用</v>
      </c>
      <c r="AY814" s="30" t="str">
        <f>IF(AT814="","",VLOOKUP(AT814,[1]字段!H:I,2,0))</f>
        <v>IT费用</v>
      </c>
      <c r="AZ814" s="31">
        <f t="shared" si="90"/>
        <v>0</v>
      </c>
      <c r="BA814" s="31">
        <f t="shared" si="87"/>
        <v>0</v>
      </c>
      <c r="BB814" s="31">
        <f t="shared" si="88"/>
        <v>0</v>
      </c>
      <c r="BC814" s="31">
        <f t="shared" si="91"/>
        <v>0</v>
      </c>
    </row>
    <row r="815" spans="1:55" ht="28.5" customHeight="1">
      <c r="A815" s="32"/>
      <c r="B815" s="32"/>
      <c r="C815" s="32"/>
      <c r="D815" s="40"/>
      <c r="E815" s="39" t="s">
        <v>79</v>
      </c>
      <c r="F815" s="39" t="s">
        <v>80</v>
      </c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  <c r="AA815" s="29"/>
      <c r="AB815" s="29"/>
      <c r="AC815" s="29"/>
      <c r="AD815" s="29"/>
      <c r="AE815" s="29"/>
      <c r="AJ815"/>
      <c r="AK815"/>
      <c r="AL815"/>
      <c r="AM815"/>
      <c r="AN815"/>
      <c r="AO815"/>
      <c r="AP815"/>
      <c r="AQ815"/>
      <c r="AR815"/>
      <c r="AS815"/>
      <c r="AT815" s="4" t="str">
        <f t="shared" si="89"/>
        <v>IT费用网络通讯费 </v>
      </c>
      <c r="AU815" s="4" t="str">
        <f t="shared" si="85"/>
        <v>个金运营管理部</v>
      </c>
      <c r="AV815" s="4" t="str">
        <f t="shared" si="86"/>
        <v>IT科技费用</v>
      </c>
      <c r="AW815" s="4" t="str">
        <f>IFERROR(VLOOKUP(AV815,[1]字段!A:B,2,0),"")</f>
        <v>IT费用</v>
      </c>
      <c r="AX815" s="30" t="str">
        <f>IF(AW815="人力费用",IF(E815="","",VLOOKUP(E815,[1]字段!D:E,2,0)),AW815)</f>
        <v>IT费用</v>
      </c>
      <c r="AY815" s="30" t="str">
        <f>IF(AT815="","",VLOOKUP(AT815,[1]字段!H:I,2,0))</f>
        <v>IT费用</v>
      </c>
      <c r="AZ815" s="31">
        <f t="shared" si="90"/>
        <v>0</v>
      </c>
      <c r="BA815" s="31">
        <f t="shared" si="87"/>
        <v>0</v>
      </c>
      <c r="BB815" s="31">
        <f t="shared" si="88"/>
        <v>0</v>
      </c>
      <c r="BC815" s="31">
        <f t="shared" si="91"/>
        <v>0</v>
      </c>
    </row>
    <row r="816" spans="1:55" ht="28.5" customHeight="1">
      <c r="A816" s="32"/>
      <c r="B816" s="32"/>
      <c r="C816" s="32"/>
      <c r="D816" s="40"/>
      <c r="E816" s="39" t="s">
        <v>81</v>
      </c>
      <c r="F816" s="39" t="s">
        <v>82</v>
      </c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  <c r="AA816" s="29"/>
      <c r="AB816" s="29"/>
      <c r="AC816" s="29"/>
      <c r="AD816" s="29"/>
      <c r="AE816" s="29"/>
      <c r="AJ816"/>
      <c r="AK816"/>
      <c r="AL816"/>
      <c r="AM816"/>
      <c r="AN816"/>
      <c r="AO816"/>
      <c r="AP816"/>
      <c r="AQ816"/>
      <c r="AR816"/>
      <c r="AS816"/>
      <c r="AT816" s="4" t="str">
        <f t="shared" si="89"/>
        <v>IT费用电子设备运转费 </v>
      </c>
      <c r="AU816" s="4" t="str">
        <f t="shared" si="85"/>
        <v>个金运营管理部</v>
      </c>
      <c r="AV816" s="4" t="str">
        <f t="shared" si="86"/>
        <v>IT科技费用</v>
      </c>
      <c r="AW816" s="4" t="str">
        <f>IFERROR(VLOOKUP(AV816,[1]字段!A:B,2,0),"")</f>
        <v>IT费用</v>
      </c>
      <c r="AX816" s="30" t="str">
        <f>IF(AW816="人力费用",IF(E816="","",VLOOKUP(E816,[1]字段!D:E,2,0)),AW816)</f>
        <v>IT费用</v>
      </c>
      <c r="AY816" s="30" t="str">
        <f>IF(AT816="","",VLOOKUP(AT816,[1]字段!H:I,2,0))</f>
        <v>IT费用</v>
      </c>
      <c r="AZ816" s="31">
        <f t="shared" si="90"/>
        <v>0</v>
      </c>
      <c r="BA816" s="31">
        <f t="shared" si="87"/>
        <v>0</v>
      </c>
      <c r="BB816" s="31">
        <f t="shared" si="88"/>
        <v>0</v>
      </c>
      <c r="BC816" s="31">
        <f t="shared" si="91"/>
        <v>0</v>
      </c>
    </row>
    <row r="817" spans="1:55" ht="28.5" customHeight="1">
      <c r="A817" s="32"/>
      <c r="B817" s="32"/>
      <c r="C817" s="41"/>
      <c r="D817" s="42"/>
      <c r="E817" s="39" t="s">
        <v>83</v>
      </c>
      <c r="F817" s="39" t="s">
        <v>84</v>
      </c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  <c r="AA817" s="29"/>
      <c r="AB817" s="29"/>
      <c r="AC817" s="29"/>
      <c r="AD817" s="29"/>
      <c r="AE817" s="29"/>
      <c r="AJ817"/>
      <c r="AK817"/>
      <c r="AL817"/>
      <c r="AM817"/>
      <c r="AN817"/>
      <c r="AO817"/>
      <c r="AP817"/>
      <c r="AQ817"/>
      <c r="AR817"/>
      <c r="AS817"/>
      <c r="AT817" s="4" t="str">
        <f t="shared" si="89"/>
        <v>IT费用其他外包服务费</v>
      </c>
      <c r="AU817" s="4" t="str">
        <f t="shared" si="85"/>
        <v>个金运营管理部</v>
      </c>
      <c r="AV817" s="4" t="str">
        <f t="shared" si="86"/>
        <v>IT科技费用</v>
      </c>
      <c r="AW817" s="4" t="str">
        <f>IFERROR(VLOOKUP(AV817,[1]字段!A:B,2,0),"")</f>
        <v>IT费用</v>
      </c>
      <c r="AX817" s="30" t="str">
        <f>IF(AW817="人力费用",IF(E817="","",VLOOKUP(E817,[1]字段!D:E,2,0)),AW817)</f>
        <v>IT费用</v>
      </c>
      <c r="AY817" s="30" t="str">
        <f>IF(AT817="","",VLOOKUP(AT817,[1]字段!H:I,2,0))</f>
        <v>IT费用</v>
      </c>
      <c r="AZ817" s="31">
        <f t="shared" si="90"/>
        <v>0</v>
      </c>
      <c r="BA817" s="31">
        <f t="shared" si="87"/>
        <v>0</v>
      </c>
      <c r="BB817" s="31">
        <f t="shared" si="88"/>
        <v>0</v>
      </c>
      <c r="BC817" s="31">
        <f t="shared" si="91"/>
        <v>0</v>
      </c>
    </row>
    <row r="818" spans="1:55" ht="28.5" customHeight="1">
      <c r="C818" s="33" t="s">
        <v>85</v>
      </c>
      <c r="D818" s="34" t="s">
        <v>86</v>
      </c>
      <c r="E818" s="35"/>
      <c r="F818" s="36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  <c r="AA818" s="29"/>
      <c r="AB818" s="29"/>
      <c r="AC818" s="29"/>
      <c r="AD818" s="29"/>
      <c r="AE818" s="29"/>
      <c r="AJ818"/>
      <c r="AK818"/>
      <c r="AL818"/>
      <c r="AM818"/>
      <c r="AN818"/>
      <c r="AO818"/>
      <c r="AP818"/>
      <c r="AQ818"/>
      <c r="AR818"/>
      <c r="AS818"/>
      <c r="AT818" s="4" t="str">
        <f t="shared" si="89"/>
        <v>日常费用</v>
      </c>
      <c r="AU818" s="4" t="str">
        <f t="shared" si="85"/>
        <v>个金运营管理部</v>
      </c>
      <c r="AV818" s="4" t="str">
        <f t="shared" si="86"/>
        <v>IT日常费用</v>
      </c>
      <c r="AW818" s="4" t="str">
        <f>IFERROR(VLOOKUP(AV818,[1]字段!A:B,2,0),"")</f>
        <v>日常费用</v>
      </c>
      <c r="AX818" s="30" t="str">
        <f>IF(AW818="人力费用",IF(E818="","",VLOOKUP(E818,[1]字段!D:E,2,0)),AW818)</f>
        <v>日常费用</v>
      </c>
      <c r="AY818" s="30">
        <f>IF(AT818="","",VLOOKUP(AT818,[1]字段!H:I,2,0))</f>
        <v>0</v>
      </c>
      <c r="AZ818" s="31">
        <f t="shared" si="90"/>
        <v>0</v>
      </c>
      <c r="BA818" s="31">
        <f t="shared" si="87"/>
        <v>0</v>
      </c>
      <c r="BB818" s="31">
        <f t="shared" si="88"/>
        <v>0</v>
      </c>
      <c r="BC818" s="31">
        <f t="shared" si="91"/>
        <v>0</v>
      </c>
    </row>
    <row r="819" spans="1:55" ht="28.5" customHeight="1">
      <c r="A819" s="32"/>
      <c r="B819" s="32"/>
      <c r="C819" s="37"/>
      <c r="D819" s="38"/>
      <c r="E819" s="39" t="s">
        <v>87</v>
      </c>
      <c r="F819" s="39" t="s">
        <v>88</v>
      </c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  <c r="AA819" s="29"/>
      <c r="AB819" s="29"/>
      <c r="AC819" s="29"/>
      <c r="AD819" s="29"/>
      <c r="AE819" s="29"/>
      <c r="AJ819"/>
      <c r="AK819"/>
      <c r="AL819"/>
      <c r="AM819"/>
      <c r="AN819"/>
      <c r="AO819"/>
      <c r="AP819"/>
      <c r="AQ819"/>
      <c r="AR819"/>
      <c r="AS819"/>
      <c r="AT819" s="4" t="str">
        <f t="shared" si="89"/>
        <v>日常费用办公OA设备折旧费</v>
      </c>
      <c r="AU819" s="4" t="str">
        <f t="shared" si="85"/>
        <v>个金运营管理部</v>
      </c>
      <c r="AV819" s="4" t="str">
        <f t="shared" si="86"/>
        <v>IT日常费用</v>
      </c>
      <c r="AW819" s="4" t="str">
        <f>IFERROR(VLOOKUP(AV819,[1]字段!A:B,2,0),"")</f>
        <v>日常费用</v>
      </c>
      <c r="AX819" s="30" t="str">
        <f>IF(AW819="人力费用",IF(E819="","",VLOOKUP(E819,[1]字段!D:E,2,0)),AW819)</f>
        <v>日常费用</v>
      </c>
      <c r="AY819" s="30" t="str">
        <f>IF(AT819="","",VLOOKUP(AT819,[1]字段!H:I,2,0))</f>
        <v>日常费用-其他</v>
      </c>
      <c r="AZ819" s="31">
        <f t="shared" si="90"/>
        <v>0</v>
      </c>
      <c r="BA819" s="31">
        <f t="shared" si="87"/>
        <v>0</v>
      </c>
      <c r="BB819" s="31">
        <f t="shared" si="88"/>
        <v>0</v>
      </c>
      <c r="BC819" s="31">
        <f t="shared" si="91"/>
        <v>0</v>
      </c>
    </row>
    <row r="820" spans="1:55" ht="28.5" customHeight="1">
      <c r="A820" s="32"/>
      <c r="B820" s="32"/>
      <c r="C820" s="41"/>
      <c r="D820" s="42"/>
      <c r="E820" s="39" t="s">
        <v>89</v>
      </c>
      <c r="F820" s="39" t="s">
        <v>90</v>
      </c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  <c r="AA820" s="29"/>
      <c r="AB820" s="29"/>
      <c r="AC820" s="29"/>
      <c r="AD820" s="29"/>
      <c r="AE820" s="29"/>
      <c r="AJ820"/>
      <c r="AK820"/>
      <c r="AL820"/>
      <c r="AM820"/>
      <c r="AN820"/>
      <c r="AO820"/>
      <c r="AP820"/>
      <c r="AQ820"/>
      <c r="AR820"/>
      <c r="AS820"/>
      <c r="AT820" s="4" t="str">
        <f t="shared" si="89"/>
        <v>日常费用办公家具折旧费</v>
      </c>
      <c r="AU820" s="4" t="str">
        <f t="shared" si="85"/>
        <v>个金运营管理部</v>
      </c>
      <c r="AV820" s="4" t="str">
        <f t="shared" si="86"/>
        <v>IT日常费用</v>
      </c>
      <c r="AW820" s="4" t="str">
        <f>IFERROR(VLOOKUP(AV820,[1]字段!A:B,2,0),"")</f>
        <v>日常费用</v>
      </c>
      <c r="AX820" s="30" t="str">
        <f>IF(AW820="人力费用",IF(E820="","",VLOOKUP(E820,[1]字段!D:E,2,0)),AW820)</f>
        <v>日常费用</v>
      </c>
      <c r="AY820" s="30" t="str">
        <f>IF(AT820="","",VLOOKUP(AT820,[1]字段!H:I,2,0))</f>
        <v>日常费用-其他</v>
      </c>
      <c r="AZ820" s="31">
        <f t="shared" si="90"/>
        <v>0</v>
      </c>
      <c r="BA820" s="31">
        <f t="shared" si="87"/>
        <v>0</v>
      </c>
      <c r="BB820" s="31">
        <f t="shared" si="88"/>
        <v>0</v>
      </c>
      <c r="BC820" s="31">
        <f t="shared" si="91"/>
        <v>0</v>
      </c>
    </row>
    <row r="821" spans="1:55" ht="28.5" customHeight="1">
      <c r="C821" s="33" t="s">
        <v>93</v>
      </c>
      <c r="D821" s="34" t="s">
        <v>94</v>
      </c>
      <c r="E821" s="35"/>
      <c r="F821" s="36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  <c r="AA821" s="29"/>
      <c r="AB821" s="29"/>
      <c r="AC821" s="29"/>
      <c r="AD821" s="29"/>
      <c r="AE821" s="29"/>
      <c r="AJ821"/>
      <c r="AK821"/>
      <c r="AL821"/>
      <c r="AM821"/>
      <c r="AN821"/>
      <c r="AO821"/>
      <c r="AP821"/>
      <c r="AQ821"/>
      <c r="AR821"/>
      <c r="AS821"/>
      <c r="AT821" s="4" t="str">
        <f t="shared" si="89"/>
        <v>日常费用</v>
      </c>
      <c r="AU821" s="4" t="str">
        <f t="shared" si="85"/>
        <v>个金运营管理部</v>
      </c>
      <c r="AV821" s="4" t="str">
        <f t="shared" si="86"/>
        <v>日常费用</v>
      </c>
      <c r="AW821" s="4" t="str">
        <f>IFERROR(VLOOKUP(AV821,[1]字段!A:B,2,0),"")</f>
        <v>日常费用</v>
      </c>
      <c r="AX821" s="30" t="str">
        <f>IF(AW821="人力费用",IF(E821="","",VLOOKUP(E821,[1]字段!D:E,2,0)),AW821)</f>
        <v>日常费用</v>
      </c>
      <c r="AY821" s="30">
        <f>IF(AT821="","",VLOOKUP(AT821,[1]字段!H:I,2,0))</f>
        <v>0</v>
      </c>
      <c r="AZ821" s="31">
        <f t="shared" si="90"/>
        <v>0</v>
      </c>
      <c r="BA821" s="31">
        <f t="shared" si="87"/>
        <v>0</v>
      </c>
      <c r="BB821" s="31">
        <f t="shared" si="88"/>
        <v>0</v>
      </c>
      <c r="BC821" s="31">
        <f t="shared" si="91"/>
        <v>0</v>
      </c>
    </row>
    <row r="822" spans="1:55" ht="28.5" customHeight="1">
      <c r="A822" s="32"/>
      <c r="B822" s="32"/>
      <c r="C822" s="37"/>
      <c r="D822" s="38"/>
      <c r="E822" s="39" t="s">
        <v>95</v>
      </c>
      <c r="F822" s="39" t="s">
        <v>96</v>
      </c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  <c r="AA822" s="29"/>
      <c r="AB822" s="29"/>
      <c r="AC822" s="29"/>
      <c r="AD822" s="29"/>
      <c r="AE822" s="29"/>
      <c r="AJ822"/>
      <c r="AK822"/>
      <c r="AL822"/>
      <c r="AM822"/>
      <c r="AN822"/>
      <c r="AO822"/>
      <c r="AP822"/>
      <c r="AQ822"/>
      <c r="AR822"/>
      <c r="AS822"/>
      <c r="AT822" s="4" t="str">
        <f t="shared" si="89"/>
        <v>日常费用业务招待费</v>
      </c>
      <c r="AU822" s="4" t="str">
        <f t="shared" si="85"/>
        <v>个金运营管理部</v>
      </c>
      <c r="AV822" s="4" t="str">
        <f t="shared" si="86"/>
        <v>日常费用</v>
      </c>
      <c r="AW822" s="4" t="str">
        <f>IFERROR(VLOOKUP(AV822,[1]字段!A:B,2,0),"")</f>
        <v>日常费用</v>
      </c>
      <c r="AX822" s="30" t="str">
        <f>IF(AW822="人力费用",IF(E822="","",VLOOKUP(E822,[1]字段!D:E,2,0)),AW822)</f>
        <v>日常费用</v>
      </c>
      <c r="AY822" s="30" t="str">
        <f>IF(AT822="","",VLOOKUP(AT822,[1]字段!H:I,2,0))</f>
        <v>日常费用-其他</v>
      </c>
      <c r="AZ822" s="31">
        <f t="shared" si="90"/>
        <v>0</v>
      </c>
      <c r="BA822" s="31">
        <f t="shared" si="87"/>
        <v>0</v>
      </c>
      <c r="BB822" s="31">
        <f t="shared" si="88"/>
        <v>0</v>
      </c>
      <c r="BC822" s="31">
        <f t="shared" si="91"/>
        <v>0</v>
      </c>
    </row>
    <row r="823" spans="1:55" ht="28.5" customHeight="1">
      <c r="A823" s="41"/>
      <c r="B823" s="41"/>
      <c r="C823" s="41"/>
      <c r="D823" s="42"/>
      <c r="E823" s="39" t="s">
        <v>139</v>
      </c>
      <c r="F823" s="39" t="s">
        <v>140</v>
      </c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  <c r="AA823" s="29"/>
      <c r="AB823" s="29"/>
      <c r="AC823" s="29"/>
      <c r="AD823" s="29"/>
      <c r="AE823" s="29"/>
      <c r="AJ823"/>
      <c r="AK823"/>
      <c r="AL823"/>
      <c r="AM823"/>
      <c r="AN823"/>
      <c r="AO823"/>
      <c r="AP823"/>
      <c r="AQ823"/>
      <c r="AR823"/>
      <c r="AS823"/>
      <c r="AT823" s="4" t="str">
        <f t="shared" si="89"/>
        <v>日常费用差旅费</v>
      </c>
      <c r="AU823" s="4" t="str">
        <f t="shared" si="85"/>
        <v>个金运营管理部</v>
      </c>
      <c r="AV823" s="4" t="str">
        <f t="shared" si="86"/>
        <v>日常费用</v>
      </c>
      <c r="AW823" s="4" t="str">
        <f>IFERROR(VLOOKUP(AV823,[1]字段!A:B,2,0),"")</f>
        <v>日常费用</v>
      </c>
      <c r="AX823" s="30" t="str">
        <f>IF(AW823="人力费用",IF(E823="","",VLOOKUP(E823,[1]字段!D:E,2,0)),AW823)</f>
        <v>日常费用</v>
      </c>
      <c r="AY823" s="30" t="str">
        <f>IF(AT823="","",VLOOKUP(AT823,[1]字段!H:I,2,0))</f>
        <v>日常费用-其他</v>
      </c>
      <c r="AZ823" s="31">
        <f t="shared" si="90"/>
        <v>0</v>
      </c>
      <c r="BA823" s="31">
        <f t="shared" si="87"/>
        <v>0</v>
      </c>
      <c r="BB823" s="31">
        <f t="shared" si="88"/>
        <v>0</v>
      </c>
      <c r="BC823" s="31">
        <f t="shared" si="91"/>
        <v>0</v>
      </c>
    </row>
    <row r="824" spans="1:55" ht="28.5" customHeight="1">
      <c r="A824" s="25"/>
      <c r="B824" s="26" t="s">
        <v>198</v>
      </c>
      <c r="C824" s="27"/>
      <c r="D824" s="27"/>
      <c r="E824" s="27"/>
      <c r="F824" s="28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  <c r="AA824" s="29"/>
      <c r="AB824" s="29"/>
      <c r="AC824" s="29"/>
      <c r="AD824" s="29"/>
      <c r="AE824" s="29"/>
      <c r="AJ824"/>
      <c r="AK824"/>
      <c r="AL824"/>
      <c r="AM824"/>
      <c r="AN824"/>
      <c r="AO824"/>
      <c r="AP824"/>
      <c r="AQ824"/>
      <c r="AR824"/>
      <c r="AS824"/>
      <c r="AT824" s="4" t="str">
        <f t="shared" si="89"/>
        <v/>
      </c>
      <c r="AU824" s="4" t="str">
        <f t="shared" si="85"/>
        <v>个金共享平台部</v>
      </c>
      <c r="AV824" s="4" t="str">
        <f t="shared" si="86"/>
        <v/>
      </c>
      <c r="AW824" s="4" t="str">
        <f>IFERROR(VLOOKUP(AV824,[1]字段!A:B,2,0),"")</f>
        <v/>
      </c>
      <c r="AX824" s="30" t="str">
        <f>IF(AW824="人力费用",IF(E824="","",VLOOKUP(E824,[1]字段!D:E,2,0)),AW824)</f>
        <v/>
      </c>
      <c r="AY824" s="30" t="str">
        <f>IF(AT824="","",VLOOKUP(AT824,[1]字段!H:I,2,0))</f>
        <v/>
      </c>
      <c r="AZ824" s="31">
        <f t="shared" si="90"/>
        <v>0</v>
      </c>
      <c r="BA824" s="31">
        <f t="shared" si="87"/>
        <v>0</v>
      </c>
      <c r="BB824" s="31">
        <f t="shared" si="88"/>
        <v>0</v>
      </c>
      <c r="BC824" s="31">
        <f t="shared" si="91"/>
        <v>0</v>
      </c>
    </row>
    <row r="825" spans="1:55" ht="28.5" customHeight="1">
      <c r="A825" s="32"/>
      <c r="B825" s="32"/>
      <c r="C825" s="33" t="s">
        <v>39</v>
      </c>
      <c r="D825" s="34" t="s">
        <v>40</v>
      </c>
      <c r="E825" s="35"/>
      <c r="F825" s="36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  <c r="AA825" s="29"/>
      <c r="AB825" s="29"/>
      <c r="AC825" s="29"/>
      <c r="AD825" s="29"/>
      <c r="AE825" s="29"/>
      <c r="AJ825"/>
      <c r="AK825"/>
      <c r="AL825"/>
      <c r="AM825"/>
      <c r="AN825"/>
      <c r="AO825"/>
      <c r="AP825"/>
      <c r="AQ825"/>
      <c r="AR825"/>
      <c r="AS825"/>
      <c r="AT825" s="4" t="str">
        <f t="shared" si="89"/>
        <v/>
      </c>
      <c r="AU825" s="4" t="str">
        <f t="shared" si="85"/>
        <v>个金共享平台部</v>
      </c>
      <c r="AV825" s="4" t="str">
        <f t="shared" si="86"/>
        <v>人力费用</v>
      </c>
      <c r="AW825" s="4" t="str">
        <f>IFERROR(VLOOKUP(AV825,[1]字段!A:B,2,0),"")</f>
        <v>人力费用</v>
      </c>
      <c r="AX825" s="30" t="str">
        <f>IF(AW825="人力费用",IF(E825="","",VLOOKUP(E825,[1]字段!D:E,2,0)),AW825)</f>
        <v/>
      </c>
      <c r="AY825" s="30" t="str">
        <f>IF(AT825="","",VLOOKUP(AT825,[1]字段!H:I,2,0))</f>
        <v/>
      </c>
      <c r="AZ825" s="31">
        <f t="shared" si="90"/>
        <v>0</v>
      </c>
      <c r="BA825" s="31">
        <f t="shared" si="87"/>
        <v>0</v>
      </c>
      <c r="BB825" s="31">
        <f t="shared" si="88"/>
        <v>0</v>
      </c>
      <c r="BC825" s="31">
        <f t="shared" si="91"/>
        <v>0</v>
      </c>
    </row>
    <row r="826" spans="1:55" ht="28.5" customHeight="1">
      <c r="A826" s="32"/>
      <c r="B826" s="32"/>
      <c r="C826" s="37"/>
      <c r="D826" s="38"/>
      <c r="E826" s="39" t="s">
        <v>41</v>
      </c>
      <c r="F826" s="39" t="s">
        <v>42</v>
      </c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  <c r="AA826" s="29"/>
      <c r="AB826" s="29"/>
      <c r="AC826" s="29"/>
      <c r="AD826" s="29"/>
      <c r="AE826" s="29"/>
      <c r="AJ826"/>
      <c r="AK826"/>
      <c r="AL826"/>
      <c r="AM826"/>
      <c r="AN826"/>
      <c r="AO826"/>
      <c r="AP826"/>
      <c r="AQ826"/>
      <c r="AR826"/>
      <c r="AS826"/>
      <c r="AT826" s="4" t="str">
        <f t="shared" si="89"/>
        <v>1.0倍人力基础工资</v>
      </c>
      <c r="AU826" s="4" t="str">
        <f t="shared" si="85"/>
        <v>个金共享平台部</v>
      </c>
      <c r="AV826" s="4" t="str">
        <f t="shared" si="86"/>
        <v>人力费用</v>
      </c>
      <c r="AW826" s="4" t="str">
        <f>IFERROR(VLOOKUP(AV826,[1]字段!A:B,2,0),"")</f>
        <v>人力费用</v>
      </c>
      <c r="AX826" s="30" t="str">
        <f>IF(AW826="人力费用",IF(E826="","",VLOOKUP(E826,[1]字段!D:E,2,0)),AW826)</f>
        <v>1.0倍人力</v>
      </c>
      <c r="AY826" s="30" t="str">
        <f>IF(AT826="","",VLOOKUP(AT826,[1]字段!H:I,2,0))</f>
        <v>1.0倍人力</v>
      </c>
      <c r="AZ826" s="31">
        <f t="shared" si="90"/>
        <v>0</v>
      </c>
      <c r="BA826" s="31">
        <f t="shared" si="87"/>
        <v>0</v>
      </c>
      <c r="BB826" s="31">
        <f t="shared" si="88"/>
        <v>0</v>
      </c>
      <c r="BC826" s="31">
        <f t="shared" si="91"/>
        <v>0</v>
      </c>
    </row>
    <row r="827" spans="1:55" ht="28.5" customHeight="1">
      <c r="A827" s="32"/>
      <c r="B827" s="32"/>
      <c r="C827" s="32"/>
      <c r="D827" s="40"/>
      <c r="E827" s="39">
        <v>5501010602</v>
      </c>
      <c r="F827" s="3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  <c r="AA827" s="29"/>
      <c r="AB827" s="29"/>
      <c r="AC827" s="29"/>
      <c r="AD827" s="29"/>
      <c r="AE827" s="29"/>
      <c r="AJ827"/>
      <c r="AK827"/>
      <c r="AL827"/>
      <c r="AM827"/>
      <c r="AN827"/>
      <c r="AO827"/>
      <c r="AP827"/>
      <c r="AQ827"/>
      <c r="AR827"/>
      <c r="AS827"/>
      <c r="AT827" s="4" t="str">
        <f t="shared" si="89"/>
        <v>利润分享</v>
      </c>
      <c r="AU827" s="4" t="str">
        <f t="shared" si="85"/>
        <v>个金共享平台部</v>
      </c>
      <c r="AV827" s="4" t="str">
        <f t="shared" si="86"/>
        <v>人力费用</v>
      </c>
      <c r="AW827" s="4" t="str">
        <f>IFERROR(VLOOKUP(AV827,[1]字段!A:B,2,0),"")</f>
        <v>人力费用</v>
      </c>
      <c r="AX827" s="30" t="str">
        <f>IF(AW827="人力费用",IF(E827="","",VLOOKUP(E827,[1]字段!D:E,2,0)),AW827)</f>
        <v>利润分享</v>
      </c>
      <c r="AY827" s="30" t="str">
        <f>IF(AT827="","",VLOOKUP(AT827,[1]字段!H:I,2,0))</f>
        <v>利润分享</v>
      </c>
      <c r="AZ827" s="31">
        <f t="shared" si="90"/>
        <v>0</v>
      </c>
      <c r="BA827" s="31">
        <f t="shared" si="87"/>
        <v>0</v>
      </c>
      <c r="BB827" s="31">
        <f t="shared" si="88"/>
        <v>0</v>
      </c>
      <c r="BC827" s="31">
        <f t="shared" si="91"/>
        <v>0</v>
      </c>
    </row>
    <row r="828" spans="1:55" ht="28.5" customHeight="1">
      <c r="A828" s="32"/>
      <c r="B828" s="32"/>
      <c r="C828" s="32"/>
      <c r="D828" s="40"/>
      <c r="E828" s="39">
        <v>5501010603</v>
      </c>
      <c r="F828" s="3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  <c r="AA828" s="29"/>
      <c r="AB828" s="29"/>
      <c r="AC828" s="29"/>
      <c r="AD828" s="29"/>
      <c r="AE828" s="29"/>
      <c r="AJ828"/>
      <c r="AK828"/>
      <c r="AL828"/>
      <c r="AM828"/>
      <c r="AN828"/>
      <c r="AO828"/>
      <c r="AP828"/>
      <c r="AQ828"/>
      <c r="AR828"/>
      <c r="AS828"/>
      <c r="AT828" s="4" t="str">
        <f t="shared" si="89"/>
        <v>留任奖励</v>
      </c>
      <c r="AU828" s="4" t="str">
        <f t="shared" si="85"/>
        <v>个金共享平台部</v>
      </c>
      <c r="AV828" s="4" t="str">
        <f t="shared" si="86"/>
        <v>人力费用</v>
      </c>
      <c r="AW828" s="4" t="str">
        <f>IFERROR(VLOOKUP(AV828,[1]字段!A:B,2,0),"")</f>
        <v>人力费用</v>
      </c>
      <c r="AX828" s="30" t="str">
        <f>IF(AW828="人力费用",IF(E828="","",VLOOKUP(E828,[1]字段!D:E,2,0)),AW828)</f>
        <v>留任奖励</v>
      </c>
      <c r="AY828" s="30" t="str">
        <f>IF(AT828="","",VLOOKUP(AT828,[1]字段!H:I,2,0))</f>
        <v>留任奖励</v>
      </c>
      <c r="AZ828" s="31">
        <f t="shared" si="90"/>
        <v>0</v>
      </c>
      <c r="BA828" s="31">
        <f t="shared" si="87"/>
        <v>0</v>
      </c>
      <c r="BB828" s="31">
        <f t="shared" si="88"/>
        <v>0</v>
      </c>
      <c r="BC828" s="31">
        <f t="shared" si="91"/>
        <v>0</v>
      </c>
    </row>
    <row r="829" spans="1:55" ht="28.5" customHeight="1">
      <c r="A829" s="32"/>
      <c r="B829" s="32"/>
      <c r="C829" s="32"/>
      <c r="D829" s="40"/>
      <c r="E829" s="39">
        <v>5501010604</v>
      </c>
      <c r="F829" s="3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  <c r="AA829" s="29"/>
      <c r="AB829" s="29"/>
      <c r="AC829" s="29"/>
      <c r="AD829" s="29"/>
      <c r="AE829" s="29"/>
      <c r="AJ829"/>
      <c r="AK829"/>
      <c r="AL829"/>
      <c r="AM829"/>
      <c r="AN829"/>
      <c r="AO829"/>
      <c r="AP829"/>
      <c r="AQ829"/>
      <c r="AR829"/>
      <c r="AS829"/>
      <c r="AT829" s="4" t="str">
        <f t="shared" si="89"/>
        <v>1.0倍人力</v>
      </c>
      <c r="AU829" s="4" t="str">
        <f t="shared" si="85"/>
        <v>个金共享平台部</v>
      </c>
      <c r="AV829" s="4" t="str">
        <f t="shared" si="86"/>
        <v>人力费用</v>
      </c>
      <c r="AW829" s="4" t="str">
        <f>IFERROR(VLOOKUP(AV829,[1]字段!A:B,2,0),"")</f>
        <v>人力费用</v>
      </c>
      <c r="AX829" s="30" t="str">
        <f>IF(AW829="人力费用",IF(E829="","",VLOOKUP(E829,[1]字段!D:E,2,0)),AW829)</f>
        <v>1.0倍人力</v>
      </c>
      <c r="AY829" s="30" t="str">
        <f>IF(AT829="","",VLOOKUP(AT829,[1]字段!H:I,2,0))</f>
        <v>1.0倍人力</v>
      </c>
      <c r="AZ829" s="31">
        <f t="shared" si="90"/>
        <v>0</v>
      </c>
      <c r="BA829" s="31">
        <f t="shared" si="87"/>
        <v>0</v>
      </c>
      <c r="BB829" s="31">
        <f t="shared" si="88"/>
        <v>0</v>
      </c>
      <c r="BC829" s="31">
        <f t="shared" si="91"/>
        <v>0</v>
      </c>
    </row>
    <row r="830" spans="1:55" ht="28.5" customHeight="1">
      <c r="A830" s="32"/>
      <c r="B830" s="32"/>
      <c r="C830" s="32"/>
      <c r="D830" s="40"/>
      <c r="E830" s="39" t="s">
        <v>43</v>
      </c>
      <c r="F830" s="39" t="s">
        <v>44</v>
      </c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  <c r="AA830" s="29"/>
      <c r="AB830" s="29"/>
      <c r="AC830" s="29"/>
      <c r="AD830" s="29"/>
      <c r="AE830" s="29"/>
      <c r="AJ830"/>
      <c r="AK830"/>
      <c r="AL830"/>
      <c r="AM830"/>
      <c r="AN830"/>
      <c r="AO830"/>
      <c r="AP830"/>
      <c r="AQ830"/>
      <c r="AR830"/>
      <c r="AS830"/>
      <c r="AT830" s="4" t="str">
        <f t="shared" si="89"/>
        <v>1.0倍人力团队建设费</v>
      </c>
      <c r="AU830" s="4" t="str">
        <f t="shared" si="85"/>
        <v>个金共享平台部</v>
      </c>
      <c r="AV830" s="4" t="str">
        <f t="shared" si="86"/>
        <v>人力费用</v>
      </c>
      <c r="AW830" s="4" t="str">
        <f>IFERROR(VLOOKUP(AV830,[1]字段!A:B,2,0),"")</f>
        <v>人力费用</v>
      </c>
      <c r="AX830" s="30" t="str">
        <f>IF(AW830="人力费用",IF(E830="","",VLOOKUP(E830,[1]字段!D:E,2,0)),AW830)</f>
        <v>1.0倍人力</v>
      </c>
      <c r="AY830" s="30" t="str">
        <f>IF(AT830="","",VLOOKUP(AT830,[1]字段!H:I,2,0))</f>
        <v>1.0倍人力</v>
      </c>
      <c r="AZ830" s="31">
        <f t="shared" si="90"/>
        <v>0</v>
      </c>
      <c r="BA830" s="31">
        <f t="shared" si="87"/>
        <v>0</v>
      </c>
      <c r="BB830" s="31">
        <f t="shared" si="88"/>
        <v>0</v>
      </c>
      <c r="BC830" s="31">
        <f t="shared" si="91"/>
        <v>0</v>
      </c>
    </row>
    <row r="831" spans="1:55" ht="28.5" customHeight="1">
      <c r="A831" s="32"/>
      <c r="B831" s="32"/>
      <c r="C831" s="32"/>
      <c r="D831" s="40"/>
      <c r="E831" s="39" t="s">
        <v>45</v>
      </c>
      <c r="F831" s="39" t="s">
        <v>46</v>
      </c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  <c r="AA831" s="29"/>
      <c r="AB831" s="29"/>
      <c r="AC831" s="29"/>
      <c r="AD831" s="29"/>
      <c r="AE831" s="29"/>
      <c r="AJ831"/>
      <c r="AK831"/>
      <c r="AL831"/>
      <c r="AM831"/>
      <c r="AN831"/>
      <c r="AO831"/>
      <c r="AP831"/>
      <c r="AQ831"/>
      <c r="AR831"/>
      <c r="AS831"/>
      <c r="AT831" s="4" t="str">
        <f t="shared" si="89"/>
        <v>1.0倍人力其他职工福利费</v>
      </c>
      <c r="AU831" s="4" t="str">
        <f t="shared" si="85"/>
        <v>个金共享平台部</v>
      </c>
      <c r="AV831" s="4" t="str">
        <f t="shared" si="86"/>
        <v>人力费用</v>
      </c>
      <c r="AW831" s="4" t="str">
        <f>IFERROR(VLOOKUP(AV831,[1]字段!A:B,2,0),"")</f>
        <v>人力费用</v>
      </c>
      <c r="AX831" s="30" t="str">
        <f>IF(AW831="人力费用",IF(E831="","",VLOOKUP(E831,[1]字段!D:E,2,0)),AW831)</f>
        <v>1.0倍人力</v>
      </c>
      <c r="AY831" s="30" t="str">
        <f>IF(AT831="","",VLOOKUP(AT831,[1]字段!H:I,2,0))</f>
        <v>1.0倍人力</v>
      </c>
      <c r="AZ831" s="31">
        <f t="shared" si="90"/>
        <v>0</v>
      </c>
      <c r="BA831" s="31">
        <f t="shared" si="87"/>
        <v>0</v>
      </c>
      <c r="BB831" s="31">
        <f t="shared" si="88"/>
        <v>0</v>
      </c>
      <c r="BC831" s="31">
        <f t="shared" si="91"/>
        <v>0</v>
      </c>
    </row>
    <row r="832" spans="1:55" ht="28.5" customHeight="1">
      <c r="A832" s="32"/>
      <c r="B832" s="32"/>
      <c r="C832" s="32"/>
      <c r="D832" s="40"/>
      <c r="E832" s="39" t="s">
        <v>47</v>
      </c>
      <c r="F832" s="39" t="s">
        <v>48</v>
      </c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  <c r="AA832" s="29"/>
      <c r="AB832" s="29"/>
      <c r="AC832" s="29"/>
      <c r="AD832" s="29"/>
      <c r="AE832" s="29"/>
      <c r="AJ832"/>
      <c r="AK832"/>
      <c r="AL832"/>
      <c r="AM832"/>
      <c r="AN832"/>
      <c r="AO832"/>
      <c r="AP832"/>
      <c r="AQ832"/>
      <c r="AR832"/>
      <c r="AS832"/>
      <c r="AT832" s="4" t="str">
        <f t="shared" si="89"/>
        <v>1.0倍人力工会经费</v>
      </c>
      <c r="AU832" s="4" t="str">
        <f t="shared" si="85"/>
        <v>个金共享平台部</v>
      </c>
      <c r="AV832" s="4" t="str">
        <f t="shared" si="86"/>
        <v>人力费用</v>
      </c>
      <c r="AW832" s="4" t="str">
        <f>IFERROR(VLOOKUP(AV832,[1]字段!A:B,2,0),"")</f>
        <v>人力费用</v>
      </c>
      <c r="AX832" s="30" t="str">
        <f>IF(AW832="人力费用",IF(E832="","",VLOOKUP(E832,[1]字段!D:E,2,0)),AW832)</f>
        <v>1.0倍人力</v>
      </c>
      <c r="AY832" s="30" t="str">
        <f>IF(AT832="","",VLOOKUP(AT832,[1]字段!H:I,2,0))</f>
        <v>1.0倍人力</v>
      </c>
      <c r="AZ832" s="31">
        <f t="shared" si="90"/>
        <v>0</v>
      </c>
      <c r="BA832" s="31">
        <f t="shared" si="87"/>
        <v>0</v>
      </c>
      <c r="BB832" s="31">
        <f t="shared" si="88"/>
        <v>0</v>
      </c>
      <c r="BC832" s="31">
        <f t="shared" si="91"/>
        <v>0</v>
      </c>
    </row>
    <row r="833" spans="1:55" ht="28.5" customHeight="1">
      <c r="A833" s="32"/>
      <c r="B833" s="32"/>
      <c r="C833" s="32"/>
      <c r="D833" s="40"/>
      <c r="E833" s="39" t="s">
        <v>49</v>
      </c>
      <c r="F833" s="39" t="s">
        <v>50</v>
      </c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  <c r="AA833" s="29"/>
      <c r="AB833" s="29"/>
      <c r="AC833" s="29"/>
      <c r="AD833" s="29"/>
      <c r="AE833" s="29"/>
      <c r="AJ833"/>
      <c r="AK833"/>
      <c r="AL833"/>
      <c r="AM833"/>
      <c r="AN833"/>
      <c r="AO833"/>
      <c r="AP833"/>
      <c r="AQ833"/>
      <c r="AR833"/>
      <c r="AS833"/>
      <c r="AT833" s="4" t="str">
        <f t="shared" si="89"/>
        <v>1.0倍人力基本养老保险</v>
      </c>
      <c r="AU833" s="4" t="str">
        <f t="shared" si="85"/>
        <v>个金共享平台部</v>
      </c>
      <c r="AV833" s="4" t="str">
        <f t="shared" si="86"/>
        <v>人力费用</v>
      </c>
      <c r="AW833" s="4" t="str">
        <f>IFERROR(VLOOKUP(AV833,[1]字段!A:B,2,0),"")</f>
        <v>人力费用</v>
      </c>
      <c r="AX833" s="30" t="str">
        <f>IF(AW833="人力费用",IF(E833="","",VLOOKUP(E833,[1]字段!D:E,2,0)),AW833)</f>
        <v>1.0倍人力</v>
      </c>
      <c r="AY833" s="30" t="str">
        <f>IF(AT833="","",VLOOKUP(AT833,[1]字段!H:I,2,0))</f>
        <v>1.0倍人力</v>
      </c>
      <c r="AZ833" s="31">
        <f t="shared" si="90"/>
        <v>0</v>
      </c>
      <c r="BA833" s="31">
        <f t="shared" si="87"/>
        <v>0</v>
      </c>
      <c r="BB833" s="31">
        <f t="shared" si="88"/>
        <v>0</v>
      </c>
      <c r="BC833" s="31">
        <f t="shared" si="91"/>
        <v>0</v>
      </c>
    </row>
    <row r="834" spans="1:55" ht="28.5" customHeight="1">
      <c r="A834" s="32"/>
      <c r="B834" s="32"/>
      <c r="C834" s="32"/>
      <c r="D834" s="40"/>
      <c r="E834" s="39" t="s">
        <v>51</v>
      </c>
      <c r="F834" s="39" t="s">
        <v>52</v>
      </c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  <c r="AA834" s="29"/>
      <c r="AB834" s="29"/>
      <c r="AC834" s="29"/>
      <c r="AD834" s="29"/>
      <c r="AE834" s="29"/>
      <c r="AJ834"/>
      <c r="AK834"/>
      <c r="AL834"/>
      <c r="AM834"/>
      <c r="AN834"/>
      <c r="AO834"/>
      <c r="AP834"/>
      <c r="AQ834"/>
      <c r="AR834"/>
      <c r="AS834"/>
      <c r="AT834" s="4" t="str">
        <f t="shared" si="89"/>
        <v>1.0倍人力基本医疗保险</v>
      </c>
      <c r="AU834" s="4" t="str">
        <f t="shared" si="85"/>
        <v>个金共享平台部</v>
      </c>
      <c r="AV834" s="4" t="str">
        <f t="shared" si="86"/>
        <v>人力费用</v>
      </c>
      <c r="AW834" s="4" t="str">
        <f>IFERROR(VLOOKUP(AV834,[1]字段!A:B,2,0),"")</f>
        <v>人力费用</v>
      </c>
      <c r="AX834" s="30" t="str">
        <f>IF(AW834="人力费用",IF(E834="","",VLOOKUP(E834,[1]字段!D:E,2,0)),AW834)</f>
        <v>1.0倍人力</v>
      </c>
      <c r="AY834" s="30" t="str">
        <f>IF(AT834="","",VLOOKUP(AT834,[1]字段!H:I,2,0))</f>
        <v>1.0倍人力</v>
      </c>
      <c r="AZ834" s="31">
        <f t="shared" si="90"/>
        <v>0</v>
      </c>
      <c r="BA834" s="31">
        <f t="shared" si="87"/>
        <v>0</v>
      </c>
      <c r="BB834" s="31">
        <f t="shared" si="88"/>
        <v>0</v>
      </c>
      <c r="BC834" s="31">
        <f t="shared" si="91"/>
        <v>0</v>
      </c>
    </row>
    <row r="835" spans="1:55" ht="28.5" customHeight="1">
      <c r="A835" s="32"/>
      <c r="B835" s="32"/>
      <c r="C835" s="32"/>
      <c r="D835" s="40"/>
      <c r="E835" s="39" t="s">
        <v>53</v>
      </c>
      <c r="F835" s="39" t="s">
        <v>54</v>
      </c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  <c r="AA835" s="29"/>
      <c r="AB835" s="29"/>
      <c r="AC835" s="29"/>
      <c r="AD835" s="29"/>
      <c r="AE835" s="29"/>
      <c r="AJ835"/>
      <c r="AK835"/>
      <c r="AL835"/>
      <c r="AM835"/>
      <c r="AN835"/>
      <c r="AO835"/>
      <c r="AP835"/>
      <c r="AQ835"/>
      <c r="AR835"/>
      <c r="AS835"/>
      <c r="AT835" s="4" t="str">
        <f t="shared" si="89"/>
        <v>1.0倍人力工伤保险</v>
      </c>
      <c r="AU835" s="4" t="str">
        <f t="shared" si="85"/>
        <v>个金共享平台部</v>
      </c>
      <c r="AV835" s="4" t="str">
        <f t="shared" si="86"/>
        <v>人力费用</v>
      </c>
      <c r="AW835" s="4" t="str">
        <f>IFERROR(VLOOKUP(AV835,[1]字段!A:B,2,0),"")</f>
        <v>人力费用</v>
      </c>
      <c r="AX835" s="30" t="str">
        <f>IF(AW835="人力费用",IF(E835="","",VLOOKUP(E835,[1]字段!D:E,2,0)),AW835)</f>
        <v>1.0倍人力</v>
      </c>
      <c r="AY835" s="30" t="str">
        <f>IF(AT835="","",VLOOKUP(AT835,[1]字段!H:I,2,0))</f>
        <v>1.0倍人力</v>
      </c>
      <c r="AZ835" s="31">
        <f t="shared" si="90"/>
        <v>0</v>
      </c>
      <c r="BA835" s="31">
        <f t="shared" si="87"/>
        <v>0</v>
      </c>
      <c r="BB835" s="31">
        <f t="shared" si="88"/>
        <v>0</v>
      </c>
      <c r="BC835" s="31">
        <f t="shared" si="91"/>
        <v>0</v>
      </c>
    </row>
    <row r="836" spans="1:55" ht="28.5" customHeight="1">
      <c r="A836" s="32"/>
      <c r="B836" s="32"/>
      <c r="C836" s="32"/>
      <c r="D836" s="40"/>
      <c r="E836" s="39" t="s">
        <v>55</v>
      </c>
      <c r="F836" s="39" t="s">
        <v>56</v>
      </c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  <c r="AA836" s="29"/>
      <c r="AB836" s="29"/>
      <c r="AC836" s="29"/>
      <c r="AD836" s="29"/>
      <c r="AE836" s="29"/>
      <c r="AJ836"/>
      <c r="AK836"/>
      <c r="AL836"/>
      <c r="AM836"/>
      <c r="AN836"/>
      <c r="AO836"/>
      <c r="AP836"/>
      <c r="AQ836"/>
      <c r="AR836"/>
      <c r="AS836"/>
      <c r="AT836" s="4" t="str">
        <f t="shared" si="89"/>
        <v>1.0倍人力生育保险</v>
      </c>
      <c r="AU836" s="4" t="str">
        <f t="shared" si="85"/>
        <v>个金共享平台部</v>
      </c>
      <c r="AV836" s="4" t="str">
        <f t="shared" si="86"/>
        <v>人力费用</v>
      </c>
      <c r="AW836" s="4" t="str">
        <f>IFERROR(VLOOKUP(AV836,[1]字段!A:B,2,0),"")</f>
        <v>人力费用</v>
      </c>
      <c r="AX836" s="30" t="str">
        <f>IF(AW836="人力费用",IF(E836="","",VLOOKUP(E836,[1]字段!D:E,2,0)),AW836)</f>
        <v>1.0倍人力</v>
      </c>
      <c r="AY836" s="30" t="str">
        <f>IF(AT836="","",VLOOKUP(AT836,[1]字段!H:I,2,0))</f>
        <v>1.0倍人力</v>
      </c>
      <c r="AZ836" s="31">
        <f t="shared" si="90"/>
        <v>0</v>
      </c>
      <c r="BA836" s="31">
        <f t="shared" si="87"/>
        <v>0</v>
      </c>
      <c r="BB836" s="31">
        <f t="shared" si="88"/>
        <v>0</v>
      </c>
      <c r="BC836" s="31">
        <f t="shared" si="91"/>
        <v>0</v>
      </c>
    </row>
    <row r="837" spans="1:55" ht="28.5" customHeight="1">
      <c r="A837" s="32"/>
      <c r="B837" s="32"/>
      <c r="C837" s="32"/>
      <c r="D837" s="40"/>
      <c r="E837" s="39" t="s">
        <v>57</v>
      </c>
      <c r="F837" s="39" t="s">
        <v>58</v>
      </c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  <c r="AA837" s="29"/>
      <c r="AB837" s="29"/>
      <c r="AC837" s="29"/>
      <c r="AD837" s="29"/>
      <c r="AE837" s="29"/>
      <c r="AJ837"/>
      <c r="AK837"/>
      <c r="AL837"/>
      <c r="AM837"/>
      <c r="AN837"/>
      <c r="AO837"/>
      <c r="AP837"/>
      <c r="AQ837"/>
      <c r="AR837"/>
      <c r="AS837"/>
      <c r="AT837" s="4" t="str">
        <f t="shared" si="89"/>
        <v>1.0倍人力失业保险</v>
      </c>
      <c r="AU837" s="4" t="str">
        <f t="shared" ref="AU837:AU900" si="92">IF(B837="",AU836,B837)</f>
        <v>个金共享平台部</v>
      </c>
      <c r="AV837" s="4" t="str">
        <f t="shared" ref="AV837:AV900" si="93">IF(B837&lt;&gt;"","",IF(D837="",AV836,D837))</f>
        <v>人力费用</v>
      </c>
      <c r="AW837" s="4" t="str">
        <f>IFERROR(VLOOKUP(AV837,[1]字段!A:B,2,0),"")</f>
        <v>人力费用</v>
      </c>
      <c r="AX837" s="30" t="str">
        <f>IF(AW837="人力费用",IF(E837="","",VLOOKUP(E837,[1]字段!D:E,2,0)),AW837)</f>
        <v>1.0倍人力</v>
      </c>
      <c r="AY837" s="30" t="str">
        <f>IF(AT837="","",VLOOKUP(AT837,[1]字段!H:I,2,0))</f>
        <v>1.0倍人力</v>
      </c>
      <c r="AZ837" s="31">
        <f t="shared" si="90"/>
        <v>0</v>
      </c>
      <c r="BA837" s="31">
        <f t="shared" ref="BA837:BA900" si="94">IF($E837="",0,SUMIF($G$1:$AE$1,BA$4,$G837:$AE837))</f>
        <v>0</v>
      </c>
      <c r="BB837" s="31">
        <f t="shared" ref="BB837:BB900" si="95">AZ837+BA837</f>
        <v>0</v>
      </c>
      <c r="BC837" s="31">
        <f t="shared" si="91"/>
        <v>0</v>
      </c>
    </row>
    <row r="838" spans="1:55" ht="28.5" customHeight="1">
      <c r="A838" s="32"/>
      <c r="B838" s="32"/>
      <c r="C838" s="32"/>
      <c r="D838" s="40"/>
      <c r="E838" s="39" t="s">
        <v>59</v>
      </c>
      <c r="F838" s="39" t="s">
        <v>60</v>
      </c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  <c r="AA838" s="29"/>
      <c r="AB838" s="29"/>
      <c r="AC838" s="29"/>
      <c r="AD838" s="29"/>
      <c r="AE838" s="29"/>
      <c r="AJ838"/>
      <c r="AK838"/>
      <c r="AL838"/>
      <c r="AM838"/>
      <c r="AN838"/>
      <c r="AO838"/>
      <c r="AP838"/>
      <c r="AQ838"/>
      <c r="AR838"/>
      <c r="AS838"/>
      <c r="AT838" s="4" t="str">
        <f t="shared" ref="AT838:AT901" si="96">AX838&amp;F838</f>
        <v>1.0倍人力住房公积金</v>
      </c>
      <c r="AU838" s="4" t="str">
        <f t="shared" si="92"/>
        <v>个金共享平台部</v>
      </c>
      <c r="AV838" s="4" t="str">
        <f t="shared" si="93"/>
        <v>人力费用</v>
      </c>
      <c r="AW838" s="4" t="str">
        <f>IFERROR(VLOOKUP(AV838,[1]字段!A:B,2,0),"")</f>
        <v>人力费用</v>
      </c>
      <c r="AX838" s="30" t="str">
        <f>IF(AW838="人力费用",IF(E838="","",VLOOKUP(E838,[1]字段!D:E,2,0)),AW838)</f>
        <v>1.0倍人力</v>
      </c>
      <c r="AY838" s="30" t="str">
        <f>IF(AT838="","",VLOOKUP(AT838,[1]字段!H:I,2,0))</f>
        <v>1.0倍人力</v>
      </c>
      <c r="AZ838" s="31">
        <f t="shared" ref="AZ838:AZ901" si="97">IF($E838="",0,SUMIF($G$1:$AB$1,AZ$4,$G838:$AB838))</f>
        <v>0</v>
      </c>
      <c r="BA838" s="31">
        <f t="shared" si="94"/>
        <v>0</v>
      </c>
      <c r="BB838" s="31">
        <f t="shared" si="95"/>
        <v>0</v>
      </c>
      <c r="BC838" s="31">
        <f t="shared" ref="BC838:BC901" si="98">IF(E838="",0,SUM(G838:AE838)-AZ838-BA838)</f>
        <v>0</v>
      </c>
    </row>
    <row r="839" spans="1:55" ht="28.5" customHeight="1">
      <c r="A839" s="32"/>
      <c r="B839" s="32"/>
      <c r="C839" s="41"/>
      <c r="D839" s="42"/>
      <c r="E839" s="39" t="s">
        <v>100</v>
      </c>
      <c r="F839" s="39" t="s">
        <v>101</v>
      </c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  <c r="AA839" s="29"/>
      <c r="AB839" s="29"/>
      <c r="AC839" s="29"/>
      <c r="AD839" s="29"/>
      <c r="AE839" s="29"/>
      <c r="AJ839"/>
      <c r="AK839"/>
      <c r="AL839"/>
      <c r="AM839"/>
      <c r="AN839"/>
      <c r="AO839"/>
      <c r="AP839"/>
      <c r="AQ839"/>
      <c r="AR839"/>
      <c r="AS839"/>
      <c r="AT839" s="4" t="str">
        <f t="shared" si="96"/>
        <v>劳务支出劳务支出</v>
      </c>
      <c r="AU839" s="4" t="str">
        <f t="shared" si="92"/>
        <v>个金共享平台部</v>
      </c>
      <c r="AV839" s="4" t="str">
        <f t="shared" si="93"/>
        <v>人力费用</v>
      </c>
      <c r="AW839" s="4" t="str">
        <f>IFERROR(VLOOKUP(AV839,[1]字段!A:B,2,0),"")</f>
        <v>人力费用</v>
      </c>
      <c r="AX839" s="30" t="str">
        <f>IF(AW839="人力费用",IF(E839="","",VLOOKUP(E839,[1]字段!D:E,2,0)),AW839)</f>
        <v>劳务支出</v>
      </c>
      <c r="AY839" s="30" t="str">
        <f>IF(AT839="","",VLOOKUP(AT839,[1]字段!H:I,2,0))</f>
        <v>劳务支出</v>
      </c>
      <c r="AZ839" s="31">
        <f t="shared" si="97"/>
        <v>0</v>
      </c>
      <c r="BA839" s="31">
        <f t="shared" si="94"/>
        <v>0</v>
      </c>
      <c r="BB839" s="31">
        <f t="shared" si="95"/>
        <v>0</v>
      </c>
      <c r="BC839" s="31">
        <f t="shared" si="98"/>
        <v>0</v>
      </c>
    </row>
    <row r="840" spans="1:55" ht="28.5" customHeight="1">
      <c r="C840" s="33" t="s">
        <v>107</v>
      </c>
      <c r="D840" s="34" t="s">
        <v>108</v>
      </c>
      <c r="E840" s="35"/>
      <c r="F840" s="36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  <c r="AA840" s="29"/>
      <c r="AB840" s="29"/>
      <c r="AC840" s="29"/>
      <c r="AD840" s="29"/>
      <c r="AE840" s="29"/>
      <c r="AJ840"/>
      <c r="AK840"/>
      <c r="AL840"/>
      <c r="AM840"/>
      <c r="AN840"/>
      <c r="AO840"/>
      <c r="AP840"/>
      <c r="AQ840"/>
      <c r="AR840"/>
      <c r="AS840"/>
      <c r="AT840" s="4" t="str">
        <f t="shared" si="96"/>
        <v>营销费用</v>
      </c>
      <c r="AU840" s="4" t="str">
        <f t="shared" si="92"/>
        <v>个金共享平台部</v>
      </c>
      <c r="AV840" s="4" t="str">
        <f t="shared" si="93"/>
        <v>营销费用</v>
      </c>
      <c r="AW840" s="4" t="str">
        <f>IFERROR(VLOOKUP(AV840,[1]字段!A:B,2,0),"")</f>
        <v>营销费用</v>
      </c>
      <c r="AX840" s="30" t="str">
        <f>IF(AW840="人力费用",IF(E840="","",VLOOKUP(E840,[1]字段!D:E,2,0)),AW840)</f>
        <v>营销费用</v>
      </c>
      <c r="AY840" s="30">
        <f>IF(AT840="","",VLOOKUP(AT840,[1]字段!H:I,2,0))</f>
        <v>0</v>
      </c>
      <c r="AZ840" s="31">
        <f t="shared" si="97"/>
        <v>0</v>
      </c>
      <c r="BA840" s="31">
        <f t="shared" si="94"/>
        <v>0</v>
      </c>
      <c r="BB840" s="31">
        <f t="shared" si="95"/>
        <v>0</v>
      </c>
      <c r="BC840" s="31">
        <f t="shared" si="98"/>
        <v>0</v>
      </c>
    </row>
    <row r="841" spans="1:55" ht="28.5" customHeight="1">
      <c r="A841" s="32"/>
      <c r="B841" s="32"/>
      <c r="C841" s="43"/>
      <c r="D841" s="43"/>
      <c r="E841" s="39" t="s">
        <v>168</v>
      </c>
      <c r="F841" s="39" t="s">
        <v>169</v>
      </c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  <c r="AA841" s="29"/>
      <c r="AB841" s="29"/>
      <c r="AC841" s="29"/>
      <c r="AD841" s="29"/>
      <c r="AE841" s="29"/>
      <c r="AJ841"/>
      <c r="AK841"/>
      <c r="AL841"/>
      <c r="AM841"/>
      <c r="AN841"/>
      <c r="AO841"/>
      <c r="AP841"/>
      <c r="AQ841"/>
      <c r="AR841"/>
      <c r="AS841"/>
      <c r="AT841" s="4" t="str">
        <f t="shared" si="96"/>
        <v>营销费用坐席租用费</v>
      </c>
      <c r="AU841" s="4" t="str">
        <f t="shared" si="92"/>
        <v>个金共享平台部</v>
      </c>
      <c r="AV841" s="4" t="str">
        <f t="shared" si="93"/>
        <v>营销费用</v>
      </c>
      <c r="AW841" s="4" t="str">
        <f>IFERROR(VLOOKUP(AV841,[1]字段!A:B,2,0),"")</f>
        <v>营销费用</v>
      </c>
      <c r="AX841" s="30" t="str">
        <f>IF(AW841="人力费用",IF(E841="","",VLOOKUP(E841,[1]字段!D:E,2,0)),AW841)</f>
        <v>营销费用</v>
      </c>
      <c r="AY841" s="30" t="str">
        <f>IF(AT841="","",VLOOKUP(AT841,[1]字段!H:I,2,0))</f>
        <v>营销费用</v>
      </c>
      <c r="AZ841" s="31">
        <f t="shared" si="97"/>
        <v>0</v>
      </c>
      <c r="BA841" s="31">
        <f t="shared" si="94"/>
        <v>0</v>
      </c>
      <c r="BB841" s="31">
        <f t="shared" si="95"/>
        <v>0</v>
      </c>
      <c r="BC841" s="31">
        <f t="shared" si="98"/>
        <v>0</v>
      </c>
    </row>
    <row r="842" spans="1:55" ht="28.5" customHeight="1">
      <c r="C842" s="33" t="s">
        <v>162</v>
      </c>
      <c r="D842" s="34" t="s">
        <v>163</v>
      </c>
      <c r="E842" s="35"/>
      <c r="F842" s="36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  <c r="AA842" s="29"/>
      <c r="AB842" s="29"/>
      <c r="AC842" s="29"/>
      <c r="AD842" s="29"/>
      <c r="AE842" s="29"/>
      <c r="AJ842"/>
      <c r="AK842"/>
      <c r="AL842"/>
      <c r="AM842"/>
      <c r="AN842"/>
      <c r="AO842"/>
      <c r="AP842"/>
      <c r="AQ842"/>
      <c r="AR842"/>
      <c r="AS842"/>
      <c r="AT842" s="4" t="str">
        <f t="shared" si="96"/>
        <v>运营费用</v>
      </c>
      <c r="AU842" s="4" t="str">
        <f t="shared" si="92"/>
        <v>个金共享平台部</v>
      </c>
      <c r="AV842" s="4" t="str">
        <f t="shared" si="93"/>
        <v>运营费用</v>
      </c>
      <c r="AW842" s="4" t="str">
        <f>IFERROR(VLOOKUP(AV842,[1]字段!A:B,2,0),"")</f>
        <v>运营费用</v>
      </c>
      <c r="AX842" s="30" t="str">
        <f>IF(AW842="人力费用",IF(E842="","",VLOOKUP(E842,[1]字段!D:E,2,0)),AW842)</f>
        <v>运营费用</v>
      </c>
      <c r="AY842" s="30">
        <f>IF(AT842="","",VLOOKUP(AT842,[1]字段!H:I,2,0))</f>
        <v>0</v>
      </c>
      <c r="AZ842" s="31">
        <f t="shared" si="97"/>
        <v>0</v>
      </c>
      <c r="BA842" s="31">
        <f t="shared" si="94"/>
        <v>0</v>
      </c>
      <c r="BB842" s="31">
        <f t="shared" si="95"/>
        <v>0</v>
      </c>
      <c r="BC842" s="31">
        <f t="shared" si="98"/>
        <v>0</v>
      </c>
    </row>
    <row r="843" spans="1:55" ht="28.5" customHeight="1">
      <c r="A843" s="32"/>
      <c r="B843" s="32"/>
      <c r="C843" s="43"/>
      <c r="D843" s="43"/>
      <c r="E843" s="39" t="s">
        <v>168</v>
      </c>
      <c r="F843" s="39" t="s">
        <v>169</v>
      </c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  <c r="AA843" s="29"/>
      <c r="AB843" s="29"/>
      <c r="AC843" s="29"/>
      <c r="AD843" s="29"/>
      <c r="AE843" s="29"/>
      <c r="AJ843"/>
      <c r="AK843"/>
      <c r="AL843"/>
      <c r="AM843"/>
      <c r="AN843"/>
      <c r="AO843"/>
      <c r="AP843"/>
      <c r="AQ843"/>
      <c r="AR843"/>
      <c r="AS843"/>
      <c r="AT843" s="4" t="str">
        <f t="shared" si="96"/>
        <v>运营费用坐席租用费</v>
      </c>
      <c r="AU843" s="4" t="str">
        <f t="shared" si="92"/>
        <v>个金共享平台部</v>
      </c>
      <c r="AV843" s="4" t="str">
        <f t="shared" si="93"/>
        <v>运营费用</v>
      </c>
      <c r="AW843" s="4" t="str">
        <f>IFERROR(VLOOKUP(AV843,[1]字段!A:B,2,0),"")</f>
        <v>运营费用</v>
      </c>
      <c r="AX843" s="30" t="str">
        <f>IF(AW843="人力费用",IF(E843="","",VLOOKUP(E843,[1]字段!D:E,2,0)),AW843)</f>
        <v>运营费用</v>
      </c>
      <c r="AY843" s="30" t="str">
        <f>IF(AT843="","",VLOOKUP(AT843,[1]字段!H:I,2,0))</f>
        <v>运营费用-客服费</v>
      </c>
      <c r="AZ843" s="31">
        <f t="shared" si="97"/>
        <v>0</v>
      </c>
      <c r="BA843" s="31">
        <f t="shared" si="94"/>
        <v>0</v>
      </c>
      <c r="BB843" s="31">
        <f t="shared" si="95"/>
        <v>0</v>
      </c>
      <c r="BC843" s="31">
        <f t="shared" si="98"/>
        <v>0</v>
      </c>
    </row>
    <row r="844" spans="1:55" ht="28.5" customHeight="1">
      <c r="A844" s="32"/>
      <c r="B844" s="32"/>
      <c r="C844" s="32"/>
      <c r="D844" s="40"/>
      <c r="E844" s="39" t="s">
        <v>181</v>
      </c>
      <c r="F844" s="39" t="s">
        <v>182</v>
      </c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  <c r="AA844" s="29"/>
      <c r="AB844" s="29"/>
      <c r="AC844" s="29"/>
      <c r="AD844" s="29"/>
      <c r="AE844" s="29"/>
      <c r="AJ844"/>
      <c r="AK844"/>
      <c r="AL844"/>
      <c r="AM844"/>
      <c r="AN844"/>
      <c r="AO844"/>
      <c r="AP844"/>
      <c r="AQ844"/>
      <c r="AR844"/>
      <c r="AS844"/>
      <c r="AT844" s="4" t="str">
        <f t="shared" si="96"/>
        <v>运营费用短信费</v>
      </c>
      <c r="AU844" s="4" t="str">
        <f t="shared" si="92"/>
        <v>个金共享平台部</v>
      </c>
      <c r="AV844" s="4" t="str">
        <f t="shared" si="93"/>
        <v>运营费用</v>
      </c>
      <c r="AW844" s="4" t="str">
        <f>IFERROR(VLOOKUP(AV844,[1]字段!A:B,2,0),"")</f>
        <v>运营费用</v>
      </c>
      <c r="AX844" s="30" t="str">
        <f>IF(AW844="人力费用",IF(E844="","",VLOOKUP(E844,[1]字段!D:E,2,0)),AW844)</f>
        <v>运营费用</v>
      </c>
      <c r="AY844" s="30" t="str">
        <f>IF(AT844="","",VLOOKUP(AT844,[1]字段!H:I,2,0))</f>
        <v>运营费用-短信费</v>
      </c>
      <c r="AZ844" s="31">
        <f t="shared" si="97"/>
        <v>0</v>
      </c>
      <c r="BA844" s="31">
        <f t="shared" si="94"/>
        <v>0</v>
      </c>
      <c r="BB844" s="31">
        <f t="shared" si="95"/>
        <v>0</v>
      </c>
      <c r="BC844" s="31">
        <f t="shared" si="98"/>
        <v>0</v>
      </c>
    </row>
    <row r="845" spans="1:55" ht="28.5" customHeight="1">
      <c r="A845" s="32"/>
      <c r="B845" s="32"/>
      <c r="C845" s="32"/>
      <c r="D845" s="40"/>
      <c r="E845" s="39" t="s">
        <v>135</v>
      </c>
      <c r="F845" s="39" t="s">
        <v>136</v>
      </c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  <c r="AA845" s="29"/>
      <c r="AB845" s="29"/>
      <c r="AC845" s="29"/>
      <c r="AD845" s="29"/>
      <c r="AE845" s="29"/>
      <c r="AJ845"/>
      <c r="AK845"/>
      <c r="AL845"/>
      <c r="AM845"/>
      <c r="AN845"/>
      <c r="AO845"/>
      <c r="AP845"/>
      <c r="AQ845"/>
      <c r="AR845"/>
      <c r="AS845"/>
      <c r="AT845" s="4" t="str">
        <f t="shared" si="96"/>
        <v>运营费用其他邮电费</v>
      </c>
      <c r="AU845" s="4" t="str">
        <f t="shared" si="92"/>
        <v>个金共享平台部</v>
      </c>
      <c r="AV845" s="4" t="str">
        <f t="shared" si="93"/>
        <v>运营费用</v>
      </c>
      <c r="AW845" s="4" t="str">
        <f>IFERROR(VLOOKUP(AV845,[1]字段!A:B,2,0),"")</f>
        <v>运营费用</v>
      </c>
      <c r="AX845" s="30" t="str">
        <f>IF(AW845="人力费用",IF(E845="","",VLOOKUP(E845,[1]字段!D:E,2,0)),AW845)</f>
        <v>运营费用</v>
      </c>
      <c r="AY845" s="30" t="str">
        <f>IF(AT845="","",VLOOKUP(AT845,[1]字段!H:I,2,0))</f>
        <v>运营费用-运营其他</v>
      </c>
      <c r="AZ845" s="31">
        <f t="shared" si="97"/>
        <v>0</v>
      </c>
      <c r="BA845" s="31">
        <f t="shared" si="94"/>
        <v>0</v>
      </c>
      <c r="BB845" s="31">
        <f t="shared" si="95"/>
        <v>0</v>
      </c>
      <c r="BC845" s="31">
        <f t="shared" si="98"/>
        <v>0</v>
      </c>
    </row>
    <row r="846" spans="1:55" ht="28.5" customHeight="1">
      <c r="A846" s="32"/>
      <c r="B846" s="32"/>
      <c r="C846" s="32"/>
      <c r="D846" s="40"/>
      <c r="E846" s="39" t="s">
        <v>91</v>
      </c>
      <c r="F846" s="39" t="s">
        <v>92</v>
      </c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  <c r="AA846" s="29"/>
      <c r="AB846" s="29"/>
      <c r="AC846" s="29"/>
      <c r="AD846" s="29"/>
      <c r="AE846" s="29"/>
      <c r="AJ846"/>
      <c r="AK846"/>
      <c r="AL846"/>
      <c r="AM846"/>
      <c r="AN846"/>
      <c r="AO846"/>
      <c r="AP846"/>
      <c r="AQ846"/>
      <c r="AR846"/>
      <c r="AS846"/>
      <c r="AT846" s="4" t="str">
        <f t="shared" si="96"/>
        <v>运营费用办公费用</v>
      </c>
      <c r="AU846" s="4" t="str">
        <f t="shared" si="92"/>
        <v>个金共享平台部</v>
      </c>
      <c r="AV846" s="4" t="str">
        <f t="shared" si="93"/>
        <v>运营费用</v>
      </c>
      <c r="AW846" s="4" t="str">
        <f>IFERROR(VLOOKUP(AV846,[1]字段!A:B,2,0),"")</f>
        <v>运营费用</v>
      </c>
      <c r="AX846" s="30" t="str">
        <f>IF(AW846="人力费用",IF(E846="","",VLOOKUP(E846,[1]字段!D:E,2,0)),AW846)</f>
        <v>运营费用</v>
      </c>
      <c r="AY846" s="30" t="str">
        <f>IF(AT846="","",VLOOKUP(AT846,[1]字段!H:I,2,0))</f>
        <v>运营费用-运营其他</v>
      </c>
      <c r="AZ846" s="31">
        <f t="shared" si="97"/>
        <v>0</v>
      </c>
      <c r="BA846" s="31">
        <f t="shared" si="94"/>
        <v>0</v>
      </c>
      <c r="BB846" s="31">
        <f t="shared" si="95"/>
        <v>0</v>
      </c>
      <c r="BC846" s="31">
        <f t="shared" si="98"/>
        <v>0</v>
      </c>
    </row>
    <row r="847" spans="1:55" ht="28.5" customHeight="1">
      <c r="A847" s="32"/>
      <c r="B847" s="32"/>
      <c r="C847" s="32"/>
      <c r="D847" s="40"/>
      <c r="E847" s="39" t="s">
        <v>172</v>
      </c>
      <c r="F847" s="39" t="s">
        <v>173</v>
      </c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  <c r="AA847" s="29"/>
      <c r="AB847" s="29"/>
      <c r="AC847" s="29"/>
      <c r="AD847" s="29"/>
      <c r="AE847" s="29"/>
      <c r="AJ847"/>
      <c r="AK847"/>
      <c r="AL847"/>
      <c r="AM847"/>
      <c r="AN847"/>
      <c r="AO847"/>
      <c r="AP847"/>
      <c r="AQ847"/>
      <c r="AR847"/>
      <c r="AS847"/>
      <c r="AT847" s="4" t="str">
        <f t="shared" si="96"/>
        <v>运营费用客服费</v>
      </c>
      <c r="AU847" s="4" t="str">
        <f t="shared" si="92"/>
        <v>个金共享平台部</v>
      </c>
      <c r="AV847" s="4" t="str">
        <f t="shared" si="93"/>
        <v>运营费用</v>
      </c>
      <c r="AW847" s="4" t="str">
        <f>IFERROR(VLOOKUP(AV847,[1]字段!A:B,2,0),"")</f>
        <v>运营费用</v>
      </c>
      <c r="AX847" s="30" t="str">
        <f>IF(AW847="人力费用",IF(E847="","",VLOOKUP(E847,[1]字段!D:E,2,0)),AW847)</f>
        <v>运营费用</v>
      </c>
      <c r="AY847" s="30" t="str">
        <f>IF(AT847="","",VLOOKUP(AT847,[1]字段!H:I,2,0))</f>
        <v>运营费用-客服费</v>
      </c>
      <c r="AZ847" s="31">
        <f t="shared" si="97"/>
        <v>0</v>
      </c>
      <c r="BA847" s="31">
        <f t="shared" si="94"/>
        <v>0</v>
      </c>
      <c r="BB847" s="31">
        <f t="shared" si="95"/>
        <v>0</v>
      </c>
      <c r="BC847" s="31">
        <f t="shared" si="98"/>
        <v>0</v>
      </c>
    </row>
    <row r="848" spans="1:55" ht="28.5" customHeight="1">
      <c r="A848" s="32"/>
      <c r="B848" s="32"/>
      <c r="C848" s="41"/>
      <c r="D848" s="42"/>
      <c r="E848" s="39" t="s">
        <v>83</v>
      </c>
      <c r="F848" s="39" t="s">
        <v>84</v>
      </c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  <c r="AA848" s="29"/>
      <c r="AB848" s="29"/>
      <c r="AC848" s="29"/>
      <c r="AD848" s="29"/>
      <c r="AE848" s="29"/>
      <c r="AJ848"/>
      <c r="AK848"/>
      <c r="AL848"/>
      <c r="AM848"/>
      <c r="AN848"/>
      <c r="AO848"/>
      <c r="AP848"/>
      <c r="AQ848"/>
      <c r="AR848"/>
      <c r="AS848"/>
      <c r="AT848" s="4" t="str">
        <f t="shared" si="96"/>
        <v>运营费用其他外包服务费</v>
      </c>
      <c r="AU848" s="4" t="str">
        <f t="shared" si="92"/>
        <v>个金共享平台部</v>
      </c>
      <c r="AV848" s="4" t="str">
        <f t="shared" si="93"/>
        <v>运营费用</v>
      </c>
      <c r="AW848" s="4" t="str">
        <f>IFERROR(VLOOKUP(AV848,[1]字段!A:B,2,0),"")</f>
        <v>运营费用</v>
      </c>
      <c r="AX848" s="30" t="str">
        <f>IF(AW848="人力费用",IF(E848="","",VLOOKUP(E848,[1]字段!D:E,2,0)),AW848)</f>
        <v>运营费用</v>
      </c>
      <c r="AY848" s="30" t="str">
        <f>IF(AT848="","",VLOOKUP(AT848,[1]字段!H:I,2,0))</f>
        <v>运营费用-外包服务费</v>
      </c>
      <c r="AZ848" s="31">
        <f t="shared" si="97"/>
        <v>0</v>
      </c>
      <c r="BA848" s="31">
        <f t="shared" si="94"/>
        <v>0</v>
      </c>
      <c r="BB848" s="31">
        <f t="shared" si="95"/>
        <v>0</v>
      </c>
      <c r="BC848" s="31">
        <f t="shared" si="98"/>
        <v>0</v>
      </c>
    </row>
    <row r="849" spans="1:55" ht="28.5" customHeight="1">
      <c r="C849" s="33" t="s">
        <v>61</v>
      </c>
      <c r="D849" s="34" t="s">
        <v>62</v>
      </c>
      <c r="E849" s="35"/>
      <c r="F849" s="36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  <c r="AA849" s="29"/>
      <c r="AB849" s="29"/>
      <c r="AC849" s="29"/>
      <c r="AD849" s="29"/>
      <c r="AE849" s="29"/>
      <c r="AJ849"/>
      <c r="AK849"/>
      <c r="AL849"/>
      <c r="AM849"/>
      <c r="AN849"/>
      <c r="AO849"/>
      <c r="AP849"/>
      <c r="AQ849"/>
      <c r="AR849"/>
      <c r="AS849"/>
      <c r="AT849" s="4" t="str">
        <f t="shared" si="96"/>
        <v>运营费用</v>
      </c>
      <c r="AU849" s="4" t="str">
        <f t="shared" si="92"/>
        <v>个金共享平台部</v>
      </c>
      <c r="AV849" s="4" t="str">
        <f t="shared" si="93"/>
        <v>IT运营费用</v>
      </c>
      <c r="AW849" s="4" t="str">
        <f>IFERROR(VLOOKUP(AV849,[1]字段!A:B,2,0),"")</f>
        <v>运营费用</v>
      </c>
      <c r="AX849" s="30" t="str">
        <f>IF(AW849="人力费用",IF(E849="","",VLOOKUP(E849,[1]字段!D:E,2,0)),AW849)</f>
        <v>运营费用</v>
      </c>
      <c r="AY849" s="30">
        <f>IF(AT849="","",VLOOKUP(AT849,[1]字段!H:I,2,0))</f>
        <v>0</v>
      </c>
      <c r="AZ849" s="31">
        <f t="shared" si="97"/>
        <v>0</v>
      </c>
      <c r="BA849" s="31">
        <f t="shared" si="94"/>
        <v>0</v>
      </c>
      <c r="BB849" s="31">
        <f t="shared" si="95"/>
        <v>0</v>
      </c>
      <c r="BC849" s="31">
        <f t="shared" si="98"/>
        <v>0</v>
      </c>
    </row>
    <row r="850" spans="1:55" ht="28.5" customHeight="1">
      <c r="A850" s="32"/>
      <c r="B850" s="32"/>
      <c r="C850" s="43"/>
      <c r="D850" s="43"/>
      <c r="E850" s="39" t="s">
        <v>63</v>
      </c>
      <c r="F850" s="39" t="s">
        <v>64</v>
      </c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  <c r="AA850" s="29"/>
      <c r="AB850" s="29"/>
      <c r="AC850" s="29"/>
      <c r="AD850" s="29"/>
      <c r="AE850" s="29"/>
      <c r="AJ850"/>
      <c r="AK850"/>
      <c r="AL850"/>
      <c r="AM850"/>
      <c r="AN850"/>
      <c r="AO850"/>
      <c r="AP850"/>
      <c r="AQ850"/>
      <c r="AR850"/>
      <c r="AS850"/>
      <c r="AT850" s="4" t="str">
        <f t="shared" si="96"/>
        <v>运营费用信息资料费</v>
      </c>
      <c r="AU850" s="4" t="str">
        <f t="shared" si="92"/>
        <v>个金共享平台部</v>
      </c>
      <c r="AV850" s="4" t="str">
        <f t="shared" si="93"/>
        <v>IT运营费用</v>
      </c>
      <c r="AW850" s="4" t="str">
        <f>IFERROR(VLOOKUP(AV850,[1]字段!A:B,2,0),"")</f>
        <v>运营费用</v>
      </c>
      <c r="AX850" s="30" t="str">
        <f>IF(AW850="人力费用",IF(E850="","",VLOOKUP(E850,[1]字段!D:E,2,0)),AW850)</f>
        <v>运营费用</v>
      </c>
      <c r="AY850" s="30" t="str">
        <f>IF(AT850="","",VLOOKUP(AT850,[1]字段!H:I,2,0))</f>
        <v>运营费用-运营其他</v>
      </c>
      <c r="AZ850" s="31">
        <f t="shared" si="97"/>
        <v>0</v>
      </c>
      <c r="BA850" s="31">
        <f t="shared" si="94"/>
        <v>0</v>
      </c>
      <c r="BB850" s="31">
        <f t="shared" si="95"/>
        <v>0</v>
      </c>
      <c r="BC850" s="31">
        <f t="shared" si="98"/>
        <v>0</v>
      </c>
    </row>
    <row r="851" spans="1:55" ht="28.5" customHeight="1">
      <c r="C851" s="33" t="s">
        <v>65</v>
      </c>
      <c r="D851" s="34" t="s">
        <v>66</v>
      </c>
      <c r="E851" s="35"/>
      <c r="F851" s="36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  <c r="AA851" s="29"/>
      <c r="AB851" s="29"/>
      <c r="AC851" s="29"/>
      <c r="AD851" s="29"/>
      <c r="AE851" s="29"/>
      <c r="AJ851"/>
      <c r="AK851"/>
      <c r="AL851"/>
      <c r="AM851"/>
      <c r="AN851"/>
      <c r="AO851"/>
      <c r="AP851"/>
      <c r="AQ851"/>
      <c r="AR851"/>
      <c r="AS851"/>
      <c r="AT851" s="4" t="str">
        <f t="shared" si="96"/>
        <v>IT费用</v>
      </c>
      <c r="AU851" s="4" t="str">
        <f t="shared" si="92"/>
        <v>个金共享平台部</v>
      </c>
      <c r="AV851" s="4" t="str">
        <f t="shared" si="93"/>
        <v>IT科技费用</v>
      </c>
      <c r="AW851" s="4" t="str">
        <f>IFERROR(VLOOKUP(AV851,[1]字段!A:B,2,0),"")</f>
        <v>IT费用</v>
      </c>
      <c r="AX851" s="30" t="str">
        <f>IF(AW851="人力费用",IF(E851="","",VLOOKUP(E851,[1]字段!D:E,2,0)),AW851)</f>
        <v>IT费用</v>
      </c>
      <c r="AY851" s="30">
        <f>IF(AT851="","",VLOOKUP(AT851,[1]字段!H:I,2,0))</f>
        <v>0</v>
      </c>
      <c r="AZ851" s="31">
        <f t="shared" si="97"/>
        <v>0</v>
      </c>
      <c r="BA851" s="31">
        <f t="shared" si="94"/>
        <v>0</v>
      </c>
      <c r="BB851" s="31">
        <f t="shared" si="95"/>
        <v>0</v>
      </c>
      <c r="BC851" s="31">
        <f t="shared" si="98"/>
        <v>0</v>
      </c>
    </row>
    <row r="852" spans="1:55" ht="28.5" customHeight="1">
      <c r="A852" s="32"/>
      <c r="B852" s="32"/>
      <c r="C852" s="37"/>
      <c r="D852" s="38"/>
      <c r="E852" s="39" t="s">
        <v>67</v>
      </c>
      <c r="F852" s="39" t="s">
        <v>68</v>
      </c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  <c r="AA852" s="29"/>
      <c r="AB852" s="29"/>
      <c r="AC852" s="29"/>
      <c r="AD852" s="29"/>
      <c r="AE852" s="29"/>
      <c r="AJ852"/>
      <c r="AK852"/>
      <c r="AL852"/>
      <c r="AM852"/>
      <c r="AN852"/>
      <c r="AO852"/>
      <c r="AP852"/>
      <c r="AQ852"/>
      <c r="AR852"/>
      <c r="AS852"/>
      <c r="AT852" s="4" t="str">
        <f t="shared" si="96"/>
        <v>IT费用一般运营设备折旧费</v>
      </c>
      <c r="AU852" s="4" t="str">
        <f t="shared" si="92"/>
        <v>个金共享平台部</v>
      </c>
      <c r="AV852" s="4" t="str">
        <f t="shared" si="93"/>
        <v>IT科技费用</v>
      </c>
      <c r="AW852" s="4" t="str">
        <f>IFERROR(VLOOKUP(AV852,[1]字段!A:B,2,0),"")</f>
        <v>IT费用</v>
      </c>
      <c r="AX852" s="30" t="str">
        <f>IF(AW852="人力费用",IF(E852="","",VLOOKUP(E852,[1]字段!D:E,2,0)),AW852)</f>
        <v>IT费用</v>
      </c>
      <c r="AY852" s="30" t="str">
        <f>IF(AT852="","",VLOOKUP(AT852,[1]字段!H:I,2,0))</f>
        <v>IT费用</v>
      </c>
      <c r="AZ852" s="31">
        <f t="shared" si="97"/>
        <v>0</v>
      </c>
      <c r="BA852" s="31">
        <f t="shared" si="94"/>
        <v>0</v>
      </c>
      <c r="BB852" s="31">
        <f t="shared" si="95"/>
        <v>0</v>
      </c>
      <c r="BC852" s="31">
        <f t="shared" si="98"/>
        <v>0</v>
      </c>
    </row>
    <row r="853" spans="1:55" ht="28.5" customHeight="1">
      <c r="A853" s="32"/>
      <c r="B853" s="32"/>
      <c r="C853" s="32"/>
      <c r="D853" s="40"/>
      <c r="E853" s="39" t="s">
        <v>69</v>
      </c>
      <c r="F853" s="39" t="s">
        <v>70</v>
      </c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  <c r="AA853" s="29"/>
      <c r="AB853" s="29"/>
      <c r="AC853" s="29"/>
      <c r="AD853" s="29"/>
      <c r="AE853" s="29"/>
      <c r="AJ853"/>
      <c r="AK853"/>
      <c r="AL853"/>
      <c r="AM853"/>
      <c r="AN853"/>
      <c r="AO853"/>
      <c r="AP853"/>
      <c r="AQ853"/>
      <c r="AR853"/>
      <c r="AS853"/>
      <c r="AT853" s="4" t="str">
        <f t="shared" si="96"/>
        <v>IT费用移动终端折旧费</v>
      </c>
      <c r="AU853" s="4" t="str">
        <f t="shared" si="92"/>
        <v>个金共享平台部</v>
      </c>
      <c r="AV853" s="4" t="str">
        <f t="shared" si="93"/>
        <v>IT科技费用</v>
      </c>
      <c r="AW853" s="4" t="str">
        <f>IFERROR(VLOOKUP(AV853,[1]字段!A:B,2,0),"")</f>
        <v>IT费用</v>
      </c>
      <c r="AX853" s="30" t="str">
        <f>IF(AW853="人力费用",IF(E853="","",VLOOKUP(E853,[1]字段!D:E,2,0)),AW853)</f>
        <v>IT费用</v>
      </c>
      <c r="AY853" s="30" t="str">
        <f>IF(AT853="","",VLOOKUP(AT853,[1]字段!H:I,2,0))</f>
        <v>IT费用</v>
      </c>
      <c r="AZ853" s="31">
        <f t="shared" si="97"/>
        <v>0</v>
      </c>
      <c r="BA853" s="31">
        <f t="shared" si="94"/>
        <v>0</v>
      </c>
      <c r="BB853" s="31">
        <f t="shared" si="95"/>
        <v>0</v>
      </c>
      <c r="BC853" s="31">
        <f t="shared" si="98"/>
        <v>0</v>
      </c>
    </row>
    <row r="854" spans="1:55" ht="28.5" customHeight="1">
      <c r="A854" s="32"/>
      <c r="B854" s="32"/>
      <c r="C854" s="32"/>
      <c r="D854" s="40"/>
      <c r="E854" s="39" t="s">
        <v>71</v>
      </c>
      <c r="F854" s="39" t="s">
        <v>72</v>
      </c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  <c r="AA854" s="29"/>
      <c r="AB854" s="29"/>
      <c r="AC854" s="29"/>
      <c r="AD854" s="29"/>
      <c r="AE854" s="29"/>
      <c r="AJ854"/>
      <c r="AK854"/>
      <c r="AL854"/>
      <c r="AM854"/>
      <c r="AN854"/>
      <c r="AO854"/>
      <c r="AP854"/>
      <c r="AQ854"/>
      <c r="AR854"/>
      <c r="AS854"/>
      <c r="AT854" s="4" t="str">
        <f t="shared" si="96"/>
        <v>IT费用办公IT设备折旧费</v>
      </c>
      <c r="AU854" s="4" t="str">
        <f t="shared" si="92"/>
        <v>个金共享平台部</v>
      </c>
      <c r="AV854" s="4" t="str">
        <f t="shared" si="93"/>
        <v>IT科技费用</v>
      </c>
      <c r="AW854" s="4" t="str">
        <f>IFERROR(VLOOKUP(AV854,[1]字段!A:B,2,0),"")</f>
        <v>IT费用</v>
      </c>
      <c r="AX854" s="30" t="str">
        <f>IF(AW854="人力费用",IF(E854="","",VLOOKUP(E854,[1]字段!D:E,2,0)),AW854)</f>
        <v>IT费用</v>
      </c>
      <c r="AY854" s="30" t="str">
        <f>IF(AT854="","",VLOOKUP(AT854,[1]字段!H:I,2,0))</f>
        <v>IT费用</v>
      </c>
      <c r="AZ854" s="31">
        <f t="shared" si="97"/>
        <v>0</v>
      </c>
      <c r="BA854" s="31">
        <f t="shared" si="94"/>
        <v>0</v>
      </c>
      <c r="BB854" s="31">
        <f t="shared" si="95"/>
        <v>0</v>
      </c>
      <c r="BC854" s="31">
        <f t="shared" si="98"/>
        <v>0</v>
      </c>
    </row>
    <row r="855" spans="1:55" ht="28.5" customHeight="1">
      <c r="A855" s="32"/>
      <c r="B855" s="32"/>
      <c r="C855" s="32"/>
      <c r="D855" s="40"/>
      <c r="E855" s="39" t="s">
        <v>73</v>
      </c>
      <c r="F855" s="39" t="s">
        <v>74</v>
      </c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  <c r="AA855" s="29"/>
      <c r="AB855" s="29"/>
      <c r="AC855" s="29"/>
      <c r="AD855" s="29"/>
      <c r="AE855" s="29"/>
      <c r="AJ855"/>
      <c r="AK855"/>
      <c r="AL855"/>
      <c r="AM855"/>
      <c r="AN855"/>
      <c r="AO855"/>
      <c r="AP855"/>
      <c r="AQ855"/>
      <c r="AR855"/>
      <c r="AS855"/>
      <c r="AT855" s="4" t="str">
        <f t="shared" si="96"/>
        <v>IT费用计算机软件摊销</v>
      </c>
      <c r="AU855" s="4" t="str">
        <f t="shared" si="92"/>
        <v>个金共享平台部</v>
      </c>
      <c r="AV855" s="4" t="str">
        <f t="shared" si="93"/>
        <v>IT科技费用</v>
      </c>
      <c r="AW855" s="4" t="str">
        <f>IFERROR(VLOOKUP(AV855,[1]字段!A:B,2,0),"")</f>
        <v>IT费用</v>
      </c>
      <c r="AX855" s="30" t="str">
        <f>IF(AW855="人力费用",IF(E855="","",VLOOKUP(E855,[1]字段!D:E,2,0)),AW855)</f>
        <v>IT费用</v>
      </c>
      <c r="AY855" s="30" t="str">
        <f>IF(AT855="","",VLOOKUP(AT855,[1]字段!H:I,2,0))</f>
        <v>IT费用</v>
      </c>
      <c r="AZ855" s="31">
        <f t="shared" si="97"/>
        <v>0</v>
      </c>
      <c r="BA855" s="31">
        <f t="shared" si="94"/>
        <v>0</v>
      </c>
      <c r="BB855" s="31">
        <f t="shared" si="95"/>
        <v>0</v>
      </c>
      <c r="BC855" s="31">
        <f t="shared" si="98"/>
        <v>0</v>
      </c>
    </row>
    <row r="856" spans="1:55" ht="28.5" customHeight="1">
      <c r="A856" s="32"/>
      <c r="B856" s="32"/>
      <c r="C856" s="32"/>
      <c r="D856" s="40"/>
      <c r="E856" s="39" t="s">
        <v>75</v>
      </c>
      <c r="F856" s="39" t="s">
        <v>76</v>
      </c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  <c r="AA856" s="29"/>
      <c r="AB856" s="29"/>
      <c r="AC856" s="29"/>
      <c r="AD856" s="29"/>
      <c r="AE856" s="29"/>
      <c r="AJ856"/>
      <c r="AK856"/>
      <c r="AL856"/>
      <c r="AM856"/>
      <c r="AN856"/>
      <c r="AO856"/>
      <c r="AP856"/>
      <c r="AQ856"/>
      <c r="AR856"/>
      <c r="AS856"/>
      <c r="AT856" s="4" t="str">
        <f t="shared" si="96"/>
        <v>IT费用数据资源摊销</v>
      </c>
      <c r="AU856" s="4" t="str">
        <f t="shared" si="92"/>
        <v>个金共享平台部</v>
      </c>
      <c r="AV856" s="4" t="str">
        <f t="shared" si="93"/>
        <v>IT科技费用</v>
      </c>
      <c r="AW856" s="4" t="str">
        <f>IFERROR(VLOOKUP(AV856,[1]字段!A:B,2,0),"")</f>
        <v>IT费用</v>
      </c>
      <c r="AX856" s="30" t="str">
        <f>IF(AW856="人力费用",IF(E856="","",VLOOKUP(E856,[1]字段!D:E,2,0)),AW856)</f>
        <v>IT费用</v>
      </c>
      <c r="AY856" s="30" t="str">
        <f>IF(AT856="","",VLOOKUP(AT856,[1]字段!H:I,2,0))</f>
        <v>IT费用</v>
      </c>
      <c r="AZ856" s="31">
        <f t="shared" si="97"/>
        <v>0</v>
      </c>
      <c r="BA856" s="31">
        <f t="shared" si="94"/>
        <v>0</v>
      </c>
      <c r="BB856" s="31">
        <f t="shared" si="95"/>
        <v>0</v>
      </c>
      <c r="BC856" s="31">
        <f t="shared" si="98"/>
        <v>0</v>
      </c>
    </row>
    <row r="857" spans="1:55" ht="28.5" customHeight="1">
      <c r="A857" s="32"/>
      <c r="B857" s="32"/>
      <c r="C857" s="32"/>
      <c r="D857" s="40"/>
      <c r="E857" s="39" t="s">
        <v>77</v>
      </c>
      <c r="F857" s="39" t="s">
        <v>78</v>
      </c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  <c r="AA857" s="29"/>
      <c r="AB857" s="29"/>
      <c r="AC857" s="29"/>
      <c r="AD857" s="29"/>
      <c r="AE857" s="29"/>
      <c r="AJ857"/>
      <c r="AK857"/>
      <c r="AL857"/>
      <c r="AM857"/>
      <c r="AN857"/>
      <c r="AO857"/>
      <c r="AP857"/>
      <c r="AQ857"/>
      <c r="AR857"/>
      <c r="AS857"/>
      <c r="AT857" s="4" t="str">
        <f t="shared" si="96"/>
        <v>IT费用咨询费</v>
      </c>
      <c r="AU857" s="4" t="str">
        <f t="shared" si="92"/>
        <v>个金共享平台部</v>
      </c>
      <c r="AV857" s="4" t="str">
        <f t="shared" si="93"/>
        <v>IT科技费用</v>
      </c>
      <c r="AW857" s="4" t="str">
        <f>IFERROR(VLOOKUP(AV857,[1]字段!A:B,2,0),"")</f>
        <v>IT费用</v>
      </c>
      <c r="AX857" s="30" t="str">
        <f>IF(AW857="人力费用",IF(E857="","",VLOOKUP(E857,[1]字段!D:E,2,0)),AW857)</f>
        <v>IT费用</v>
      </c>
      <c r="AY857" s="30" t="str">
        <f>IF(AT857="","",VLOOKUP(AT857,[1]字段!H:I,2,0))</f>
        <v>IT费用</v>
      </c>
      <c r="AZ857" s="31">
        <f t="shared" si="97"/>
        <v>0</v>
      </c>
      <c r="BA857" s="31">
        <f t="shared" si="94"/>
        <v>0</v>
      </c>
      <c r="BB857" s="31">
        <f t="shared" si="95"/>
        <v>0</v>
      </c>
      <c r="BC857" s="31">
        <f t="shared" si="98"/>
        <v>0</v>
      </c>
    </row>
    <row r="858" spans="1:55" ht="28.5" customHeight="1">
      <c r="A858" s="32"/>
      <c r="B858" s="32"/>
      <c r="C858" s="32"/>
      <c r="D858" s="40"/>
      <c r="E858" s="39" t="s">
        <v>79</v>
      </c>
      <c r="F858" s="39" t="s">
        <v>80</v>
      </c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  <c r="AA858" s="29"/>
      <c r="AB858" s="29"/>
      <c r="AC858" s="29"/>
      <c r="AD858" s="29"/>
      <c r="AE858" s="29"/>
      <c r="AJ858"/>
      <c r="AK858"/>
      <c r="AL858"/>
      <c r="AM858"/>
      <c r="AN858"/>
      <c r="AO858"/>
      <c r="AP858"/>
      <c r="AQ858"/>
      <c r="AR858"/>
      <c r="AS858"/>
      <c r="AT858" s="4" t="str">
        <f t="shared" si="96"/>
        <v>IT费用网络通讯费 </v>
      </c>
      <c r="AU858" s="4" t="str">
        <f t="shared" si="92"/>
        <v>个金共享平台部</v>
      </c>
      <c r="AV858" s="4" t="str">
        <f t="shared" si="93"/>
        <v>IT科技费用</v>
      </c>
      <c r="AW858" s="4" t="str">
        <f>IFERROR(VLOOKUP(AV858,[1]字段!A:B,2,0),"")</f>
        <v>IT费用</v>
      </c>
      <c r="AX858" s="30" t="str">
        <f>IF(AW858="人力费用",IF(E858="","",VLOOKUP(E858,[1]字段!D:E,2,0)),AW858)</f>
        <v>IT费用</v>
      </c>
      <c r="AY858" s="30" t="str">
        <f>IF(AT858="","",VLOOKUP(AT858,[1]字段!H:I,2,0))</f>
        <v>IT费用</v>
      </c>
      <c r="AZ858" s="31">
        <f t="shared" si="97"/>
        <v>0</v>
      </c>
      <c r="BA858" s="31">
        <f t="shared" si="94"/>
        <v>0</v>
      </c>
      <c r="BB858" s="31">
        <f t="shared" si="95"/>
        <v>0</v>
      </c>
      <c r="BC858" s="31">
        <f t="shared" si="98"/>
        <v>0</v>
      </c>
    </row>
    <row r="859" spans="1:55" ht="28.5" customHeight="1">
      <c r="A859" s="32"/>
      <c r="B859" s="32"/>
      <c r="C859" s="32"/>
      <c r="D859" s="40"/>
      <c r="E859" s="39" t="s">
        <v>81</v>
      </c>
      <c r="F859" s="39" t="s">
        <v>82</v>
      </c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  <c r="AA859" s="29"/>
      <c r="AB859" s="29"/>
      <c r="AC859" s="29"/>
      <c r="AD859" s="29"/>
      <c r="AE859" s="29"/>
      <c r="AJ859"/>
      <c r="AK859"/>
      <c r="AL859"/>
      <c r="AM859"/>
      <c r="AN859"/>
      <c r="AO859"/>
      <c r="AP859"/>
      <c r="AQ859"/>
      <c r="AR859"/>
      <c r="AS859"/>
      <c r="AT859" s="4" t="str">
        <f t="shared" si="96"/>
        <v>IT费用电子设备运转费 </v>
      </c>
      <c r="AU859" s="4" t="str">
        <f t="shared" si="92"/>
        <v>个金共享平台部</v>
      </c>
      <c r="AV859" s="4" t="str">
        <f t="shared" si="93"/>
        <v>IT科技费用</v>
      </c>
      <c r="AW859" s="4" t="str">
        <f>IFERROR(VLOOKUP(AV859,[1]字段!A:B,2,0),"")</f>
        <v>IT费用</v>
      </c>
      <c r="AX859" s="30" t="str">
        <f>IF(AW859="人力费用",IF(E859="","",VLOOKUP(E859,[1]字段!D:E,2,0)),AW859)</f>
        <v>IT费用</v>
      </c>
      <c r="AY859" s="30" t="str">
        <f>IF(AT859="","",VLOOKUP(AT859,[1]字段!H:I,2,0))</f>
        <v>IT费用</v>
      </c>
      <c r="AZ859" s="31">
        <f t="shared" si="97"/>
        <v>0</v>
      </c>
      <c r="BA859" s="31">
        <f t="shared" si="94"/>
        <v>0</v>
      </c>
      <c r="BB859" s="31">
        <f t="shared" si="95"/>
        <v>0</v>
      </c>
      <c r="BC859" s="31">
        <f t="shared" si="98"/>
        <v>0</v>
      </c>
    </row>
    <row r="860" spans="1:55" ht="28.5" customHeight="1">
      <c r="A860" s="32"/>
      <c r="B860" s="32"/>
      <c r="C860" s="41"/>
      <c r="D860" s="42"/>
      <c r="E860" s="39" t="s">
        <v>83</v>
      </c>
      <c r="F860" s="39" t="s">
        <v>84</v>
      </c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  <c r="AA860" s="29"/>
      <c r="AB860" s="29"/>
      <c r="AC860" s="29"/>
      <c r="AD860" s="29"/>
      <c r="AE860" s="29"/>
      <c r="AJ860"/>
      <c r="AK860"/>
      <c r="AL860"/>
      <c r="AM860"/>
      <c r="AN860"/>
      <c r="AO860"/>
      <c r="AP860"/>
      <c r="AQ860"/>
      <c r="AR860"/>
      <c r="AS860"/>
      <c r="AT860" s="4" t="str">
        <f t="shared" si="96"/>
        <v>IT费用其他外包服务费</v>
      </c>
      <c r="AU860" s="4" t="str">
        <f t="shared" si="92"/>
        <v>个金共享平台部</v>
      </c>
      <c r="AV860" s="4" t="str">
        <f t="shared" si="93"/>
        <v>IT科技费用</v>
      </c>
      <c r="AW860" s="4" t="str">
        <f>IFERROR(VLOOKUP(AV860,[1]字段!A:B,2,0),"")</f>
        <v>IT费用</v>
      </c>
      <c r="AX860" s="30" t="str">
        <f>IF(AW860="人力费用",IF(E860="","",VLOOKUP(E860,[1]字段!D:E,2,0)),AW860)</f>
        <v>IT费用</v>
      </c>
      <c r="AY860" s="30" t="str">
        <f>IF(AT860="","",VLOOKUP(AT860,[1]字段!H:I,2,0))</f>
        <v>IT费用</v>
      </c>
      <c r="AZ860" s="31">
        <f t="shared" si="97"/>
        <v>0</v>
      </c>
      <c r="BA860" s="31">
        <f t="shared" si="94"/>
        <v>0</v>
      </c>
      <c r="BB860" s="31">
        <f t="shared" si="95"/>
        <v>0</v>
      </c>
      <c r="BC860" s="31">
        <f t="shared" si="98"/>
        <v>0</v>
      </c>
    </row>
    <row r="861" spans="1:55" ht="28.5" customHeight="1">
      <c r="C861" s="33" t="s">
        <v>85</v>
      </c>
      <c r="D861" s="34" t="s">
        <v>86</v>
      </c>
      <c r="E861" s="35"/>
      <c r="F861" s="36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  <c r="AA861" s="29"/>
      <c r="AB861" s="29"/>
      <c r="AC861" s="29"/>
      <c r="AD861" s="29"/>
      <c r="AE861" s="29"/>
      <c r="AJ861"/>
      <c r="AK861"/>
      <c r="AL861"/>
      <c r="AM861"/>
      <c r="AN861"/>
      <c r="AO861"/>
      <c r="AP861"/>
      <c r="AQ861"/>
      <c r="AR861"/>
      <c r="AS861"/>
      <c r="AT861" s="4" t="str">
        <f t="shared" si="96"/>
        <v>日常费用</v>
      </c>
      <c r="AU861" s="4" t="str">
        <f t="shared" si="92"/>
        <v>个金共享平台部</v>
      </c>
      <c r="AV861" s="4" t="str">
        <f t="shared" si="93"/>
        <v>IT日常费用</v>
      </c>
      <c r="AW861" s="4" t="str">
        <f>IFERROR(VLOOKUP(AV861,[1]字段!A:B,2,0),"")</f>
        <v>日常费用</v>
      </c>
      <c r="AX861" s="30" t="str">
        <f>IF(AW861="人力费用",IF(E861="","",VLOOKUP(E861,[1]字段!D:E,2,0)),AW861)</f>
        <v>日常费用</v>
      </c>
      <c r="AY861" s="30">
        <f>IF(AT861="","",VLOOKUP(AT861,[1]字段!H:I,2,0))</f>
        <v>0</v>
      </c>
      <c r="AZ861" s="31">
        <f t="shared" si="97"/>
        <v>0</v>
      </c>
      <c r="BA861" s="31">
        <f t="shared" si="94"/>
        <v>0</v>
      </c>
      <c r="BB861" s="31">
        <f t="shared" si="95"/>
        <v>0</v>
      </c>
      <c r="BC861" s="31">
        <f t="shared" si="98"/>
        <v>0</v>
      </c>
    </row>
    <row r="862" spans="1:55" ht="28.5" customHeight="1">
      <c r="A862" s="32"/>
      <c r="B862" s="32"/>
      <c r="C862" s="37"/>
      <c r="D862" s="38"/>
      <c r="E862" s="39" t="s">
        <v>87</v>
      </c>
      <c r="F862" s="39" t="s">
        <v>88</v>
      </c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  <c r="AA862" s="29"/>
      <c r="AB862" s="29"/>
      <c r="AC862" s="29"/>
      <c r="AD862" s="29"/>
      <c r="AE862" s="29"/>
      <c r="AJ862"/>
      <c r="AK862"/>
      <c r="AL862"/>
      <c r="AM862"/>
      <c r="AN862"/>
      <c r="AO862"/>
      <c r="AP862"/>
      <c r="AQ862"/>
      <c r="AR862"/>
      <c r="AS862"/>
      <c r="AT862" s="4" t="str">
        <f t="shared" si="96"/>
        <v>日常费用办公OA设备折旧费</v>
      </c>
      <c r="AU862" s="4" t="str">
        <f t="shared" si="92"/>
        <v>个金共享平台部</v>
      </c>
      <c r="AV862" s="4" t="str">
        <f t="shared" si="93"/>
        <v>IT日常费用</v>
      </c>
      <c r="AW862" s="4" t="str">
        <f>IFERROR(VLOOKUP(AV862,[1]字段!A:B,2,0),"")</f>
        <v>日常费用</v>
      </c>
      <c r="AX862" s="30" t="str">
        <f>IF(AW862="人力费用",IF(E862="","",VLOOKUP(E862,[1]字段!D:E,2,0)),AW862)</f>
        <v>日常费用</v>
      </c>
      <c r="AY862" s="30" t="str">
        <f>IF(AT862="","",VLOOKUP(AT862,[1]字段!H:I,2,0))</f>
        <v>日常费用-其他</v>
      </c>
      <c r="AZ862" s="31">
        <f t="shared" si="97"/>
        <v>0</v>
      </c>
      <c r="BA862" s="31">
        <f t="shared" si="94"/>
        <v>0</v>
      </c>
      <c r="BB862" s="31">
        <f t="shared" si="95"/>
        <v>0</v>
      </c>
      <c r="BC862" s="31">
        <f t="shared" si="98"/>
        <v>0</v>
      </c>
    </row>
    <row r="863" spans="1:55" ht="28.5" customHeight="1">
      <c r="A863" s="32"/>
      <c r="B863" s="32"/>
      <c r="C863" s="32"/>
      <c r="D863" s="40"/>
      <c r="E863" s="39" t="s">
        <v>89</v>
      </c>
      <c r="F863" s="39" t="s">
        <v>90</v>
      </c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  <c r="AA863" s="29"/>
      <c r="AB863" s="29"/>
      <c r="AC863" s="29"/>
      <c r="AD863" s="29"/>
      <c r="AE863" s="29"/>
      <c r="AJ863"/>
      <c r="AK863"/>
      <c r="AL863"/>
      <c r="AM863"/>
      <c r="AN863"/>
      <c r="AO863"/>
      <c r="AP863"/>
      <c r="AQ863"/>
      <c r="AR863"/>
      <c r="AS863"/>
      <c r="AT863" s="4" t="str">
        <f t="shared" si="96"/>
        <v>日常费用办公家具折旧费</v>
      </c>
      <c r="AU863" s="4" t="str">
        <f t="shared" si="92"/>
        <v>个金共享平台部</v>
      </c>
      <c r="AV863" s="4" t="str">
        <f t="shared" si="93"/>
        <v>IT日常费用</v>
      </c>
      <c r="AW863" s="4" t="str">
        <f>IFERROR(VLOOKUP(AV863,[1]字段!A:B,2,0),"")</f>
        <v>日常费用</v>
      </c>
      <c r="AX863" s="30" t="str">
        <f>IF(AW863="人力费用",IF(E863="","",VLOOKUP(E863,[1]字段!D:E,2,0)),AW863)</f>
        <v>日常费用</v>
      </c>
      <c r="AY863" s="30" t="str">
        <f>IF(AT863="","",VLOOKUP(AT863,[1]字段!H:I,2,0))</f>
        <v>日常费用-其他</v>
      </c>
      <c r="AZ863" s="31">
        <f t="shared" si="97"/>
        <v>0</v>
      </c>
      <c r="BA863" s="31">
        <f t="shared" si="94"/>
        <v>0</v>
      </c>
      <c r="BB863" s="31">
        <f t="shared" si="95"/>
        <v>0</v>
      </c>
      <c r="BC863" s="31">
        <f t="shared" si="98"/>
        <v>0</v>
      </c>
    </row>
    <row r="864" spans="1:55" ht="28.5" customHeight="1">
      <c r="A864" s="32"/>
      <c r="B864" s="32"/>
      <c r="C864" s="41"/>
      <c r="D864" s="42"/>
      <c r="E864" s="39" t="s">
        <v>91</v>
      </c>
      <c r="F864" s="39" t="s">
        <v>92</v>
      </c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  <c r="AA864" s="29"/>
      <c r="AB864" s="29"/>
      <c r="AC864" s="29"/>
      <c r="AD864" s="29"/>
      <c r="AE864" s="29"/>
      <c r="AJ864"/>
      <c r="AK864"/>
      <c r="AL864"/>
      <c r="AM864"/>
      <c r="AN864"/>
      <c r="AO864"/>
      <c r="AP864"/>
      <c r="AQ864"/>
      <c r="AR864"/>
      <c r="AS864"/>
      <c r="AT864" s="4" t="str">
        <f t="shared" si="96"/>
        <v>日常费用办公费用</v>
      </c>
      <c r="AU864" s="4" t="str">
        <f t="shared" si="92"/>
        <v>个金共享平台部</v>
      </c>
      <c r="AV864" s="4" t="str">
        <f t="shared" si="93"/>
        <v>IT日常费用</v>
      </c>
      <c r="AW864" s="4" t="str">
        <f>IFERROR(VLOOKUP(AV864,[1]字段!A:B,2,0),"")</f>
        <v>日常费用</v>
      </c>
      <c r="AX864" s="30" t="str">
        <f>IF(AW864="人力费用",IF(E864="","",VLOOKUP(E864,[1]字段!D:E,2,0)),AW864)</f>
        <v>日常费用</v>
      </c>
      <c r="AY864" s="30" t="str">
        <f>IF(AT864="","",VLOOKUP(AT864,[1]字段!H:I,2,0))</f>
        <v>日常费用-其他</v>
      </c>
      <c r="AZ864" s="31">
        <f t="shared" si="97"/>
        <v>0</v>
      </c>
      <c r="BA864" s="31">
        <f t="shared" si="94"/>
        <v>0</v>
      </c>
      <c r="BB864" s="31">
        <f t="shared" si="95"/>
        <v>0</v>
      </c>
      <c r="BC864" s="31">
        <f t="shared" si="98"/>
        <v>0</v>
      </c>
    </row>
    <row r="865" spans="1:55" ht="28.5" customHeight="1">
      <c r="C865" s="33" t="s">
        <v>93</v>
      </c>
      <c r="D865" s="34" t="s">
        <v>94</v>
      </c>
      <c r="E865" s="35"/>
      <c r="F865" s="36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  <c r="AA865" s="29"/>
      <c r="AB865" s="29"/>
      <c r="AC865" s="29"/>
      <c r="AD865" s="29"/>
      <c r="AE865" s="29"/>
      <c r="AJ865"/>
      <c r="AK865"/>
      <c r="AL865"/>
      <c r="AM865"/>
      <c r="AN865"/>
      <c r="AO865"/>
      <c r="AP865"/>
      <c r="AQ865"/>
      <c r="AR865"/>
      <c r="AS865"/>
      <c r="AT865" s="4" t="str">
        <f t="shared" si="96"/>
        <v>日常费用</v>
      </c>
      <c r="AU865" s="4" t="str">
        <f t="shared" si="92"/>
        <v>个金共享平台部</v>
      </c>
      <c r="AV865" s="4" t="str">
        <f t="shared" si="93"/>
        <v>日常费用</v>
      </c>
      <c r="AW865" s="4" t="str">
        <f>IFERROR(VLOOKUP(AV865,[1]字段!A:B,2,0),"")</f>
        <v>日常费用</v>
      </c>
      <c r="AX865" s="30" t="str">
        <f>IF(AW865="人力费用",IF(E865="","",VLOOKUP(E865,[1]字段!D:E,2,0)),AW865)</f>
        <v>日常费用</v>
      </c>
      <c r="AY865" s="30">
        <f>IF(AT865="","",VLOOKUP(AT865,[1]字段!H:I,2,0))</f>
        <v>0</v>
      </c>
      <c r="AZ865" s="31">
        <f t="shared" si="97"/>
        <v>0</v>
      </c>
      <c r="BA865" s="31">
        <f t="shared" si="94"/>
        <v>0</v>
      </c>
      <c r="BB865" s="31">
        <f t="shared" si="95"/>
        <v>0</v>
      </c>
      <c r="BC865" s="31">
        <f t="shared" si="98"/>
        <v>0</v>
      </c>
    </row>
    <row r="866" spans="1:55" ht="28.5" customHeight="1">
      <c r="A866" s="32"/>
      <c r="B866" s="32"/>
      <c r="C866" s="37"/>
      <c r="D866" s="38"/>
      <c r="E866" s="39" t="s">
        <v>91</v>
      </c>
      <c r="F866" s="39" t="s">
        <v>92</v>
      </c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  <c r="AA866" s="29"/>
      <c r="AB866" s="29"/>
      <c r="AC866" s="29"/>
      <c r="AD866" s="29"/>
      <c r="AE866" s="29"/>
      <c r="AJ866"/>
      <c r="AK866"/>
      <c r="AL866"/>
      <c r="AM866"/>
      <c r="AN866"/>
      <c r="AO866"/>
      <c r="AP866"/>
      <c r="AQ866"/>
      <c r="AR866"/>
      <c r="AS866"/>
      <c r="AT866" s="4" t="str">
        <f t="shared" si="96"/>
        <v>日常费用办公费用</v>
      </c>
      <c r="AU866" s="4" t="str">
        <f t="shared" si="92"/>
        <v>个金共享平台部</v>
      </c>
      <c r="AV866" s="4" t="str">
        <f t="shared" si="93"/>
        <v>日常费用</v>
      </c>
      <c r="AW866" s="4" t="str">
        <f>IFERROR(VLOOKUP(AV866,[1]字段!A:B,2,0),"")</f>
        <v>日常费用</v>
      </c>
      <c r="AX866" s="30" t="str">
        <f>IF(AW866="人力费用",IF(E866="","",VLOOKUP(E866,[1]字段!D:E,2,0)),AW866)</f>
        <v>日常费用</v>
      </c>
      <c r="AY866" s="30" t="str">
        <f>IF(AT866="","",VLOOKUP(AT866,[1]字段!H:I,2,0))</f>
        <v>日常费用-其他</v>
      </c>
      <c r="AZ866" s="31">
        <f t="shared" si="97"/>
        <v>0</v>
      </c>
      <c r="BA866" s="31">
        <f t="shared" si="94"/>
        <v>0</v>
      </c>
      <c r="BB866" s="31">
        <f t="shared" si="95"/>
        <v>0</v>
      </c>
      <c r="BC866" s="31">
        <f t="shared" si="98"/>
        <v>0</v>
      </c>
    </row>
    <row r="867" spans="1:55" ht="28.5" customHeight="1">
      <c r="A867" s="41"/>
      <c r="B867" s="41"/>
      <c r="C867" s="41"/>
      <c r="D867" s="42"/>
      <c r="E867" s="39" t="s">
        <v>139</v>
      </c>
      <c r="F867" s="39" t="s">
        <v>140</v>
      </c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  <c r="AA867" s="29"/>
      <c r="AB867" s="29"/>
      <c r="AC867" s="29"/>
      <c r="AD867" s="29"/>
      <c r="AE867" s="29"/>
      <c r="AJ867"/>
      <c r="AK867"/>
      <c r="AL867"/>
      <c r="AM867"/>
      <c r="AN867"/>
      <c r="AO867"/>
      <c r="AP867"/>
      <c r="AQ867"/>
      <c r="AR867"/>
      <c r="AS867"/>
      <c r="AT867" s="4" t="str">
        <f t="shared" si="96"/>
        <v>日常费用差旅费</v>
      </c>
      <c r="AU867" s="4" t="str">
        <f t="shared" si="92"/>
        <v>个金共享平台部</v>
      </c>
      <c r="AV867" s="4" t="str">
        <f t="shared" si="93"/>
        <v>日常费用</v>
      </c>
      <c r="AW867" s="4" t="str">
        <f>IFERROR(VLOOKUP(AV867,[1]字段!A:B,2,0),"")</f>
        <v>日常费用</v>
      </c>
      <c r="AX867" s="30" t="str">
        <f>IF(AW867="人力费用",IF(E867="","",VLOOKUP(E867,[1]字段!D:E,2,0)),AW867)</f>
        <v>日常费用</v>
      </c>
      <c r="AY867" s="30" t="str">
        <f>IF(AT867="","",VLOOKUP(AT867,[1]字段!H:I,2,0))</f>
        <v>日常费用-其他</v>
      </c>
      <c r="AZ867" s="31">
        <f t="shared" si="97"/>
        <v>0</v>
      </c>
      <c r="BA867" s="31">
        <f t="shared" si="94"/>
        <v>0</v>
      </c>
      <c r="BB867" s="31">
        <f t="shared" si="95"/>
        <v>0</v>
      </c>
      <c r="BC867" s="31">
        <f t="shared" si="98"/>
        <v>0</v>
      </c>
    </row>
    <row r="868" spans="1:55" ht="28.5" customHeight="1">
      <c r="A868" s="25"/>
      <c r="B868" s="26" t="s">
        <v>199</v>
      </c>
      <c r="C868" s="27"/>
      <c r="D868" s="27"/>
      <c r="E868" s="27"/>
      <c r="F868" s="28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  <c r="AA868" s="29"/>
      <c r="AB868" s="29"/>
      <c r="AC868" s="29"/>
      <c r="AD868" s="29"/>
      <c r="AE868" s="29"/>
      <c r="AJ868"/>
      <c r="AK868"/>
      <c r="AL868"/>
      <c r="AM868"/>
      <c r="AN868"/>
      <c r="AO868"/>
      <c r="AP868"/>
      <c r="AQ868"/>
      <c r="AR868"/>
      <c r="AS868"/>
      <c r="AT868" s="4" t="str">
        <f t="shared" si="96"/>
        <v/>
      </c>
      <c r="AU868" s="4" t="str">
        <f t="shared" si="92"/>
        <v>个金资产保全部</v>
      </c>
      <c r="AV868" s="4" t="str">
        <f t="shared" si="93"/>
        <v/>
      </c>
      <c r="AW868" s="4" t="str">
        <f>IFERROR(VLOOKUP(AV868,[1]字段!A:B,2,0),"")</f>
        <v/>
      </c>
      <c r="AX868" s="30" t="str">
        <f>IF(AW868="人力费用",IF(E868="","",VLOOKUP(E868,[1]字段!D:E,2,0)),AW868)</f>
        <v/>
      </c>
      <c r="AY868" s="30" t="str">
        <f>IF(AT868="","",VLOOKUP(AT868,[1]字段!H:I,2,0))</f>
        <v/>
      </c>
      <c r="AZ868" s="31">
        <f t="shared" si="97"/>
        <v>0</v>
      </c>
      <c r="BA868" s="31">
        <f t="shared" si="94"/>
        <v>0</v>
      </c>
      <c r="BB868" s="31">
        <f t="shared" si="95"/>
        <v>0</v>
      </c>
      <c r="BC868" s="31">
        <f t="shared" si="98"/>
        <v>0</v>
      </c>
    </row>
    <row r="869" spans="1:55" ht="28.5" customHeight="1">
      <c r="A869" s="32"/>
      <c r="B869" s="32"/>
      <c r="C869" s="33" t="s">
        <v>39</v>
      </c>
      <c r="D869" s="34" t="s">
        <v>40</v>
      </c>
      <c r="E869" s="35"/>
      <c r="F869" s="36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  <c r="AA869" s="29"/>
      <c r="AB869" s="29"/>
      <c r="AC869" s="29"/>
      <c r="AD869" s="29"/>
      <c r="AE869" s="29"/>
      <c r="AJ869"/>
      <c r="AK869"/>
      <c r="AL869"/>
      <c r="AM869"/>
      <c r="AN869"/>
      <c r="AO869"/>
      <c r="AP869"/>
      <c r="AQ869"/>
      <c r="AR869"/>
      <c r="AS869"/>
      <c r="AT869" s="4" t="str">
        <f t="shared" si="96"/>
        <v/>
      </c>
      <c r="AU869" s="4" t="str">
        <f t="shared" si="92"/>
        <v>个金资产保全部</v>
      </c>
      <c r="AV869" s="4" t="str">
        <f t="shared" si="93"/>
        <v>人力费用</v>
      </c>
      <c r="AW869" s="4" t="str">
        <f>IFERROR(VLOOKUP(AV869,[1]字段!A:B,2,0),"")</f>
        <v>人力费用</v>
      </c>
      <c r="AX869" s="30" t="str">
        <f>IF(AW869="人力费用",IF(E869="","",VLOOKUP(E869,[1]字段!D:E,2,0)),AW869)</f>
        <v/>
      </c>
      <c r="AY869" s="30" t="str">
        <f>IF(AT869="","",VLOOKUP(AT869,[1]字段!H:I,2,0))</f>
        <v/>
      </c>
      <c r="AZ869" s="31">
        <f t="shared" si="97"/>
        <v>0</v>
      </c>
      <c r="BA869" s="31">
        <f t="shared" si="94"/>
        <v>0</v>
      </c>
      <c r="BB869" s="31">
        <f t="shared" si="95"/>
        <v>0</v>
      </c>
      <c r="BC869" s="31">
        <f t="shared" si="98"/>
        <v>0</v>
      </c>
    </row>
    <row r="870" spans="1:55" ht="28.5" customHeight="1">
      <c r="A870" s="32"/>
      <c r="B870" s="32"/>
      <c r="C870" s="37"/>
      <c r="D870" s="38"/>
      <c r="E870" s="39" t="s">
        <v>41</v>
      </c>
      <c r="F870" s="39" t="s">
        <v>42</v>
      </c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  <c r="AA870" s="29"/>
      <c r="AB870" s="29"/>
      <c r="AC870" s="29"/>
      <c r="AD870" s="29"/>
      <c r="AE870" s="29"/>
      <c r="AJ870"/>
      <c r="AK870"/>
      <c r="AL870"/>
      <c r="AM870"/>
      <c r="AN870"/>
      <c r="AO870"/>
      <c r="AP870"/>
      <c r="AQ870"/>
      <c r="AR870"/>
      <c r="AS870"/>
      <c r="AT870" s="4" t="str">
        <f t="shared" si="96"/>
        <v>1.0倍人力基础工资</v>
      </c>
      <c r="AU870" s="4" t="str">
        <f t="shared" si="92"/>
        <v>个金资产保全部</v>
      </c>
      <c r="AV870" s="4" t="str">
        <f t="shared" si="93"/>
        <v>人力费用</v>
      </c>
      <c r="AW870" s="4" t="str">
        <f>IFERROR(VLOOKUP(AV870,[1]字段!A:B,2,0),"")</f>
        <v>人力费用</v>
      </c>
      <c r="AX870" s="30" t="str">
        <f>IF(AW870="人力费用",IF(E870="","",VLOOKUP(E870,[1]字段!D:E,2,0)),AW870)</f>
        <v>1.0倍人力</v>
      </c>
      <c r="AY870" s="30" t="str">
        <f>IF(AT870="","",VLOOKUP(AT870,[1]字段!H:I,2,0))</f>
        <v>1.0倍人力</v>
      </c>
      <c r="AZ870" s="31">
        <f t="shared" si="97"/>
        <v>0</v>
      </c>
      <c r="BA870" s="31">
        <f t="shared" si="94"/>
        <v>0</v>
      </c>
      <c r="BB870" s="31">
        <f t="shared" si="95"/>
        <v>0</v>
      </c>
      <c r="BC870" s="31">
        <f t="shared" si="98"/>
        <v>0</v>
      </c>
    </row>
    <row r="871" spans="1:55" ht="28.5" customHeight="1">
      <c r="A871" s="32"/>
      <c r="B871" s="32"/>
      <c r="C871" s="32"/>
      <c r="D871" s="40"/>
      <c r="E871" s="39">
        <v>5501010602</v>
      </c>
      <c r="F871" s="3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  <c r="AA871" s="29"/>
      <c r="AB871" s="29"/>
      <c r="AC871" s="29"/>
      <c r="AD871" s="29"/>
      <c r="AE871" s="29"/>
      <c r="AJ871"/>
      <c r="AK871"/>
      <c r="AL871"/>
      <c r="AM871"/>
      <c r="AN871"/>
      <c r="AO871"/>
      <c r="AP871"/>
      <c r="AQ871"/>
      <c r="AR871"/>
      <c r="AS871"/>
      <c r="AT871" s="4" t="str">
        <f t="shared" si="96"/>
        <v>利润分享</v>
      </c>
      <c r="AU871" s="4" t="str">
        <f t="shared" si="92"/>
        <v>个金资产保全部</v>
      </c>
      <c r="AV871" s="4" t="str">
        <f t="shared" si="93"/>
        <v>人力费用</v>
      </c>
      <c r="AW871" s="4" t="str">
        <f>IFERROR(VLOOKUP(AV871,[1]字段!A:B,2,0),"")</f>
        <v>人力费用</v>
      </c>
      <c r="AX871" s="30" t="str">
        <f>IF(AW871="人力费用",IF(E871="","",VLOOKUP(E871,[1]字段!D:E,2,0)),AW871)</f>
        <v>利润分享</v>
      </c>
      <c r="AY871" s="30" t="str">
        <f>IF(AT871="","",VLOOKUP(AT871,[1]字段!H:I,2,0))</f>
        <v>利润分享</v>
      </c>
      <c r="AZ871" s="31">
        <f t="shared" si="97"/>
        <v>0</v>
      </c>
      <c r="BA871" s="31">
        <f t="shared" si="94"/>
        <v>0</v>
      </c>
      <c r="BB871" s="31">
        <f t="shared" si="95"/>
        <v>0</v>
      </c>
      <c r="BC871" s="31">
        <f t="shared" si="98"/>
        <v>0</v>
      </c>
    </row>
    <row r="872" spans="1:55" ht="28.5" customHeight="1">
      <c r="A872" s="32"/>
      <c r="B872" s="32"/>
      <c r="C872" s="32"/>
      <c r="D872" s="40"/>
      <c r="E872" s="39">
        <v>5501010603</v>
      </c>
      <c r="F872" s="3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  <c r="AA872" s="29"/>
      <c r="AB872" s="29"/>
      <c r="AC872" s="29"/>
      <c r="AD872" s="29"/>
      <c r="AE872" s="29"/>
      <c r="AJ872"/>
      <c r="AK872"/>
      <c r="AL872"/>
      <c r="AM872"/>
      <c r="AN872"/>
      <c r="AO872"/>
      <c r="AP872"/>
      <c r="AQ872"/>
      <c r="AR872"/>
      <c r="AS872"/>
      <c r="AT872" s="4" t="str">
        <f t="shared" si="96"/>
        <v>留任奖励</v>
      </c>
      <c r="AU872" s="4" t="str">
        <f t="shared" si="92"/>
        <v>个金资产保全部</v>
      </c>
      <c r="AV872" s="4" t="str">
        <f t="shared" si="93"/>
        <v>人力费用</v>
      </c>
      <c r="AW872" s="4" t="str">
        <f>IFERROR(VLOOKUP(AV872,[1]字段!A:B,2,0),"")</f>
        <v>人力费用</v>
      </c>
      <c r="AX872" s="30" t="str">
        <f>IF(AW872="人力费用",IF(E872="","",VLOOKUP(E872,[1]字段!D:E,2,0)),AW872)</f>
        <v>留任奖励</v>
      </c>
      <c r="AY872" s="30" t="str">
        <f>IF(AT872="","",VLOOKUP(AT872,[1]字段!H:I,2,0))</f>
        <v>留任奖励</v>
      </c>
      <c r="AZ872" s="31">
        <f t="shared" si="97"/>
        <v>0</v>
      </c>
      <c r="BA872" s="31">
        <f t="shared" si="94"/>
        <v>0</v>
      </c>
      <c r="BB872" s="31">
        <f t="shared" si="95"/>
        <v>0</v>
      </c>
      <c r="BC872" s="31">
        <f t="shared" si="98"/>
        <v>0</v>
      </c>
    </row>
    <row r="873" spans="1:55" ht="28.5" customHeight="1">
      <c r="A873" s="32"/>
      <c r="B873" s="32"/>
      <c r="C873" s="32"/>
      <c r="D873" s="40"/>
      <c r="E873" s="39">
        <v>5501010604</v>
      </c>
      <c r="F873" s="3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  <c r="AA873" s="29"/>
      <c r="AB873" s="29"/>
      <c r="AC873" s="29"/>
      <c r="AD873" s="29"/>
      <c r="AE873" s="29"/>
      <c r="AJ873"/>
      <c r="AK873"/>
      <c r="AL873"/>
      <c r="AM873"/>
      <c r="AN873"/>
      <c r="AO873"/>
      <c r="AP873"/>
      <c r="AQ873"/>
      <c r="AR873"/>
      <c r="AS873"/>
      <c r="AT873" s="4" t="str">
        <f t="shared" si="96"/>
        <v>1.0倍人力</v>
      </c>
      <c r="AU873" s="4" t="str">
        <f t="shared" si="92"/>
        <v>个金资产保全部</v>
      </c>
      <c r="AV873" s="4" t="str">
        <f t="shared" si="93"/>
        <v>人力费用</v>
      </c>
      <c r="AW873" s="4" t="str">
        <f>IFERROR(VLOOKUP(AV873,[1]字段!A:B,2,0),"")</f>
        <v>人力费用</v>
      </c>
      <c r="AX873" s="30" t="str">
        <f>IF(AW873="人力费用",IF(E873="","",VLOOKUP(E873,[1]字段!D:E,2,0)),AW873)</f>
        <v>1.0倍人力</v>
      </c>
      <c r="AY873" s="30" t="str">
        <f>IF(AT873="","",VLOOKUP(AT873,[1]字段!H:I,2,0))</f>
        <v>1.0倍人力</v>
      </c>
      <c r="AZ873" s="31">
        <f t="shared" si="97"/>
        <v>0</v>
      </c>
      <c r="BA873" s="31">
        <f t="shared" si="94"/>
        <v>0</v>
      </c>
      <c r="BB873" s="31">
        <f t="shared" si="95"/>
        <v>0</v>
      </c>
      <c r="BC873" s="31">
        <f t="shared" si="98"/>
        <v>0</v>
      </c>
    </row>
    <row r="874" spans="1:55" ht="28.5" customHeight="1">
      <c r="A874" s="32"/>
      <c r="B874" s="32"/>
      <c r="C874" s="32"/>
      <c r="D874" s="40"/>
      <c r="E874" s="39" t="s">
        <v>43</v>
      </c>
      <c r="F874" s="39" t="s">
        <v>44</v>
      </c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  <c r="AA874" s="29"/>
      <c r="AB874" s="29"/>
      <c r="AC874" s="29"/>
      <c r="AD874" s="29"/>
      <c r="AE874" s="29"/>
      <c r="AJ874"/>
      <c r="AK874"/>
      <c r="AL874"/>
      <c r="AM874"/>
      <c r="AN874"/>
      <c r="AO874"/>
      <c r="AP874"/>
      <c r="AQ874"/>
      <c r="AR874"/>
      <c r="AS874"/>
      <c r="AT874" s="4" t="str">
        <f t="shared" si="96"/>
        <v>1.0倍人力团队建设费</v>
      </c>
      <c r="AU874" s="4" t="str">
        <f t="shared" si="92"/>
        <v>个金资产保全部</v>
      </c>
      <c r="AV874" s="4" t="str">
        <f t="shared" si="93"/>
        <v>人力费用</v>
      </c>
      <c r="AW874" s="4" t="str">
        <f>IFERROR(VLOOKUP(AV874,[1]字段!A:B,2,0),"")</f>
        <v>人力费用</v>
      </c>
      <c r="AX874" s="30" t="str">
        <f>IF(AW874="人力费用",IF(E874="","",VLOOKUP(E874,[1]字段!D:E,2,0)),AW874)</f>
        <v>1.0倍人力</v>
      </c>
      <c r="AY874" s="30" t="str">
        <f>IF(AT874="","",VLOOKUP(AT874,[1]字段!H:I,2,0))</f>
        <v>1.0倍人力</v>
      </c>
      <c r="AZ874" s="31">
        <f t="shared" si="97"/>
        <v>0</v>
      </c>
      <c r="BA874" s="31">
        <f t="shared" si="94"/>
        <v>0</v>
      </c>
      <c r="BB874" s="31">
        <f t="shared" si="95"/>
        <v>0</v>
      </c>
      <c r="BC874" s="31">
        <f t="shared" si="98"/>
        <v>0</v>
      </c>
    </row>
    <row r="875" spans="1:55" ht="28.5" customHeight="1">
      <c r="A875" s="32"/>
      <c r="B875" s="32"/>
      <c r="C875" s="32"/>
      <c r="D875" s="40"/>
      <c r="E875" s="39" t="s">
        <v>45</v>
      </c>
      <c r="F875" s="39" t="s">
        <v>46</v>
      </c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  <c r="AA875" s="29"/>
      <c r="AB875" s="29"/>
      <c r="AC875" s="29"/>
      <c r="AD875" s="29"/>
      <c r="AE875" s="29"/>
      <c r="AJ875"/>
      <c r="AK875"/>
      <c r="AL875"/>
      <c r="AM875"/>
      <c r="AN875"/>
      <c r="AO875"/>
      <c r="AP875"/>
      <c r="AQ875"/>
      <c r="AR875"/>
      <c r="AS875"/>
      <c r="AT875" s="4" t="str">
        <f t="shared" si="96"/>
        <v>1.0倍人力其他职工福利费</v>
      </c>
      <c r="AU875" s="4" t="str">
        <f t="shared" si="92"/>
        <v>个金资产保全部</v>
      </c>
      <c r="AV875" s="4" t="str">
        <f t="shared" si="93"/>
        <v>人力费用</v>
      </c>
      <c r="AW875" s="4" t="str">
        <f>IFERROR(VLOOKUP(AV875,[1]字段!A:B,2,0),"")</f>
        <v>人力费用</v>
      </c>
      <c r="AX875" s="30" t="str">
        <f>IF(AW875="人力费用",IF(E875="","",VLOOKUP(E875,[1]字段!D:E,2,0)),AW875)</f>
        <v>1.0倍人力</v>
      </c>
      <c r="AY875" s="30" t="str">
        <f>IF(AT875="","",VLOOKUP(AT875,[1]字段!H:I,2,0))</f>
        <v>1.0倍人力</v>
      </c>
      <c r="AZ875" s="31">
        <f t="shared" si="97"/>
        <v>0</v>
      </c>
      <c r="BA875" s="31">
        <f t="shared" si="94"/>
        <v>0</v>
      </c>
      <c r="BB875" s="31">
        <f t="shared" si="95"/>
        <v>0</v>
      </c>
      <c r="BC875" s="31">
        <f t="shared" si="98"/>
        <v>0</v>
      </c>
    </row>
    <row r="876" spans="1:55" ht="28.5" customHeight="1">
      <c r="A876" s="32"/>
      <c r="B876" s="32"/>
      <c r="C876" s="32"/>
      <c r="D876" s="40"/>
      <c r="E876" s="39" t="s">
        <v>47</v>
      </c>
      <c r="F876" s="39" t="s">
        <v>48</v>
      </c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  <c r="AA876" s="29"/>
      <c r="AB876" s="29"/>
      <c r="AC876" s="29"/>
      <c r="AD876" s="29"/>
      <c r="AE876" s="29"/>
      <c r="AJ876"/>
      <c r="AK876"/>
      <c r="AL876"/>
      <c r="AM876"/>
      <c r="AN876"/>
      <c r="AO876"/>
      <c r="AP876"/>
      <c r="AQ876"/>
      <c r="AR876"/>
      <c r="AS876"/>
      <c r="AT876" s="4" t="str">
        <f t="shared" si="96"/>
        <v>1.0倍人力工会经费</v>
      </c>
      <c r="AU876" s="4" t="str">
        <f t="shared" si="92"/>
        <v>个金资产保全部</v>
      </c>
      <c r="AV876" s="4" t="str">
        <f t="shared" si="93"/>
        <v>人力费用</v>
      </c>
      <c r="AW876" s="4" t="str">
        <f>IFERROR(VLOOKUP(AV876,[1]字段!A:B,2,0),"")</f>
        <v>人力费用</v>
      </c>
      <c r="AX876" s="30" t="str">
        <f>IF(AW876="人力费用",IF(E876="","",VLOOKUP(E876,[1]字段!D:E,2,0)),AW876)</f>
        <v>1.0倍人力</v>
      </c>
      <c r="AY876" s="30" t="str">
        <f>IF(AT876="","",VLOOKUP(AT876,[1]字段!H:I,2,0))</f>
        <v>1.0倍人力</v>
      </c>
      <c r="AZ876" s="31">
        <f t="shared" si="97"/>
        <v>0</v>
      </c>
      <c r="BA876" s="31">
        <f t="shared" si="94"/>
        <v>0</v>
      </c>
      <c r="BB876" s="31">
        <f t="shared" si="95"/>
        <v>0</v>
      </c>
      <c r="BC876" s="31">
        <f t="shared" si="98"/>
        <v>0</v>
      </c>
    </row>
    <row r="877" spans="1:55" ht="28.5" customHeight="1">
      <c r="A877" s="32"/>
      <c r="B877" s="32"/>
      <c r="C877" s="32"/>
      <c r="D877" s="40"/>
      <c r="E877" s="39" t="s">
        <v>49</v>
      </c>
      <c r="F877" s="39" t="s">
        <v>50</v>
      </c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  <c r="AA877" s="29"/>
      <c r="AB877" s="29"/>
      <c r="AC877" s="29"/>
      <c r="AD877" s="29"/>
      <c r="AE877" s="29"/>
      <c r="AJ877"/>
      <c r="AK877"/>
      <c r="AL877"/>
      <c r="AM877"/>
      <c r="AN877"/>
      <c r="AO877"/>
      <c r="AP877"/>
      <c r="AQ877"/>
      <c r="AR877"/>
      <c r="AS877"/>
      <c r="AT877" s="4" t="str">
        <f t="shared" si="96"/>
        <v>1.0倍人力基本养老保险</v>
      </c>
      <c r="AU877" s="4" t="str">
        <f t="shared" si="92"/>
        <v>个金资产保全部</v>
      </c>
      <c r="AV877" s="4" t="str">
        <f t="shared" si="93"/>
        <v>人力费用</v>
      </c>
      <c r="AW877" s="4" t="str">
        <f>IFERROR(VLOOKUP(AV877,[1]字段!A:B,2,0),"")</f>
        <v>人力费用</v>
      </c>
      <c r="AX877" s="30" t="str">
        <f>IF(AW877="人力费用",IF(E877="","",VLOOKUP(E877,[1]字段!D:E,2,0)),AW877)</f>
        <v>1.0倍人力</v>
      </c>
      <c r="AY877" s="30" t="str">
        <f>IF(AT877="","",VLOOKUP(AT877,[1]字段!H:I,2,0))</f>
        <v>1.0倍人力</v>
      </c>
      <c r="AZ877" s="31">
        <f t="shared" si="97"/>
        <v>0</v>
      </c>
      <c r="BA877" s="31">
        <f t="shared" si="94"/>
        <v>0</v>
      </c>
      <c r="BB877" s="31">
        <f t="shared" si="95"/>
        <v>0</v>
      </c>
      <c r="BC877" s="31">
        <f t="shared" si="98"/>
        <v>0</v>
      </c>
    </row>
    <row r="878" spans="1:55" ht="28.5" customHeight="1">
      <c r="A878" s="32"/>
      <c r="B878" s="32"/>
      <c r="C878" s="32"/>
      <c r="D878" s="40"/>
      <c r="E878" s="39" t="s">
        <v>51</v>
      </c>
      <c r="F878" s="39" t="s">
        <v>52</v>
      </c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  <c r="AA878" s="29"/>
      <c r="AB878" s="29"/>
      <c r="AC878" s="29"/>
      <c r="AD878" s="29"/>
      <c r="AE878" s="29"/>
      <c r="AJ878"/>
      <c r="AK878"/>
      <c r="AL878"/>
      <c r="AM878"/>
      <c r="AN878"/>
      <c r="AO878"/>
      <c r="AP878"/>
      <c r="AQ878"/>
      <c r="AR878"/>
      <c r="AS878"/>
      <c r="AT878" s="4" t="str">
        <f t="shared" si="96"/>
        <v>1.0倍人力基本医疗保险</v>
      </c>
      <c r="AU878" s="4" t="str">
        <f t="shared" si="92"/>
        <v>个金资产保全部</v>
      </c>
      <c r="AV878" s="4" t="str">
        <f t="shared" si="93"/>
        <v>人力费用</v>
      </c>
      <c r="AW878" s="4" t="str">
        <f>IFERROR(VLOOKUP(AV878,[1]字段!A:B,2,0),"")</f>
        <v>人力费用</v>
      </c>
      <c r="AX878" s="30" t="str">
        <f>IF(AW878="人力费用",IF(E878="","",VLOOKUP(E878,[1]字段!D:E,2,0)),AW878)</f>
        <v>1.0倍人力</v>
      </c>
      <c r="AY878" s="30" t="str">
        <f>IF(AT878="","",VLOOKUP(AT878,[1]字段!H:I,2,0))</f>
        <v>1.0倍人力</v>
      </c>
      <c r="AZ878" s="31">
        <f t="shared" si="97"/>
        <v>0</v>
      </c>
      <c r="BA878" s="31">
        <f t="shared" si="94"/>
        <v>0</v>
      </c>
      <c r="BB878" s="31">
        <f t="shared" si="95"/>
        <v>0</v>
      </c>
      <c r="BC878" s="31">
        <f t="shared" si="98"/>
        <v>0</v>
      </c>
    </row>
    <row r="879" spans="1:55" ht="28.5" customHeight="1">
      <c r="A879" s="32"/>
      <c r="B879" s="32"/>
      <c r="C879" s="32"/>
      <c r="D879" s="40"/>
      <c r="E879" s="39" t="s">
        <v>53</v>
      </c>
      <c r="F879" s="39" t="s">
        <v>54</v>
      </c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  <c r="AA879" s="29"/>
      <c r="AB879" s="29"/>
      <c r="AC879" s="29"/>
      <c r="AD879" s="29"/>
      <c r="AE879" s="29"/>
      <c r="AJ879"/>
      <c r="AK879"/>
      <c r="AL879"/>
      <c r="AM879"/>
      <c r="AN879"/>
      <c r="AO879"/>
      <c r="AP879"/>
      <c r="AQ879"/>
      <c r="AR879"/>
      <c r="AS879"/>
      <c r="AT879" s="4" t="str">
        <f t="shared" si="96"/>
        <v>1.0倍人力工伤保险</v>
      </c>
      <c r="AU879" s="4" t="str">
        <f t="shared" si="92"/>
        <v>个金资产保全部</v>
      </c>
      <c r="AV879" s="4" t="str">
        <f t="shared" si="93"/>
        <v>人力费用</v>
      </c>
      <c r="AW879" s="4" t="str">
        <f>IFERROR(VLOOKUP(AV879,[1]字段!A:B,2,0),"")</f>
        <v>人力费用</v>
      </c>
      <c r="AX879" s="30" t="str">
        <f>IF(AW879="人力费用",IF(E879="","",VLOOKUP(E879,[1]字段!D:E,2,0)),AW879)</f>
        <v>1.0倍人力</v>
      </c>
      <c r="AY879" s="30" t="str">
        <f>IF(AT879="","",VLOOKUP(AT879,[1]字段!H:I,2,0))</f>
        <v>1.0倍人力</v>
      </c>
      <c r="AZ879" s="31">
        <f t="shared" si="97"/>
        <v>0</v>
      </c>
      <c r="BA879" s="31">
        <f t="shared" si="94"/>
        <v>0</v>
      </c>
      <c r="BB879" s="31">
        <f t="shared" si="95"/>
        <v>0</v>
      </c>
      <c r="BC879" s="31">
        <f t="shared" si="98"/>
        <v>0</v>
      </c>
    </row>
    <row r="880" spans="1:55" ht="28.5" customHeight="1">
      <c r="A880" s="32"/>
      <c r="B880" s="32"/>
      <c r="C880" s="32"/>
      <c r="D880" s="40"/>
      <c r="E880" s="39" t="s">
        <v>55</v>
      </c>
      <c r="F880" s="39" t="s">
        <v>56</v>
      </c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  <c r="AA880" s="29"/>
      <c r="AB880" s="29"/>
      <c r="AC880" s="29"/>
      <c r="AD880" s="29"/>
      <c r="AE880" s="29"/>
      <c r="AJ880"/>
      <c r="AK880"/>
      <c r="AL880"/>
      <c r="AM880"/>
      <c r="AN880"/>
      <c r="AO880"/>
      <c r="AP880"/>
      <c r="AQ880"/>
      <c r="AR880"/>
      <c r="AS880"/>
      <c r="AT880" s="4" t="str">
        <f t="shared" si="96"/>
        <v>1.0倍人力生育保险</v>
      </c>
      <c r="AU880" s="4" t="str">
        <f t="shared" si="92"/>
        <v>个金资产保全部</v>
      </c>
      <c r="AV880" s="4" t="str">
        <f t="shared" si="93"/>
        <v>人力费用</v>
      </c>
      <c r="AW880" s="4" t="str">
        <f>IFERROR(VLOOKUP(AV880,[1]字段!A:B,2,0),"")</f>
        <v>人力费用</v>
      </c>
      <c r="AX880" s="30" t="str">
        <f>IF(AW880="人力费用",IF(E880="","",VLOOKUP(E880,[1]字段!D:E,2,0)),AW880)</f>
        <v>1.0倍人力</v>
      </c>
      <c r="AY880" s="30" t="str">
        <f>IF(AT880="","",VLOOKUP(AT880,[1]字段!H:I,2,0))</f>
        <v>1.0倍人力</v>
      </c>
      <c r="AZ880" s="31">
        <f t="shared" si="97"/>
        <v>0</v>
      </c>
      <c r="BA880" s="31">
        <f t="shared" si="94"/>
        <v>0</v>
      </c>
      <c r="BB880" s="31">
        <f t="shared" si="95"/>
        <v>0</v>
      </c>
      <c r="BC880" s="31">
        <f t="shared" si="98"/>
        <v>0</v>
      </c>
    </row>
    <row r="881" spans="1:55" ht="28.5" customHeight="1">
      <c r="A881" s="32"/>
      <c r="B881" s="32"/>
      <c r="C881" s="32"/>
      <c r="D881" s="40"/>
      <c r="E881" s="39" t="s">
        <v>57</v>
      </c>
      <c r="F881" s="39" t="s">
        <v>58</v>
      </c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  <c r="AA881" s="29"/>
      <c r="AB881" s="29"/>
      <c r="AC881" s="29"/>
      <c r="AD881" s="29"/>
      <c r="AE881" s="29"/>
      <c r="AJ881"/>
      <c r="AK881"/>
      <c r="AL881"/>
      <c r="AM881"/>
      <c r="AN881"/>
      <c r="AO881"/>
      <c r="AP881"/>
      <c r="AQ881"/>
      <c r="AR881"/>
      <c r="AS881"/>
      <c r="AT881" s="4" t="str">
        <f t="shared" si="96"/>
        <v>1.0倍人力失业保险</v>
      </c>
      <c r="AU881" s="4" t="str">
        <f t="shared" si="92"/>
        <v>个金资产保全部</v>
      </c>
      <c r="AV881" s="4" t="str">
        <f t="shared" si="93"/>
        <v>人力费用</v>
      </c>
      <c r="AW881" s="4" t="str">
        <f>IFERROR(VLOOKUP(AV881,[1]字段!A:B,2,0),"")</f>
        <v>人力费用</v>
      </c>
      <c r="AX881" s="30" t="str">
        <f>IF(AW881="人力费用",IF(E881="","",VLOOKUP(E881,[1]字段!D:E,2,0)),AW881)</f>
        <v>1.0倍人力</v>
      </c>
      <c r="AY881" s="30" t="str">
        <f>IF(AT881="","",VLOOKUP(AT881,[1]字段!H:I,2,0))</f>
        <v>1.0倍人力</v>
      </c>
      <c r="AZ881" s="31">
        <f t="shared" si="97"/>
        <v>0</v>
      </c>
      <c r="BA881" s="31">
        <f t="shared" si="94"/>
        <v>0</v>
      </c>
      <c r="BB881" s="31">
        <f t="shared" si="95"/>
        <v>0</v>
      </c>
      <c r="BC881" s="31">
        <f t="shared" si="98"/>
        <v>0</v>
      </c>
    </row>
    <row r="882" spans="1:55" ht="28.5" customHeight="1">
      <c r="A882" s="32"/>
      <c r="B882" s="32"/>
      <c r="C882" s="41"/>
      <c r="D882" s="42"/>
      <c r="E882" s="39" t="s">
        <v>59</v>
      </c>
      <c r="F882" s="39" t="s">
        <v>60</v>
      </c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  <c r="AA882" s="29"/>
      <c r="AB882" s="29"/>
      <c r="AC882" s="29"/>
      <c r="AD882" s="29"/>
      <c r="AE882" s="29"/>
      <c r="AJ882"/>
      <c r="AK882"/>
      <c r="AL882"/>
      <c r="AM882"/>
      <c r="AN882"/>
      <c r="AO882"/>
      <c r="AP882"/>
      <c r="AQ882"/>
      <c r="AR882"/>
      <c r="AS882"/>
      <c r="AT882" s="4" t="str">
        <f t="shared" si="96"/>
        <v>1.0倍人力住房公积金</v>
      </c>
      <c r="AU882" s="4" t="str">
        <f t="shared" si="92"/>
        <v>个金资产保全部</v>
      </c>
      <c r="AV882" s="4" t="str">
        <f t="shared" si="93"/>
        <v>人力费用</v>
      </c>
      <c r="AW882" s="4" t="str">
        <f>IFERROR(VLOOKUP(AV882,[1]字段!A:B,2,0),"")</f>
        <v>人力费用</v>
      </c>
      <c r="AX882" s="30" t="str">
        <f>IF(AW882="人力费用",IF(E882="","",VLOOKUP(E882,[1]字段!D:E,2,0)),AW882)</f>
        <v>1.0倍人力</v>
      </c>
      <c r="AY882" s="30" t="str">
        <f>IF(AT882="","",VLOOKUP(AT882,[1]字段!H:I,2,0))</f>
        <v>1.0倍人力</v>
      </c>
      <c r="AZ882" s="31">
        <f t="shared" si="97"/>
        <v>0</v>
      </c>
      <c r="BA882" s="31">
        <f t="shared" si="94"/>
        <v>0</v>
      </c>
      <c r="BB882" s="31">
        <f t="shared" si="95"/>
        <v>0</v>
      </c>
      <c r="BC882" s="31">
        <f t="shared" si="98"/>
        <v>0</v>
      </c>
    </row>
    <row r="883" spans="1:55" ht="28.5" customHeight="1">
      <c r="C883" s="33" t="s">
        <v>162</v>
      </c>
      <c r="D883" s="34" t="s">
        <v>163</v>
      </c>
      <c r="E883" s="35"/>
      <c r="F883" s="36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  <c r="AA883" s="29"/>
      <c r="AB883" s="29"/>
      <c r="AC883" s="29"/>
      <c r="AD883" s="29"/>
      <c r="AE883" s="29"/>
      <c r="AJ883"/>
      <c r="AK883"/>
      <c r="AL883"/>
      <c r="AM883"/>
      <c r="AN883"/>
      <c r="AO883"/>
      <c r="AP883"/>
      <c r="AQ883"/>
      <c r="AR883"/>
      <c r="AS883"/>
      <c r="AT883" s="4" t="str">
        <f t="shared" si="96"/>
        <v>运营费用</v>
      </c>
      <c r="AU883" s="4" t="str">
        <f t="shared" si="92"/>
        <v>个金资产保全部</v>
      </c>
      <c r="AV883" s="4" t="str">
        <f t="shared" si="93"/>
        <v>运营费用</v>
      </c>
      <c r="AW883" s="4" t="str">
        <f>IFERROR(VLOOKUP(AV883,[1]字段!A:B,2,0),"")</f>
        <v>运营费用</v>
      </c>
      <c r="AX883" s="30" t="str">
        <f>IF(AW883="人力费用",IF(E883="","",VLOOKUP(E883,[1]字段!D:E,2,0)),AW883)</f>
        <v>运营费用</v>
      </c>
      <c r="AY883" s="30">
        <f>IF(AT883="","",VLOOKUP(AT883,[1]字段!H:I,2,0))</f>
        <v>0</v>
      </c>
      <c r="AZ883" s="31">
        <f t="shared" si="97"/>
        <v>0</v>
      </c>
      <c r="BA883" s="31">
        <f t="shared" si="94"/>
        <v>0</v>
      </c>
      <c r="BB883" s="31">
        <f t="shared" si="95"/>
        <v>0</v>
      </c>
      <c r="BC883" s="31">
        <f t="shared" si="98"/>
        <v>0</v>
      </c>
    </row>
    <row r="884" spans="1:55" ht="28.5" customHeight="1">
      <c r="A884" s="32"/>
      <c r="B884" s="32"/>
      <c r="C884" s="37"/>
      <c r="D884" s="38"/>
      <c r="E884" s="39" t="s">
        <v>168</v>
      </c>
      <c r="F884" s="39" t="s">
        <v>169</v>
      </c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  <c r="AA884" s="29"/>
      <c r="AB884" s="29"/>
      <c r="AC884" s="29"/>
      <c r="AD884" s="29"/>
      <c r="AE884" s="29"/>
      <c r="AJ884"/>
      <c r="AK884"/>
      <c r="AL884"/>
      <c r="AM884"/>
      <c r="AN884"/>
      <c r="AO884"/>
      <c r="AP884"/>
      <c r="AQ884"/>
      <c r="AR884"/>
      <c r="AS884"/>
      <c r="AT884" s="4" t="str">
        <f t="shared" si="96"/>
        <v>运营费用坐席租用费</v>
      </c>
      <c r="AU884" s="4" t="str">
        <f t="shared" si="92"/>
        <v>个金资产保全部</v>
      </c>
      <c r="AV884" s="4" t="str">
        <f t="shared" si="93"/>
        <v>运营费用</v>
      </c>
      <c r="AW884" s="4" t="str">
        <f>IFERROR(VLOOKUP(AV884,[1]字段!A:B,2,0),"")</f>
        <v>运营费用</v>
      </c>
      <c r="AX884" s="30" t="str">
        <f>IF(AW884="人力费用",IF(E884="","",VLOOKUP(E884,[1]字段!D:E,2,0)),AW884)</f>
        <v>运营费用</v>
      </c>
      <c r="AY884" s="30" t="str">
        <f>IF(AT884="","",VLOOKUP(AT884,[1]字段!H:I,2,0))</f>
        <v>运营费用-客服费</v>
      </c>
      <c r="AZ884" s="31">
        <f t="shared" si="97"/>
        <v>0</v>
      </c>
      <c r="BA884" s="31">
        <f t="shared" si="94"/>
        <v>0</v>
      </c>
      <c r="BB884" s="31">
        <f t="shared" si="95"/>
        <v>0</v>
      </c>
      <c r="BC884" s="31">
        <f t="shared" si="98"/>
        <v>0</v>
      </c>
    </row>
    <row r="885" spans="1:55" ht="28.5" customHeight="1">
      <c r="A885" s="32"/>
      <c r="B885" s="32"/>
      <c r="C885" s="32"/>
      <c r="D885" s="40"/>
      <c r="E885" s="39" t="s">
        <v>181</v>
      </c>
      <c r="F885" s="39" t="s">
        <v>182</v>
      </c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  <c r="AA885" s="29"/>
      <c r="AB885" s="29"/>
      <c r="AC885" s="29"/>
      <c r="AD885" s="29"/>
      <c r="AE885" s="29"/>
      <c r="AJ885"/>
      <c r="AK885"/>
      <c r="AL885"/>
      <c r="AM885"/>
      <c r="AN885"/>
      <c r="AO885"/>
      <c r="AP885"/>
      <c r="AQ885"/>
      <c r="AR885"/>
      <c r="AS885"/>
      <c r="AT885" s="4" t="str">
        <f t="shared" si="96"/>
        <v>运营费用短信费</v>
      </c>
      <c r="AU885" s="4" t="str">
        <f t="shared" si="92"/>
        <v>个金资产保全部</v>
      </c>
      <c r="AV885" s="4" t="str">
        <f t="shared" si="93"/>
        <v>运营费用</v>
      </c>
      <c r="AW885" s="4" t="str">
        <f>IFERROR(VLOOKUP(AV885,[1]字段!A:B,2,0),"")</f>
        <v>运营费用</v>
      </c>
      <c r="AX885" s="30" t="str">
        <f>IF(AW885="人力费用",IF(E885="","",VLOOKUP(E885,[1]字段!D:E,2,0)),AW885)</f>
        <v>运营费用</v>
      </c>
      <c r="AY885" s="30" t="str">
        <f>IF(AT885="","",VLOOKUP(AT885,[1]字段!H:I,2,0))</f>
        <v>运营费用-短信费</v>
      </c>
      <c r="AZ885" s="31">
        <f t="shared" si="97"/>
        <v>0</v>
      </c>
      <c r="BA885" s="31">
        <f t="shared" si="94"/>
        <v>0</v>
      </c>
      <c r="BB885" s="31">
        <f t="shared" si="95"/>
        <v>0</v>
      </c>
      <c r="BC885" s="31">
        <f t="shared" si="98"/>
        <v>0</v>
      </c>
    </row>
    <row r="886" spans="1:55" ht="28.5" customHeight="1">
      <c r="A886" s="32"/>
      <c r="B886" s="32"/>
      <c r="C886" s="32"/>
      <c r="D886" s="40"/>
      <c r="E886" s="39" t="s">
        <v>135</v>
      </c>
      <c r="F886" s="39" t="s">
        <v>136</v>
      </c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  <c r="AA886" s="29"/>
      <c r="AB886" s="29"/>
      <c r="AC886" s="29"/>
      <c r="AD886" s="29"/>
      <c r="AE886" s="29"/>
      <c r="AJ886"/>
      <c r="AK886"/>
      <c r="AL886"/>
      <c r="AM886"/>
      <c r="AN886"/>
      <c r="AO886"/>
      <c r="AP886"/>
      <c r="AQ886"/>
      <c r="AR886"/>
      <c r="AS886"/>
      <c r="AT886" s="4" t="str">
        <f t="shared" si="96"/>
        <v>运营费用其他邮电费</v>
      </c>
      <c r="AU886" s="4" t="str">
        <f t="shared" si="92"/>
        <v>个金资产保全部</v>
      </c>
      <c r="AV886" s="4" t="str">
        <f t="shared" si="93"/>
        <v>运营费用</v>
      </c>
      <c r="AW886" s="4" t="str">
        <f>IFERROR(VLOOKUP(AV886,[1]字段!A:B,2,0),"")</f>
        <v>运营费用</v>
      </c>
      <c r="AX886" s="30" t="str">
        <f>IF(AW886="人力费用",IF(E886="","",VLOOKUP(E886,[1]字段!D:E,2,0)),AW886)</f>
        <v>运营费用</v>
      </c>
      <c r="AY886" s="30" t="str">
        <f>IF(AT886="","",VLOOKUP(AT886,[1]字段!H:I,2,0))</f>
        <v>运营费用-运营其他</v>
      </c>
      <c r="AZ886" s="31">
        <f t="shared" si="97"/>
        <v>0</v>
      </c>
      <c r="BA886" s="31">
        <f t="shared" si="94"/>
        <v>0</v>
      </c>
      <c r="BB886" s="31">
        <f t="shared" si="95"/>
        <v>0</v>
      </c>
      <c r="BC886" s="31">
        <f t="shared" si="98"/>
        <v>0</v>
      </c>
    </row>
    <row r="887" spans="1:55" ht="28.5" customHeight="1">
      <c r="A887" s="32"/>
      <c r="B887" s="32"/>
      <c r="C887" s="32"/>
      <c r="D887" s="40"/>
      <c r="E887" s="39" t="s">
        <v>91</v>
      </c>
      <c r="F887" s="39" t="s">
        <v>92</v>
      </c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  <c r="AA887" s="29"/>
      <c r="AB887" s="29"/>
      <c r="AC887" s="29"/>
      <c r="AD887" s="29"/>
      <c r="AE887" s="29"/>
      <c r="AJ887"/>
      <c r="AK887"/>
      <c r="AL887"/>
      <c r="AM887"/>
      <c r="AN887"/>
      <c r="AO887"/>
      <c r="AP887"/>
      <c r="AQ887"/>
      <c r="AR887"/>
      <c r="AS887"/>
      <c r="AT887" s="4" t="str">
        <f t="shared" si="96"/>
        <v>运营费用办公费用</v>
      </c>
      <c r="AU887" s="4" t="str">
        <f t="shared" si="92"/>
        <v>个金资产保全部</v>
      </c>
      <c r="AV887" s="4" t="str">
        <f t="shared" si="93"/>
        <v>运营费用</v>
      </c>
      <c r="AW887" s="4" t="str">
        <f>IFERROR(VLOOKUP(AV887,[1]字段!A:B,2,0),"")</f>
        <v>运营费用</v>
      </c>
      <c r="AX887" s="30" t="str">
        <f>IF(AW887="人力费用",IF(E887="","",VLOOKUP(E887,[1]字段!D:E,2,0)),AW887)</f>
        <v>运营费用</v>
      </c>
      <c r="AY887" s="30" t="str">
        <f>IF(AT887="","",VLOOKUP(AT887,[1]字段!H:I,2,0))</f>
        <v>运营费用-运营其他</v>
      </c>
      <c r="AZ887" s="31">
        <f t="shared" si="97"/>
        <v>0</v>
      </c>
      <c r="BA887" s="31">
        <f t="shared" si="94"/>
        <v>0</v>
      </c>
      <c r="BB887" s="31">
        <f t="shared" si="95"/>
        <v>0</v>
      </c>
      <c r="BC887" s="31">
        <f t="shared" si="98"/>
        <v>0</v>
      </c>
    </row>
    <row r="888" spans="1:55" ht="28.5" customHeight="1">
      <c r="A888" s="32"/>
      <c r="B888" s="32"/>
      <c r="C888" s="32"/>
      <c r="D888" s="40"/>
      <c r="E888" s="39" t="s">
        <v>172</v>
      </c>
      <c r="F888" s="39" t="s">
        <v>173</v>
      </c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  <c r="AA888" s="29"/>
      <c r="AB888" s="29"/>
      <c r="AC888" s="29"/>
      <c r="AD888" s="29"/>
      <c r="AE888" s="29"/>
      <c r="AJ888"/>
      <c r="AK888"/>
      <c r="AL888"/>
      <c r="AM888"/>
      <c r="AN888"/>
      <c r="AO888"/>
      <c r="AP888"/>
      <c r="AQ888"/>
      <c r="AR888"/>
      <c r="AS888"/>
      <c r="AT888" s="4" t="str">
        <f t="shared" si="96"/>
        <v>运营费用客服费</v>
      </c>
      <c r="AU888" s="4" t="str">
        <f t="shared" si="92"/>
        <v>个金资产保全部</v>
      </c>
      <c r="AV888" s="4" t="str">
        <f t="shared" si="93"/>
        <v>运营费用</v>
      </c>
      <c r="AW888" s="4" t="str">
        <f>IFERROR(VLOOKUP(AV888,[1]字段!A:B,2,0),"")</f>
        <v>运营费用</v>
      </c>
      <c r="AX888" s="30" t="str">
        <f>IF(AW888="人力费用",IF(E888="","",VLOOKUP(E888,[1]字段!D:E,2,0)),AW888)</f>
        <v>运营费用</v>
      </c>
      <c r="AY888" s="30" t="str">
        <f>IF(AT888="","",VLOOKUP(AT888,[1]字段!H:I,2,0))</f>
        <v>运营费用-客服费</v>
      </c>
      <c r="AZ888" s="31">
        <f t="shared" si="97"/>
        <v>0</v>
      </c>
      <c r="BA888" s="31">
        <f t="shared" si="94"/>
        <v>0</v>
      </c>
      <c r="BB888" s="31">
        <f t="shared" si="95"/>
        <v>0</v>
      </c>
      <c r="BC888" s="31">
        <f t="shared" si="98"/>
        <v>0</v>
      </c>
    </row>
    <row r="889" spans="1:55" ht="28.5" customHeight="1">
      <c r="A889" s="32"/>
      <c r="B889" s="32"/>
      <c r="C889" s="41"/>
      <c r="D889" s="42"/>
      <c r="E889" s="39" t="s">
        <v>83</v>
      </c>
      <c r="F889" s="39" t="s">
        <v>84</v>
      </c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  <c r="AA889" s="29"/>
      <c r="AB889" s="29"/>
      <c r="AC889" s="29"/>
      <c r="AD889" s="29"/>
      <c r="AE889" s="29"/>
      <c r="AJ889"/>
      <c r="AK889"/>
      <c r="AL889"/>
      <c r="AM889"/>
      <c r="AN889"/>
      <c r="AO889"/>
      <c r="AP889"/>
      <c r="AQ889"/>
      <c r="AR889"/>
      <c r="AS889"/>
      <c r="AT889" s="4" t="str">
        <f t="shared" si="96"/>
        <v>运营费用其他外包服务费</v>
      </c>
      <c r="AU889" s="4" t="str">
        <f t="shared" si="92"/>
        <v>个金资产保全部</v>
      </c>
      <c r="AV889" s="4" t="str">
        <f t="shared" si="93"/>
        <v>运营费用</v>
      </c>
      <c r="AW889" s="4" t="str">
        <f>IFERROR(VLOOKUP(AV889,[1]字段!A:B,2,0),"")</f>
        <v>运营费用</v>
      </c>
      <c r="AX889" s="30" t="str">
        <f>IF(AW889="人力费用",IF(E889="","",VLOOKUP(E889,[1]字段!D:E,2,0)),AW889)</f>
        <v>运营费用</v>
      </c>
      <c r="AY889" s="30" t="str">
        <f>IF(AT889="","",VLOOKUP(AT889,[1]字段!H:I,2,0))</f>
        <v>运营费用-外包服务费</v>
      </c>
      <c r="AZ889" s="31">
        <f t="shared" si="97"/>
        <v>0</v>
      </c>
      <c r="BA889" s="31">
        <f t="shared" si="94"/>
        <v>0</v>
      </c>
      <c r="BB889" s="31">
        <f t="shared" si="95"/>
        <v>0</v>
      </c>
      <c r="BC889" s="31">
        <f t="shared" si="98"/>
        <v>0</v>
      </c>
    </row>
    <row r="890" spans="1:55" ht="28.5" customHeight="1">
      <c r="C890" s="33" t="s">
        <v>65</v>
      </c>
      <c r="D890" s="34" t="s">
        <v>66</v>
      </c>
      <c r="E890" s="35"/>
      <c r="F890" s="36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  <c r="AA890" s="29"/>
      <c r="AB890" s="29"/>
      <c r="AC890" s="29"/>
      <c r="AD890" s="29"/>
      <c r="AE890" s="29"/>
      <c r="AJ890"/>
      <c r="AK890"/>
      <c r="AL890"/>
      <c r="AM890"/>
      <c r="AN890"/>
      <c r="AO890"/>
      <c r="AP890"/>
      <c r="AQ890"/>
      <c r="AR890"/>
      <c r="AS890"/>
      <c r="AT890" s="4" t="str">
        <f t="shared" si="96"/>
        <v>IT费用</v>
      </c>
      <c r="AU890" s="4" t="str">
        <f t="shared" si="92"/>
        <v>个金资产保全部</v>
      </c>
      <c r="AV890" s="4" t="str">
        <f t="shared" si="93"/>
        <v>IT科技费用</v>
      </c>
      <c r="AW890" s="4" t="str">
        <f>IFERROR(VLOOKUP(AV890,[1]字段!A:B,2,0),"")</f>
        <v>IT费用</v>
      </c>
      <c r="AX890" s="30" t="str">
        <f>IF(AW890="人力费用",IF(E890="","",VLOOKUP(E890,[1]字段!D:E,2,0)),AW890)</f>
        <v>IT费用</v>
      </c>
      <c r="AY890" s="30">
        <f>IF(AT890="","",VLOOKUP(AT890,[1]字段!H:I,2,0))</f>
        <v>0</v>
      </c>
      <c r="AZ890" s="31">
        <f t="shared" si="97"/>
        <v>0</v>
      </c>
      <c r="BA890" s="31">
        <f t="shared" si="94"/>
        <v>0</v>
      </c>
      <c r="BB890" s="31">
        <f t="shared" si="95"/>
        <v>0</v>
      </c>
      <c r="BC890" s="31">
        <f t="shared" si="98"/>
        <v>0</v>
      </c>
    </row>
    <row r="891" spans="1:55" ht="28.5" customHeight="1">
      <c r="A891" s="32"/>
      <c r="B891" s="32"/>
      <c r="C891" s="43"/>
      <c r="D891" s="43"/>
      <c r="E891" s="39" t="s">
        <v>71</v>
      </c>
      <c r="F891" s="39" t="s">
        <v>72</v>
      </c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  <c r="AA891" s="29"/>
      <c r="AB891" s="29"/>
      <c r="AC891" s="29"/>
      <c r="AD891" s="29"/>
      <c r="AE891" s="29"/>
      <c r="AJ891"/>
      <c r="AK891"/>
      <c r="AL891"/>
      <c r="AM891"/>
      <c r="AN891"/>
      <c r="AO891"/>
      <c r="AP891"/>
      <c r="AQ891"/>
      <c r="AR891"/>
      <c r="AS891"/>
      <c r="AT891" s="4" t="str">
        <f t="shared" si="96"/>
        <v>IT费用办公IT设备折旧费</v>
      </c>
      <c r="AU891" s="4" t="str">
        <f t="shared" si="92"/>
        <v>个金资产保全部</v>
      </c>
      <c r="AV891" s="4" t="str">
        <f t="shared" si="93"/>
        <v>IT科技费用</v>
      </c>
      <c r="AW891" s="4" t="str">
        <f>IFERROR(VLOOKUP(AV891,[1]字段!A:B,2,0),"")</f>
        <v>IT费用</v>
      </c>
      <c r="AX891" s="30" t="str">
        <f>IF(AW891="人力费用",IF(E891="","",VLOOKUP(E891,[1]字段!D:E,2,0)),AW891)</f>
        <v>IT费用</v>
      </c>
      <c r="AY891" s="30" t="str">
        <f>IF(AT891="","",VLOOKUP(AT891,[1]字段!H:I,2,0))</f>
        <v>IT费用</v>
      </c>
      <c r="AZ891" s="31">
        <f t="shared" si="97"/>
        <v>0</v>
      </c>
      <c r="BA891" s="31">
        <f t="shared" si="94"/>
        <v>0</v>
      </c>
      <c r="BB891" s="31">
        <f t="shared" si="95"/>
        <v>0</v>
      </c>
      <c r="BC891" s="31">
        <f t="shared" si="98"/>
        <v>0</v>
      </c>
    </row>
    <row r="892" spans="1:55" ht="28.5" customHeight="1">
      <c r="C892" s="33" t="s">
        <v>93</v>
      </c>
      <c r="D892" s="34" t="s">
        <v>94</v>
      </c>
      <c r="E892" s="35"/>
      <c r="F892" s="36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  <c r="AA892" s="29"/>
      <c r="AB892" s="29"/>
      <c r="AC892" s="29"/>
      <c r="AD892" s="29"/>
      <c r="AE892" s="29"/>
      <c r="AJ892"/>
      <c r="AK892"/>
      <c r="AL892"/>
      <c r="AM892"/>
      <c r="AN892"/>
      <c r="AO892"/>
      <c r="AP892"/>
      <c r="AQ892"/>
      <c r="AR892"/>
      <c r="AS892"/>
      <c r="AT892" s="4" t="str">
        <f t="shared" si="96"/>
        <v>日常费用</v>
      </c>
      <c r="AU892" s="4" t="str">
        <f t="shared" si="92"/>
        <v>个金资产保全部</v>
      </c>
      <c r="AV892" s="4" t="str">
        <f t="shared" si="93"/>
        <v>日常费用</v>
      </c>
      <c r="AW892" s="4" t="str">
        <f>IFERROR(VLOOKUP(AV892,[1]字段!A:B,2,0),"")</f>
        <v>日常费用</v>
      </c>
      <c r="AX892" s="30" t="str">
        <f>IF(AW892="人力费用",IF(E892="","",VLOOKUP(E892,[1]字段!D:E,2,0)),AW892)</f>
        <v>日常费用</v>
      </c>
      <c r="AY892" s="30">
        <f>IF(AT892="","",VLOOKUP(AT892,[1]字段!H:I,2,0))</f>
        <v>0</v>
      </c>
      <c r="AZ892" s="31">
        <f t="shared" si="97"/>
        <v>0</v>
      </c>
      <c r="BA892" s="31">
        <f t="shared" si="94"/>
        <v>0</v>
      </c>
      <c r="BB892" s="31">
        <f t="shared" si="95"/>
        <v>0</v>
      </c>
      <c r="BC892" s="31">
        <f t="shared" si="98"/>
        <v>0</v>
      </c>
    </row>
    <row r="893" spans="1:55" ht="28.5" customHeight="1">
      <c r="A893" s="32"/>
      <c r="B893" s="32"/>
      <c r="C893" s="37"/>
      <c r="D893" s="38"/>
      <c r="E893" s="39" t="s">
        <v>91</v>
      </c>
      <c r="F893" s="39" t="s">
        <v>92</v>
      </c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  <c r="AA893" s="29"/>
      <c r="AB893" s="29"/>
      <c r="AC893" s="29"/>
      <c r="AD893" s="29"/>
      <c r="AE893" s="29"/>
      <c r="AJ893"/>
      <c r="AK893"/>
      <c r="AL893"/>
      <c r="AM893"/>
      <c r="AN893"/>
      <c r="AO893"/>
      <c r="AP893"/>
      <c r="AQ893"/>
      <c r="AR893"/>
      <c r="AS893"/>
      <c r="AT893" s="4" t="str">
        <f t="shared" si="96"/>
        <v>日常费用办公费用</v>
      </c>
      <c r="AU893" s="4" t="str">
        <f t="shared" si="92"/>
        <v>个金资产保全部</v>
      </c>
      <c r="AV893" s="4" t="str">
        <f t="shared" si="93"/>
        <v>日常费用</v>
      </c>
      <c r="AW893" s="4" t="str">
        <f>IFERROR(VLOOKUP(AV893,[1]字段!A:B,2,0),"")</f>
        <v>日常费用</v>
      </c>
      <c r="AX893" s="30" t="str">
        <f>IF(AW893="人力费用",IF(E893="","",VLOOKUP(E893,[1]字段!D:E,2,0)),AW893)</f>
        <v>日常费用</v>
      </c>
      <c r="AY893" s="30" t="str">
        <f>IF(AT893="","",VLOOKUP(AT893,[1]字段!H:I,2,0))</f>
        <v>日常费用-其他</v>
      </c>
      <c r="AZ893" s="31">
        <f t="shared" si="97"/>
        <v>0</v>
      </c>
      <c r="BA893" s="31">
        <f t="shared" si="94"/>
        <v>0</v>
      </c>
      <c r="BB893" s="31">
        <f t="shared" si="95"/>
        <v>0</v>
      </c>
      <c r="BC893" s="31">
        <f t="shared" si="98"/>
        <v>0</v>
      </c>
    </row>
    <row r="894" spans="1:55" ht="28.5" customHeight="1">
      <c r="A894" s="32"/>
      <c r="B894" s="32"/>
      <c r="C894" s="32"/>
      <c r="D894" s="40"/>
      <c r="E894" s="39" t="s">
        <v>95</v>
      </c>
      <c r="F894" s="39" t="s">
        <v>96</v>
      </c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  <c r="AA894" s="29"/>
      <c r="AB894" s="29"/>
      <c r="AC894" s="29"/>
      <c r="AD894" s="29"/>
      <c r="AE894" s="29"/>
      <c r="AJ894"/>
      <c r="AK894"/>
      <c r="AL894"/>
      <c r="AM894"/>
      <c r="AN894"/>
      <c r="AO894"/>
      <c r="AP894"/>
      <c r="AQ894"/>
      <c r="AR894"/>
      <c r="AS894"/>
      <c r="AT894" s="4" t="str">
        <f t="shared" si="96"/>
        <v>日常费用业务招待费</v>
      </c>
      <c r="AU894" s="4" t="str">
        <f t="shared" si="92"/>
        <v>个金资产保全部</v>
      </c>
      <c r="AV894" s="4" t="str">
        <f t="shared" si="93"/>
        <v>日常费用</v>
      </c>
      <c r="AW894" s="4" t="str">
        <f>IFERROR(VLOOKUP(AV894,[1]字段!A:B,2,0),"")</f>
        <v>日常费用</v>
      </c>
      <c r="AX894" s="30" t="str">
        <f>IF(AW894="人力费用",IF(E894="","",VLOOKUP(E894,[1]字段!D:E,2,0)),AW894)</f>
        <v>日常费用</v>
      </c>
      <c r="AY894" s="30" t="str">
        <f>IF(AT894="","",VLOOKUP(AT894,[1]字段!H:I,2,0))</f>
        <v>日常费用-其他</v>
      </c>
      <c r="AZ894" s="31">
        <f t="shared" si="97"/>
        <v>0</v>
      </c>
      <c r="BA894" s="31">
        <f t="shared" si="94"/>
        <v>0</v>
      </c>
      <c r="BB894" s="31">
        <f t="shared" si="95"/>
        <v>0</v>
      </c>
      <c r="BC894" s="31">
        <f t="shared" si="98"/>
        <v>0</v>
      </c>
    </row>
    <row r="895" spans="1:55" ht="28.5" customHeight="1">
      <c r="A895" s="41"/>
      <c r="B895" s="41"/>
      <c r="C895" s="41"/>
      <c r="D895" s="42"/>
      <c r="E895" s="39" t="s">
        <v>139</v>
      </c>
      <c r="F895" s="39" t="s">
        <v>140</v>
      </c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  <c r="AA895" s="29"/>
      <c r="AB895" s="29"/>
      <c r="AC895" s="29"/>
      <c r="AD895" s="29"/>
      <c r="AE895" s="29"/>
      <c r="AJ895"/>
      <c r="AK895"/>
      <c r="AL895"/>
      <c r="AM895"/>
      <c r="AN895"/>
      <c r="AO895"/>
      <c r="AP895"/>
      <c r="AQ895"/>
      <c r="AR895"/>
      <c r="AS895"/>
      <c r="AT895" s="4" t="str">
        <f t="shared" si="96"/>
        <v>日常费用差旅费</v>
      </c>
      <c r="AU895" s="4" t="str">
        <f t="shared" si="92"/>
        <v>个金资产保全部</v>
      </c>
      <c r="AV895" s="4" t="str">
        <f t="shared" si="93"/>
        <v>日常费用</v>
      </c>
      <c r="AW895" s="4" t="str">
        <f>IFERROR(VLOOKUP(AV895,[1]字段!A:B,2,0),"")</f>
        <v>日常费用</v>
      </c>
      <c r="AX895" s="30" t="str">
        <f>IF(AW895="人力费用",IF(E895="","",VLOOKUP(E895,[1]字段!D:E,2,0)),AW895)</f>
        <v>日常费用</v>
      </c>
      <c r="AY895" s="30" t="str">
        <f>IF(AT895="","",VLOOKUP(AT895,[1]字段!H:I,2,0))</f>
        <v>日常费用-其他</v>
      </c>
      <c r="AZ895" s="31">
        <f t="shared" si="97"/>
        <v>0</v>
      </c>
      <c r="BA895" s="31">
        <f t="shared" si="94"/>
        <v>0</v>
      </c>
      <c r="BB895" s="31">
        <f t="shared" si="95"/>
        <v>0</v>
      </c>
      <c r="BC895" s="31">
        <f t="shared" si="98"/>
        <v>0</v>
      </c>
    </row>
    <row r="896" spans="1:55" ht="28.5" customHeight="1">
      <c r="A896" s="25"/>
      <c r="B896" s="26" t="s">
        <v>200</v>
      </c>
      <c r="C896" s="27"/>
      <c r="D896" s="27"/>
      <c r="E896" s="27"/>
      <c r="F896" s="28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  <c r="AA896" s="29"/>
      <c r="AB896" s="29"/>
      <c r="AC896" s="29"/>
      <c r="AD896" s="29"/>
      <c r="AE896" s="29"/>
      <c r="AJ896"/>
      <c r="AK896"/>
      <c r="AL896"/>
      <c r="AM896"/>
      <c r="AN896"/>
      <c r="AO896"/>
      <c r="AP896"/>
      <c r="AQ896"/>
      <c r="AR896"/>
      <c r="AS896"/>
      <c r="AT896" s="4" t="str">
        <f t="shared" si="96"/>
        <v/>
      </c>
      <c r="AU896" s="4" t="str">
        <f t="shared" si="92"/>
        <v>个金管理部</v>
      </c>
      <c r="AV896" s="4" t="str">
        <f t="shared" si="93"/>
        <v/>
      </c>
      <c r="AW896" s="4" t="str">
        <f>IFERROR(VLOOKUP(AV896,[1]字段!A:B,2,0),"")</f>
        <v/>
      </c>
      <c r="AX896" s="30" t="str">
        <f>IF(AW896="人力费用",IF(E896="","",VLOOKUP(E896,[1]字段!D:E,2,0)),AW896)</f>
        <v/>
      </c>
      <c r="AY896" s="30" t="str">
        <f>IF(AT896="","",VLOOKUP(AT896,[1]字段!H:I,2,0))</f>
        <v/>
      </c>
      <c r="AZ896" s="31">
        <f t="shared" si="97"/>
        <v>0</v>
      </c>
      <c r="BA896" s="31">
        <f t="shared" si="94"/>
        <v>0</v>
      </c>
      <c r="BB896" s="31">
        <f t="shared" si="95"/>
        <v>0</v>
      </c>
      <c r="BC896" s="31">
        <f t="shared" si="98"/>
        <v>0</v>
      </c>
    </row>
    <row r="897" spans="1:55" ht="28.5" customHeight="1">
      <c r="A897" s="32"/>
      <c r="B897" s="32"/>
      <c r="C897" s="33" t="s">
        <v>39</v>
      </c>
      <c r="D897" s="34" t="s">
        <v>40</v>
      </c>
      <c r="E897" s="35"/>
      <c r="F897" s="36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  <c r="AA897" s="29"/>
      <c r="AB897" s="29"/>
      <c r="AC897" s="29"/>
      <c r="AD897" s="29"/>
      <c r="AE897" s="29"/>
      <c r="AJ897"/>
      <c r="AK897"/>
      <c r="AL897"/>
      <c r="AM897"/>
      <c r="AN897"/>
      <c r="AO897"/>
      <c r="AP897"/>
      <c r="AQ897"/>
      <c r="AR897"/>
      <c r="AS897"/>
      <c r="AT897" s="4" t="str">
        <f t="shared" si="96"/>
        <v/>
      </c>
      <c r="AU897" s="4" t="str">
        <f t="shared" si="92"/>
        <v>个金管理部</v>
      </c>
      <c r="AV897" s="4" t="str">
        <f t="shared" si="93"/>
        <v>人力费用</v>
      </c>
      <c r="AW897" s="4" t="str">
        <f>IFERROR(VLOOKUP(AV897,[1]字段!A:B,2,0),"")</f>
        <v>人力费用</v>
      </c>
      <c r="AX897" s="30" t="str">
        <f>IF(AW897="人力费用",IF(E897="","",VLOOKUP(E897,[1]字段!D:E,2,0)),AW897)</f>
        <v/>
      </c>
      <c r="AY897" s="30" t="str">
        <f>IF(AT897="","",VLOOKUP(AT897,[1]字段!H:I,2,0))</f>
        <v/>
      </c>
      <c r="AZ897" s="31">
        <f t="shared" si="97"/>
        <v>0</v>
      </c>
      <c r="BA897" s="31">
        <f t="shared" si="94"/>
        <v>0</v>
      </c>
      <c r="BB897" s="31">
        <f t="shared" si="95"/>
        <v>0</v>
      </c>
      <c r="BC897" s="31">
        <f t="shared" si="98"/>
        <v>0</v>
      </c>
    </row>
    <row r="898" spans="1:55" ht="28.5" customHeight="1">
      <c r="A898" s="32"/>
      <c r="B898" s="32"/>
      <c r="C898" s="37"/>
      <c r="D898" s="38"/>
      <c r="E898" s="39" t="s">
        <v>41</v>
      </c>
      <c r="F898" s="39" t="s">
        <v>42</v>
      </c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  <c r="AA898" s="29"/>
      <c r="AB898" s="29"/>
      <c r="AC898" s="29"/>
      <c r="AD898" s="29"/>
      <c r="AE898" s="29"/>
      <c r="AJ898"/>
      <c r="AK898"/>
      <c r="AL898"/>
      <c r="AM898"/>
      <c r="AN898"/>
      <c r="AO898"/>
      <c r="AP898"/>
      <c r="AQ898"/>
      <c r="AR898"/>
      <c r="AS898"/>
      <c r="AT898" s="4" t="str">
        <f t="shared" si="96"/>
        <v>1.0倍人力基础工资</v>
      </c>
      <c r="AU898" s="4" t="str">
        <f t="shared" si="92"/>
        <v>个金管理部</v>
      </c>
      <c r="AV898" s="4" t="str">
        <f t="shared" si="93"/>
        <v>人力费用</v>
      </c>
      <c r="AW898" s="4" t="str">
        <f>IFERROR(VLOOKUP(AV898,[1]字段!A:B,2,0),"")</f>
        <v>人力费用</v>
      </c>
      <c r="AX898" s="30" t="str">
        <f>IF(AW898="人力费用",IF(E898="","",VLOOKUP(E898,[1]字段!D:E,2,0)),AW898)</f>
        <v>1.0倍人力</v>
      </c>
      <c r="AY898" s="30" t="str">
        <f>IF(AT898="","",VLOOKUP(AT898,[1]字段!H:I,2,0))</f>
        <v>1.0倍人力</v>
      </c>
      <c r="AZ898" s="31">
        <f>IF($E898="",0,SUMIF($G$1:$AB$1,AZ$4,$G898:$AB898))</f>
        <v>0</v>
      </c>
      <c r="BA898" s="31">
        <f t="shared" si="94"/>
        <v>0</v>
      </c>
      <c r="BB898" s="31">
        <f t="shared" si="95"/>
        <v>0</v>
      </c>
      <c r="BC898" s="31">
        <f t="shared" si="98"/>
        <v>0</v>
      </c>
    </row>
    <row r="899" spans="1:55" ht="28.5" customHeight="1">
      <c r="A899" s="32"/>
      <c r="B899" s="32"/>
      <c r="C899" s="32"/>
      <c r="D899" s="40"/>
      <c r="E899" s="39">
        <v>5501010602</v>
      </c>
      <c r="F899" s="3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  <c r="AA899" s="29"/>
      <c r="AB899" s="29"/>
      <c r="AC899" s="29"/>
      <c r="AD899" s="29"/>
      <c r="AE899" s="29"/>
      <c r="AJ899"/>
      <c r="AK899"/>
      <c r="AL899"/>
      <c r="AM899"/>
      <c r="AN899"/>
      <c r="AO899"/>
      <c r="AP899"/>
      <c r="AQ899"/>
      <c r="AR899"/>
      <c r="AS899"/>
      <c r="AT899" s="4" t="str">
        <f t="shared" si="96"/>
        <v>利润分享</v>
      </c>
      <c r="AU899" s="4" t="str">
        <f t="shared" si="92"/>
        <v>个金管理部</v>
      </c>
      <c r="AV899" s="4" t="str">
        <f t="shared" si="93"/>
        <v>人力费用</v>
      </c>
      <c r="AW899" s="4" t="str">
        <f>IFERROR(VLOOKUP(AV899,[1]字段!A:B,2,0),"")</f>
        <v>人力费用</v>
      </c>
      <c r="AX899" s="30" t="str">
        <f>IF(AW899="人力费用",IF(E899="","",VLOOKUP(E899,[1]字段!D:E,2,0)),AW899)</f>
        <v>利润分享</v>
      </c>
      <c r="AY899" s="30" t="str">
        <f>IF(AT899="","",VLOOKUP(AT899,[1]字段!H:I,2,0))</f>
        <v>利润分享</v>
      </c>
      <c r="AZ899" s="31">
        <f t="shared" si="97"/>
        <v>0</v>
      </c>
      <c r="BA899" s="31">
        <f t="shared" si="94"/>
        <v>0</v>
      </c>
      <c r="BB899" s="31">
        <f t="shared" si="95"/>
        <v>0</v>
      </c>
      <c r="BC899" s="31">
        <f t="shared" si="98"/>
        <v>0</v>
      </c>
    </row>
    <row r="900" spans="1:55" ht="28.5" customHeight="1">
      <c r="A900" s="32"/>
      <c r="B900" s="32"/>
      <c r="C900" s="32"/>
      <c r="D900" s="40"/>
      <c r="E900" s="39">
        <v>5501010603</v>
      </c>
      <c r="F900" s="3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  <c r="AA900" s="29"/>
      <c r="AB900" s="29"/>
      <c r="AC900" s="29"/>
      <c r="AD900" s="29"/>
      <c r="AE900" s="29"/>
      <c r="AJ900"/>
      <c r="AK900"/>
      <c r="AL900"/>
      <c r="AM900"/>
      <c r="AN900"/>
      <c r="AO900"/>
      <c r="AP900"/>
      <c r="AQ900"/>
      <c r="AR900"/>
      <c r="AS900"/>
      <c r="AT900" s="4" t="str">
        <f t="shared" si="96"/>
        <v>留任奖励</v>
      </c>
      <c r="AU900" s="4" t="str">
        <f t="shared" si="92"/>
        <v>个金管理部</v>
      </c>
      <c r="AV900" s="4" t="str">
        <f t="shared" si="93"/>
        <v>人力费用</v>
      </c>
      <c r="AW900" s="4" t="str">
        <f>IFERROR(VLOOKUP(AV900,[1]字段!A:B,2,0),"")</f>
        <v>人力费用</v>
      </c>
      <c r="AX900" s="30" t="str">
        <f>IF(AW900="人力费用",IF(E900="","",VLOOKUP(E900,[1]字段!D:E,2,0)),AW900)</f>
        <v>留任奖励</v>
      </c>
      <c r="AY900" s="30" t="str">
        <f>IF(AT900="","",VLOOKUP(AT900,[1]字段!H:I,2,0))</f>
        <v>留任奖励</v>
      </c>
      <c r="AZ900" s="31">
        <f t="shared" si="97"/>
        <v>0</v>
      </c>
      <c r="BA900" s="31">
        <f t="shared" si="94"/>
        <v>0</v>
      </c>
      <c r="BB900" s="31">
        <f t="shared" si="95"/>
        <v>0</v>
      </c>
      <c r="BC900" s="31">
        <f t="shared" si="98"/>
        <v>0</v>
      </c>
    </row>
    <row r="901" spans="1:55" ht="28.5" customHeight="1">
      <c r="A901" s="32"/>
      <c r="B901" s="32"/>
      <c r="C901" s="32"/>
      <c r="D901" s="40"/>
      <c r="E901" s="39">
        <v>5501010604</v>
      </c>
      <c r="F901" s="3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  <c r="AA901" s="29"/>
      <c r="AB901" s="29"/>
      <c r="AC901" s="29"/>
      <c r="AD901" s="29"/>
      <c r="AE901" s="29"/>
      <c r="AJ901"/>
      <c r="AK901"/>
      <c r="AL901"/>
      <c r="AM901"/>
      <c r="AN901"/>
      <c r="AO901"/>
      <c r="AP901"/>
      <c r="AQ901"/>
      <c r="AR901"/>
      <c r="AS901"/>
      <c r="AT901" s="4" t="str">
        <f t="shared" si="96"/>
        <v>1.0倍人力</v>
      </c>
      <c r="AU901" s="4" t="str">
        <f t="shared" ref="AU901:AU964" si="99">IF(B901="",AU900,B901)</f>
        <v>个金管理部</v>
      </c>
      <c r="AV901" s="4" t="str">
        <f t="shared" ref="AV901:AV964" si="100">IF(B901&lt;&gt;"","",IF(D901="",AV900,D901))</f>
        <v>人力费用</v>
      </c>
      <c r="AW901" s="4" t="str">
        <f>IFERROR(VLOOKUP(AV901,[1]字段!A:B,2,0),"")</f>
        <v>人力费用</v>
      </c>
      <c r="AX901" s="30" t="str">
        <f>IF(AW901="人力费用",IF(E901="","",VLOOKUP(E901,[1]字段!D:E,2,0)),AW901)</f>
        <v>1.0倍人力</v>
      </c>
      <c r="AY901" s="30" t="str">
        <f>IF(AT901="","",VLOOKUP(AT901,[1]字段!H:I,2,0))</f>
        <v>1.0倍人力</v>
      </c>
      <c r="AZ901" s="31">
        <f t="shared" si="97"/>
        <v>0</v>
      </c>
      <c r="BA901" s="31">
        <f t="shared" ref="BA901:BA964" si="101">IF($E901="",0,SUMIF($G$1:$AE$1,BA$4,$G901:$AE901))</f>
        <v>0</v>
      </c>
      <c r="BB901" s="31">
        <f t="shared" ref="BB901:BB964" si="102">AZ901+BA901</f>
        <v>0</v>
      </c>
      <c r="BC901" s="31">
        <f t="shared" si="98"/>
        <v>0</v>
      </c>
    </row>
    <row r="902" spans="1:55" ht="28.5" customHeight="1">
      <c r="A902" s="32"/>
      <c r="B902" s="32"/>
      <c r="C902" s="32"/>
      <c r="D902" s="40"/>
      <c r="E902" s="39" t="s">
        <v>43</v>
      </c>
      <c r="F902" s="39" t="s">
        <v>44</v>
      </c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  <c r="AA902" s="29"/>
      <c r="AB902" s="29"/>
      <c r="AC902" s="29"/>
      <c r="AD902" s="29"/>
      <c r="AE902" s="29"/>
      <c r="AJ902"/>
      <c r="AK902"/>
      <c r="AL902"/>
      <c r="AM902"/>
      <c r="AN902"/>
      <c r="AO902"/>
      <c r="AP902"/>
      <c r="AQ902"/>
      <c r="AR902"/>
      <c r="AS902"/>
      <c r="AT902" s="4" t="str">
        <f t="shared" ref="AT902:AT965" si="103">AX902&amp;F902</f>
        <v>1.0倍人力团队建设费</v>
      </c>
      <c r="AU902" s="4" t="str">
        <f t="shared" si="99"/>
        <v>个金管理部</v>
      </c>
      <c r="AV902" s="4" t="str">
        <f t="shared" si="100"/>
        <v>人力费用</v>
      </c>
      <c r="AW902" s="4" t="str">
        <f>IFERROR(VLOOKUP(AV902,[1]字段!A:B,2,0),"")</f>
        <v>人力费用</v>
      </c>
      <c r="AX902" s="30" t="str">
        <f>IF(AW902="人力费用",IF(E902="","",VLOOKUP(E902,[1]字段!D:E,2,0)),AW902)</f>
        <v>1.0倍人力</v>
      </c>
      <c r="AY902" s="30" t="str">
        <f>IF(AT902="","",VLOOKUP(AT902,[1]字段!H:I,2,0))</f>
        <v>1.0倍人力</v>
      </c>
      <c r="AZ902" s="31">
        <f t="shared" ref="AZ902:AZ965" si="104">IF($E902="",0,SUMIF($G$1:$AB$1,AZ$4,$G902:$AB902))</f>
        <v>0</v>
      </c>
      <c r="BA902" s="31">
        <f t="shared" si="101"/>
        <v>0</v>
      </c>
      <c r="BB902" s="31">
        <f t="shared" si="102"/>
        <v>0</v>
      </c>
      <c r="BC902" s="31">
        <f t="shared" ref="BC902:BC965" si="105">IF(E902="",0,SUM(G902:AE902)-AZ902-BA902)</f>
        <v>0</v>
      </c>
    </row>
    <row r="903" spans="1:55" ht="28.5" customHeight="1">
      <c r="A903" s="32"/>
      <c r="B903" s="32"/>
      <c r="C903" s="32"/>
      <c r="D903" s="40"/>
      <c r="E903" s="39" t="s">
        <v>45</v>
      </c>
      <c r="F903" s="39" t="s">
        <v>46</v>
      </c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  <c r="AA903" s="29"/>
      <c r="AB903" s="29"/>
      <c r="AC903" s="29"/>
      <c r="AD903" s="29"/>
      <c r="AE903" s="29"/>
      <c r="AJ903"/>
      <c r="AK903"/>
      <c r="AL903"/>
      <c r="AM903"/>
      <c r="AN903"/>
      <c r="AO903"/>
      <c r="AP903"/>
      <c r="AQ903"/>
      <c r="AR903"/>
      <c r="AS903"/>
      <c r="AT903" s="4" t="str">
        <f t="shared" si="103"/>
        <v>1.0倍人力其他职工福利费</v>
      </c>
      <c r="AU903" s="4" t="str">
        <f t="shared" si="99"/>
        <v>个金管理部</v>
      </c>
      <c r="AV903" s="4" t="str">
        <f t="shared" si="100"/>
        <v>人力费用</v>
      </c>
      <c r="AW903" s="4" t="str">
        <f>IFERROR(VLOOKUP(AV903,[1]字段!A:B,2,0),"")</f>
        <v>人力费用</v>
      </c>
      <c r="AX903" s="30" t="str">
        <f>IF(AW903="人力费用",IF(E903="","",VLOOKUP(E903,[1]字段!D:E,2,0)),AW903)</f>
        <v>1.0倍人力</v>
      </c>
      <c r="AY903" s="30" t="str">
        <f>IF(AT903="","",VLOOKUP(AT903,[1]字段!H:I,2,0))</f>
        <v>1.0倍人力</v>
      </c>
      <c r="AZ903" s="31">
        <f t="shared" si="104"/>
        <v>0</v>
      </c>
      <c r="BA903" s="31">
        <f t="shared" si="101"/>
        <v>0</v>
      </c>
      <c r="BB903" s="31">
        <f t="shared" si="102"/>
        <v>0</v>
      </c>
      <c r="BC903" s="31">
        <f t="shared" si="105"/>
        <v>0</v>
      </c>
    </row>
    <row r="904" spans="1:55" ht="28.5" customHeight="1">
      <c r="A904" s="32"/>
      <c r="B904" s="32"/>
      <c r="C904" s="32"/>
      <c r="D904" s="40"/>
      <c r="E904" s="39" t="s">
        <v>47</v>
      </c>
      <c r="F904" s="39" t="s">
        <v>48</v>
      </c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  <c r="AA904" s="29"/>
      <c r="AB904" s="29"/>
      <c r="AC904" s="29"/>
      <c r="AD904" s="29"/>
      <c r="AE904" s="29"/>
      <c r="AJ904"/>
      <c r="AK904"/>
      <c r="AL904"/>
      <c r="AM904"/>
      <c r="AN904"/>
      <c r="AO904"/>
      <c r="AP904"/>
      <c r="AQ904"/>
      <c r="AR904"/>
      <c r="AS904"/>
      <c r="AT904" s="4" t="str">
        <f t="shared" si="103"/>
        <v>1.0倍人力工会经费</v>
      </c>
      <c r="AU904" s="4" t="str">
        <f t="shared" si="99"/>
        <v>个金管理部</v>
      </c>
      <c r="AV904" s="4" t="str">
        <f t="shared" si="100"/>
        <v>人力费用</v>
      </c>
      <c r="AW904" s="4" t="str">
        <f>IFERROR(VLOOKUP(AV904,[1]字段!A:B,2,0),"")</f>
        <v>人力费用</v>
      </c>
      <c r="AX904" s="30" t="str">
        <f>IF(AW904="人力费用",IF(E904="","",VLOOKUP(E904,[1]字段!D:E,2,0)),AW904)</f>
        <v>1.0倍人力</v>
      </c>
      <c r="AY904" s="30" t="str">
        <f>IF(AT904="","",VLOOKUP(AT904,[1]字段!H:I,2,0))</f>
        <v>1.0倍人力</v>
      </c>
      <c r="AZ904" s="31">
        <f t="shared" si="104"/>
        <v>0</v>
      </c>
      <c r="BA904" s="31">
        <f t="shared" si="101"/>
        <v>0</v>
      </c>
      <c r="BB904" s="31">
        <f t="shared" si="102"/>
        <v>0</v>
      </c>
      <c r="BC904" s="31">
        <f t="shared" si="105"/>
        <v>0</v>
      </c>
    </row>
    <row r="905" spans="1:55" ht="28.5" customHeight="1">
      <c r="A905" s="32"/>
      <c r="B905" s="32"/>
      <c r="C905" s="32"/>
      <c r="D905" s="40"/>
      <c r="E905" s="39" t="s">
        <v>49</v>
      </c>
      <c r="F905" s="39" t="s">
        <v>50</v>
      </c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  <c r="AA905" s="29"/>
      <c r="AB905" s="29"/>
      <c r="AC905" s="29"/>
      <c r="AD905" s="29"/>
      <c r="AE905" s="29"/>
      <c r="AJ905"/>
      <c r="AK905"/>
      <c r="AL905"/>
      <c r="AM905"/>
      <c r="AN905"/>
      <c r="AO905"/>
      <c r="AP905"/>
      <c r="AQ905"/>
      <c r="AR905"/>
      <c r="AS905"/>
      <c r="AT905" s="4" t="str">
        <f t="shared" si="103"/>
        <v>1.0倍人力基本养老保险</v>
      </c>
      <c r="AU905" s="4" t="str">
        <f t="shared" si="99"/>
        <v>个金管理部</v>
      </c>
      <c r="AV905" s="4" t="str">
        <f t="shared" si="100"/>
        <v>人力费用</v>
      </c>
      <c r="AW905" s="4" t="str">
        <f>IFERROR(VLOOKUP(AV905,[1]字段!A:B,2,0),"")</f>
        <v>人力费用</v>
      </c>
      <c r="AX905" s="30" t="str">
        <f>IF(AW905="人力费用",IF(E905="","",VLOOKUP(E905,[1]字段!D:E,2,0)),AW905)</f>
        <v>1.0倍人力</v>
      </c>
      <c r="AY905" s="30" t="str">
        <f>IF(AT905="","",VLOOKUP(AT905,[1]字段!H:I,2,0))</f>
        <v>1.0倍人力</v>
      </c>
      <c r="AZ905" s="31">
        <f t="shared" si="104"/>
        <v>0</v>
      </c>
      <c r="BA905" s="31">
        <f t="shared" si="101"/>
        <v>0</v>
      </c>
      <c r="BB905" s="31">
        <f t="shared" si="102"/>
        <v>0</v>
      </c>
      <c r="BC905" s="31">
        <f t="shared" si="105"/>
        <v>0</v>
      </c>
    </row>
    <row r="906" spans="1:55" ht="28.5" customHeight="1">
      <c r="A906" s="32"/>
      <c r="B906" s="32"/>
      <c r="C906" s="32"/>
      <c r="D906" s="40"/>
      <c r="E906" s="39" t="s">
        <v>51</v>
      </c>
      <c r="F906" s="39" t="s">
        <v>52</v>
      </c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  <c r="AA906" s="29"/>
      <c r="AB906" s="29"/>
      <c r="AC906" s="29"/>
      <c r="AD906" s="29"/>
      <c r="AE906" s="29"/>
      <c r="AJ906"/>
      <c r="AK906"/>
      <c r="AL906"/>
      <c r="AM906"/>
      <c r="AN906"/>
      <c r="AO906"/>
      <c r="AP906"/>
      <c r="AQ906"/>
      <c r="AR906"/>
      <c r="AS906"/>
      <c r="AT906" s="4" t="str">
        <f t="shared" si="103"/>
        <v>1.0倍人力基本医疗保险</v>
      </c>
      <c r="AU906" s="4" t="str">
        <f t="shared" si="99"/>
        <v>个金管理部</v>
      </c>
      <c r="AV906" s="4" t="str">
        <f t="shared" si="100"/>
        <v>人力费用</v>
      </c>
      <c r="AW906" s="4" t="str">
        <f>IFERROR(VLOOKUP(AV906,[1]字段!A:B,2,0),"")</f>
        <v>人力费用</v>
      </c>
      <c r="AX906" s="30" t="str">
        <f>IF(AW906="人力费用",IF(E906="","",VLOOKUP(E906,[1]字段!D:E,2,0)),AW906)</f>
        <v>1.0倍人力</v>
      </c>
      <c r="AY906" s="30" t="str">
        <f>IF(AT906="","",VLOOKUP(AT906,[1]字段!H:I,2,0))</f>
        <v>1.0倍人力</v>
      </c>
      <c r="AZ906" s="31">
        <f t="shared" si="104"/>
        <v>0</v>
      </c>
      <c r="BA906" s="31">
        <f t="shared" si="101"/>
        <v>0</v>
      </c>
      <c r="BB906" s="31">
        <f t="shared" si="102"/>
        <v>0</v>
      </c>
      <c r="BC906" s="31">
        <f t="shared" si="105"/>
        <v>0</v>
      </c>
    </row>
    <row r="907" spans="1:55" ht="28.5" customHeight="1">
      <c r="A907" s="32"/>
      <c r="B907" s="32"/>
      <c r="C907" s="32"/>
      <c r="D907" s="40"/>
      <c r="E907" s="39" t="s">
        <v>53</v>
      </c>
      <c r="F907" s="39" t="s">
        <v>54</v>
      </c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  <c r="AA907" s="29"/>
      <c r="AB907" s="29"/>
      <c r="AC907" s="29"/>
      <c r="AD907" s="29"/>
      <c r="AE907" s="29"/>
      <c r="AJ907"/>
      <c r="AK907"/>
      <c r="AL907"/>
      <c r="AM907"/>
      <c r="AN907"/>
      <c r="AO907"/>
      <c r="AP907"/>
      <c r="AQ907"/>
      <c r="AR907"/>
      <c r="AS907"/>
      <c r="AT907" s="4" t="str">
        <f t="shared" si="103"/>
        <v>1.0倍人力工伤保险</v>
      </c>
      <c r="AU907" s="4" t="str">
        <f t="shared" si="99"/>
        <v>个金管理部</v>
      </c>
      <c r="AV907" s="4" t="str">
        <f t="shared" si="100"/>
        <v>人力费用</v>
      </c>
      <c r="AW907" s="4" t="str">
        <f>IFERROR(VLOOKUP(AV907,[1]字段!A:B,2,0),"")</f>
        <v>人力费用</v>
      </c>
      <c r="AX907" s="30" t="str">
        <f>IF(AW907="人力费用",IF(E907="","",VLOOKUP(E907,[1]字段!D:E,2,0)),AW907)</f>
        <v>1.0倍人力</v>
      </c>
      <c r="AY907" s="30" t="str">
        <f>IF(AT907="","",VLOOKUP(AT907,[1]字段!H:I,2,0))</f>
        <v>1.0倍人力</v>
      </c>
      <c r="AZ907" s="31">
        <f t="shared" si="104"/>
        <v>0</v>
      </c>
      <c r="BA907" s="31">
        <f t="shared" si="101"/>
        <v>0</v>
      </c>
      <c r="BB907" s="31">
        <f t="shared" si="102"/>
        <v>0</v>
      </c>
      <c r="BC907" s="31">
        <f t="shared" si="105"/>
        <v>0</v>
      </c>
    </row>
    <row r="908" spans="1:55" ht="28.5" customHeight="1">
      <c r="A908" s="32"/>
      <c r="B908" s="32"/>
      <c r="C908" s="32"/>
      <c r="D908" s="40"/>
      <c r="E908" s="39" t="s">
        <v>55</v>
      </c>
      <c r="F908" s="39" t="s">
        <v>56</v>
      </c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  <c r="AA908" s="29"/>
      <c r="AB908" s="29"/>
      <c r="AC908" s="29"/>
      <c r="AD908" s="29"/>
      <c r="AE908" s="29"/>
      <c r="AJ908"/>
      <c r="AK908"/>
      <c r="AL908"/>
      <c r="AM908"/>
      <c r="AN908"/>
      <c r="AO908"/>
      <c r="AP908"/>
      <c r="AQ908"/>
      <c r="AR908"/>
      <c r="AS908"/>
      <c r="AT908" s="4" t="str">
        <f t="shared" si="103"/>
        <v>1.0倍人力生育保险</v>
      </c>
      <c r="AU908" s="4" t="str">
        <f t="shared" si="99"/>
        <v>个金管理部</v>
      </c>
      <c r="AV908" s="4" t="str">
        <f t="shared" si="100"/>
        <v>人力费用</v>
      </c>
      <c r="AW908" s="4" t="str">
        <f>IFERROR(VLOOKUP(AV908,[1]字段!A:B,2,0),"")</f>
        <v>人力费用</v>
      </c>
      <c r="AX908" s="30" t="str">
        <f>IF(AW908="人力费用",IF(E908="","",VLOOKUP(E908,[1]字段!D:E,2,0)),AW908)</f>
        <v>1.0倍人力</v>
      </c>
      <c r="AY908" s="30" t="str">
        <f>IF(AT908="","",VLOOKUP(AT908,[1]字段!H:I,2,0))</f>
        <v>1.0倍人力</v>
      </c>
      <c r="AZ908" s="31">
        <f t="shared" si="104"/>
        <v>0</v>
      </c>
      <c r="BA908" s="31">
        <f t="shared" si="101"/>
        <v>0</v>
      </c>
      <c r="BB908" s="31">
        <f t="shared" si="102"/>
        <v>0</v>
      </c>
      <c r="BC908" s="31">
        <f t="shared" si="105"/>
        <v>0</v>
      </c>
    </row>
    <row r="909" spans="1:55" ht="28.5" customHeight="1">
      <c r="A909" s="32"/>
      <c r="B909" s="32"/>
      <c r="C909" s="32"/>
      <c r="D909" s="40"/>
      <c r="E909" s="39" t="s">
        <v>57</v>
      </c>
      <c r="F909" s="39" t="s">
        <v>58</v>
      </c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  <c r="AA909" s="29"/>
      <c r="AB909" s="29"/>
      <c r="AC909" s="29"/>
      <c r="AD909" s="29"/>
      <c r="AE909" s="29"/>
      <c r="AJ909"/>
      <c r="AK909"/>
      <c r="AL909"/>
      <c r="AM909"/>
      <c r="AN909"/>
      <c r="AO909"/>
      <c r="AP909"/>
      <c r="AQ909"/>
      <c r="AR909"/>
      <c r="AS909"/>
      <c r="AT909" s="4" t="str">
        <f t="shared" si="103"/>
        <v>1.0倍人力失业保险</v>
      </c>
      <c r="AU909" s="4" t="str">
        <f t="shared" si="99"/>
        <v>个金管理部</v>
      </c>
      <c r="AV909" s="4" t="str">
        <f t="shared" si="100"/>
        <v>人力费用</v>
      </c>
      <c r="AW909" s="4" t="str">
        <f>IFERROR(VLOOKUP(AV909,[1]字段!A:B,2,0),"")</f>
        <v>人力费用</v>
      </c>
      <c r="AX909" s="30" t="str">
        <f>IF(AW909="人力费用",IF(E909="","",VLOOKUP(E909,[1]字段!D:E,2,0)),AW909)</f>
        <v>1.0倍人力</v>
      </c>
      <c r="AY909" s="30" t="str">
        <f>IF(AT909="","",VLOOKUP(AT909,[1]字段!H:I,2,0))</f>
        <v>1.0倍人力</v>
      </c>
      <c r="AZ909" s="31">
        <f t="shared" si="104"/>
        <v>0</v>
      </c>
      <c r="BA909" s="31">
        <f t="shared" si="101"/>
        <v>0</v>
      </c>
      <c r="BB909" s="31">
        <f t="shared" si="102"/>
        <v>0</v>
      </c>
      <c r="BC909" s="31">
        <f t="shared" si="105"/>
        <v>0</v>
      </c>
    </row>
    <row r="910" spans="1:55" ht="28.5" customHeight="1">
      <c r="A910" s="32"/>
      <c r="B910" s="32"/>
      <c r="C910" s="41"/>
      <c r="D910" s="42"/>
      <c r="E910" s="39" t="s">
        <v>59</v>
      </c>
      <c r="F910" s="39" t="s">
        <v>60</v>
      </c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  <c r="AA910" s="29"/>
      <c r="AB910" s="29"/>
      <c r="AC910" s="29"/>
      <c r="AD910" s="29"/>
      <c r="AE910" s="29"/>
      <c r="AJ910"/>
      <c r="AK910"/>
      <c r="AL910"/>
      <c r="AM910"/>
      <c r="AN910"/>
      <c r="AO910"/>
      <c r="AP910"/>
      <c r="AQ910"/>
      <c r="AR910"/>
      <c r="AS910"/>
      <c r="AT910" s="4" t="str">
        <f t="shared" si="103"/>
        <v>1.0倍人力住房公积金</v>
      </c>
      <c r="AU910" s="4" t="str">
        <f t="shared" si="99"/>
        <v>个金管理部</v>
      </c>
      <c r="AV910" s="4" t="str">
        <f t="shared" si="100"/>
        <v>人力费用</v>
      </c>
      <c r="AW910" s="4" t="str">
        <f>IFERROR(VLOOKUP(AV910,[1]字段!A:B,2,0),"")</f>
        <v>人力费用</v>
      </c>
      <c r="AX910" s="30" t="str">
        <f>IF(AW910="人力费用",IF(E910="","",VLOOKUP(E910,[1]字段!D:E,2,0)),AW910)</f>
        <v>1.0倍人力</v>
      </c>
      <c r="AY910" s="30" t="str">
        <f>IF(AT910="","",VLOOKUP(AT910,[1]字段!H:I,2,0))</f>
        <v>1.0倍人力</v>
      </c>
      <c r="AZ910" s="31">
        <f t="shared" si="104"/>
        <v>0</v>
      </c>
      <c r="BA910" s="31">
        <f t="shared" si="101"/>
        <v>0</v>
      </c>
      <c r="BB910" s="31">
        <f t="shared" si="102"/>
        <v>0</v>
      </c>
      <c r="BC910" s="31">
        <f t="shared" si="105"/>
        <v>0</v>
      </c>
    </row>
    <row r="911" spans="1:55" ht="28.5" customHeight="1">
      <c r="C911" s="33" t="s">
        <v>65</v>
      </c>
      <c r="D911" s="34" t="s">
        <v>66</v>
      </c>
      <c r="E911" s="35"/>
      <c r="F911" s="36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  <c r="AA911" s="29"/>
      <c r="AB911" s="29"/>
      <c r="AC911" s="29"/>
      <c r="AD911" s="29"/>
      <c r="AE911" s="29"/>
      <c r="AJ911"/>
      <c r="AK911"/>
      <c r="AL911"/>
      <c r="AM911"/>
      <c r="AN911"/>
      <c r="AO911"/>
      <c r="AP911"/>
      <c r="AQ911"/>
      <c r="AR911"/>
      <c r="AS911"/>
      <c r="AT911" s="4" t="str">
        <f t="shared" si="103"/>
        <v>IT费用</v>
      </c>
      <c r="AU911" s="4" t="str">
        <f t="shared" si="99"/>
        <v>个金管理部</v>
      </c>
      <c r="AV911" s="4" t="str">
        <f t="shared" si="100"/>
        <v>IT科技费用</v>
      </c>
      <c r="AW911" s="4" t="str">
        <f>IFERROR(VLOOKUP(AV911,[1]字段!A:B,2,0),"")</f>
        <v>IT费用</v>
      </c>
      <c r="AX911" s="30" t="str">
        <f>IF(AW911="人力费用",IF(E911="","",VLOOKUP(E911,[1]字段!D:E,2,0)),AW911)</f>
        <v>IT费用</v>
      </c>
      <c r="AY911" s="30">
        <f>IF(AT911="","",VLOOKUP(AT911,[1]字段!H:I,2,0))</f>
        <v>0</v>
      </c>
      <c r="AZ911" s="31">
        <f t="shared" si="104"/>
        <v>0</v>
      </c>
      <c r="BA911" s="31">
        <f t="shared" si="101"/>
        <v>0</v>
      </c>
      <c r="BB911" s="31">
        <f t="shared" si="102"/>
        <v>0</v>
      </c>
      <c r="BC911" s="31">
        <f t="shared" si="105"/>
        <v>0</v>
      </c>
    </row>
    <row r="912" spans="1:55" ht="28.5" customHeight="1">
      <c r="A912" s="32"/>
      <c r="B912" s="32"/>
      <c r="C912" s="43"/>
      <c r="D912" s="43"/>
      <c r="E912" s="39" t="s">
        <v>71</v>
      </c>
      <c r="F912" s="39" t="s">
        <v>72</v>
      </c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  <c r="AA912" s="29"/>
      <c r="AB912" s="29"/>
      <c r="AC912" s="29"/>
      <c r="AD912" s="29"/>
      <c r="AE912" s="29"/>
      <c r="AJ912"/>
      <c r="AK912"/>
      <c r="AL912"/>
      <c r="AM912"/>
      <c r="AN912"/>
      <c r="AO912"/>
      <c r="AP912"/>
      <c r="AQ912"/>
      <c r="AR912"/>
      <c r="AS912"/>
      <c r="AT912" s="4" t="str">
        <f t="shared" si="103"/>
        <v>IT费用办公IT设备折旧费</v>
      </c>
      <c r="AU912" s="4" t="str">
        <f t="shared" si="99"/>
        <v>个金管理部</v>
      </c>
      <c r="AV912" s="4" t="str">
        <f t="shared" si="100"/>
        <v>IT科技费用</v>
      </c>
      <c r="AW912" s="4" t="str">
        <f>IFERROR(VLOOKUP(AV912,[1]字段!A:B,2,0),"")</f>
        <v>IT费用</v>
      </c>
      <c r="AX912" s="30" t="str">
        <f>IF(AW912="人力费用",IF(E912="","",VLOOKUP(E912,[1]字段!D:E,2,0)),AW912)</f>
        <v>IT费用</v>
      </c>
      <c r="AY912" s="30" t="str">
        <f>IF(AT912="","",VLOOKUP(AT912,[1]字段!H:I,2,0))</f>
        <v>IT费用</v>
      </c>
      <c r="AZ912" s="31">
        <f t="shared" si="104"/>
        <v>0</v>
      </c>
      <c r="BA912" s="31">
        <f t="shared" si="101"/>
        <v>0</v>
      </c>
      <c r="BB912" s="31">
        <f t="shared" si="102"/>
        <v>0</v>
      </c>
      <c r="BC912" s="31">
        <f t="shared" si="105"/>
        <v>0</v>
      </c>
    </row>
    <row r="913" spans="1:55" ht="28.5" customHeight="1">
      <c r="C913" s="33" t="s">
        <v>93</v>
      </c>
      <c r="D913" s="34" t="s">
        <v>94</v>
      </c>
      <c r="E913" s="35"/>
      <c r="F913" s="36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  <c r="AA913" s="29"/>
      <c r="AB913" s="29"/>
      <c r="AC913" s="29"/>
      <c r="AD913" s="29"/>
      <c r="AE913" s="29"/>
      <c r="AJ913"/>
      <c r="AK913"/>
      <c r="AL913"/>
      <c r="AM913"/>
      <c r="AN913"/>
      <c r="AO913"/>
      <c r="AP913"/>
      <c r="AQ913"/>
      <c r="AR913"/>
      <c r="AS913"/>
      <c r="AT913" s="4" t="str">
        <f t="shared" si="103"/>
        <v>日常费用</v>
      </c>
      <c r="AU913" s="4" t="str">
        <f t="shared" si="99"/>
        <v>个金管理部</v>
      </c>
      <c r="AV913" s="4" t="str">
        <f t="shared" si="100"/>
        <v>日常费用</v>
      </c>
      <c r="AW913" s="4" t="str">
        <f>IFERROR(VLOOKUP(AV913,[1]字段!A:B,2,0),"")</f>
        <v>日常费用</v>
      </c>
      <c r="AX913" s="30" t="str">
        <f>IF(AW913="人力费用",IF(E913="","",VLOOKUP(E913,[1]字段!D:E,2,0)),AW913)</f>
        <v>日常费用</v>
      </c>
      <c r="AY913" s="30">
        <f>IF(AT913="","",VLOOKUP(AT913,[1]字段!H:I,2,0))</f>
        <v>0</v>
      </c>
      <c r="AZ913" s="31">
        <f t="shared" si="104"/>
        <v>0</v>
      </c>
      <c r="BA913" s="31">
        <f t="shared" si="101"/>
        <v>0</v>
      </c>
      <c r="BB913" s="31">
        <f t="shared" si="102"/>
        <v>0</v>
      </c>
      <c r="BC913" s="31">
        <f t="shared" si="105"/>
        <v>0</v>
      </c>
    </row>
    <row r="914" spans="1:55" ht="28.5" customHeight="1">
      <c r="A914" s="32"/>
      <c r="B914" s="32"/>
      <c r="C914" s="37"/>
      <c r="D914" s="38"/>
      <c r="E914" s="39" t="s">
        <v>95</v>
      </c>
      <c r="F914" s="39" t="s">
        <v>96</v>
      </c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  <c r="AA914" s="29"/>
      <c r="AB914" s="29"/>
      <c r="AC914" s="29"/>
      <c r="AD914" s="29"/>
      <c r="AE914" s="29"/>
      <c r="AJ914"/>
      <c r="AK914"/>
      <c r="AL914"/>
      <c r="AM914"/>
      <c r="AN914"/>
      <c r="AO914"/>
      <c r="AP914"/>
      <c r="AQ914"/>
      <c r="AR914"/>
      <c r="AS914"/>
      <c r="AT914" s="4" t="str">
        <f t="shared" si="103"/>
        <v>日常费用业务招待费</v>
      </c>
      <c r="AU914" s="4" t="str">
        <f t="shared" si="99"/>
        <v>个金管理部</v>
      </c>
      <c r="AV914" s="4" t="str">
        <f t="shared" si="100"/>
        <v>日常费用</v>
      </c>
      <c r="AW914" s="4" t="str">
        <f>IFERROR(VLOOKUP(AV914,[1]字段!A:B,2,0),"")</f>
        <v>日常费用</v>
      </c>
      <c r="AX914" s="30" t="str">
        <f>IF(AW914="人力费用",IF(E914="","",VLOOKUP(E914,[1]字段!D:E,2,0)),AW914)</f>
        <v>日常费用</v>
      </c>
      <c r="AY914" s="30" t="str">
        <f>IF(AT914="","",VLOOKUP(AT914,[1]字段!H:I,2,0))</f>
        <v>日常费用-其他</v>
      </c>
      <c r="AZ914" s="31">
        <f t="shared" si="104"/>
        <v>0</v>
      </c>
      <c r="BA914" s="31">
        <f t="shared" si="101"/>
        <v>0</v>
      </c>
      <c r="BB914" s="31">
        <f t="shared" si="102"/>
        <v>0</v>
      </c>
      <c r="BC914" s="31">
        <f t="shared" si="105"/>
        <v>0</v>
      </c>
    </row>
    <row r="915" spans="1:55" ht="28.5" customHeight="1">
      <c r="A915" s="32"/>
      <c r="B915" s="32"/>
      <c r="C915" s="32"/>
      <c r="D915" s="40"/>
      <c r="E915" s="39" t="s">
        <v>139</v>
      </c>
      <c r="F915" s="39" t="s">
        <v>140</v>
      </c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  <c r="AA915" s="29"/>
      <c r="AB915" s="29"/>
      <c r="AC915" s="29"/>
      <c r="AD915" s="29"/>
      <c r="AE915" s="29"/>
      <c r="AJ915"/>
      <c r="AK915"/>
      <c r="AL915"/>
      <c r="AM915"/>
      <c r="AN915"/>
      <c r="AO915"/>
      <c r="AP915"/>
      <c r="AQ915"/>
      <c r="AR915"/>
      <c r="AS915"/>
      <c r="AT915" s="4" t="str">
        <f t="shared" si="103"/>
        <v>日常费用差旅费</v>
      </c>
      <c r="AU915" s="4" t="str">
        <f t="shared" si="99"/>
        <v>个金管理部</v>
      </c>
      <c r="AV915" s="4" t="str">
        <f t="shared" si="100"/>
        <v>日常费用</v>
      </c>
      <c r="AW915" s="4" t="str">
        <f>IFERROR(VLOOKUP(AV915,[1]字段!A:B,2,0),"")</f>
        <v>日常费用</v>
      </c>
      <c r="AX915" s="30" t="str">
        <f>IF(AW915="人力费用",IF(E915="","",VLOOKUP(E915,[1]字段!D:E,2,0)),AW915)</f>
        <v>日常费用</v>
      </c>
      <c r="AY915" s="30" t="str">
        <f>IF(AT915="","",VLOOKUP(AT915,[1]字段!H:I,2,0))</f>
        <v>日常费用-其他</v>
      </c>
      <c r="AZ915" s="31">
        <f t="shared" si="104"/>
        <v>0</v>
      </c>
      <c r="BA915" s="31">
        <f t="shared" si="101"/>
        <v>0</v>
      </c>
      <c r="BB915" s="31">
        <f t="shared" si="102"/>
        <v>0</v>
      </c>
      <c r="BC915" s="31">
        <f t="shared" si="105"/>
        <v>0</v>
      </c>
    </row>
    <row r="916" spans="1:55" ht="28.5" customHeight="1">
      <c r="A916" s="32"/>
      <c r="B916" s="32"/>
      <c r="C916" s="32"/>
      <c r="D916" s="40"/>
      <c r="E916" s="39" t="s">
        <v>104</v>
      </c>
      <c r="F916" s="39" t="s">
        <v>105</v>
      </c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  <c r="AA916" s="29"/>
      <c r="AB916" s="29"/>
      <c r="AC916" s="29"/>
      <c r="AD916" s="29"/>
      <c r="AE916" s="29"/>
      <c r="AJ916"/>
      <c r="AK916"/>
      <c r="AL916"/>
      <c r="AM916"/>
      <c r="AN916"/>
      <c r="AO916"/>
      <c r="AP916"/>
      <c r="AQ916"/>
      <c r="AR916"/>
      <c r="AS916"/>
      <c r="AT916" s="4" t="str">
        <f t="shared" si="103"/>
        <v>日常费用会议费</v>
      </c>
      <c r="AU916" s="4" t="str">
        <f t="shared" si="99"/>
        <v>个金管理部</v>
      </c>
      <c r="AV916" s="4" t="str">
        <f t="shared" si="100"/>
        <v>日常费用</v>
      </c>
      <c r="AW916" s="4" t="str">
        <f>IFERROR(VLOOKUP(AV916,[1]字段!A:B,2,0),"")</f>
        <v>日常费用</v>
      </c>
      <c r="AX916" s="30" t="str">
        <f>IF(AW916="人力费用",IF(E916="","",VLOOKUP(E916,[1]字段!D:E,2,0)),AW916)</f>
        <v>日常费用</v>
      </c>
      <c r="AY916" s="30" t="str">
        <f>IF(AT916="","",VLOOKUP(AT916,[1]字段!H:I,2,0))</f>
        <v>日常费用-其他</v>
      </c>
      <c r="AZ916" s="31">
        <f t="shared" si="104"/>
        <v>0</v>
      </c>
      <c r="BA916" s="31">
        <f t="shared" si="101"/>
        <v>0</v>
      </c>
      <c r="BB916" s="31">
        <f t="shared" si="102"/>
        <v>0</v>
      </c>
      <c r="BC916" s="31">
        <f t="shared" si="105"/>
        <v>0</v>
      </c>
    </row>
    <row r="917" spans="1:55" ht="28.5" customHeight="1">
      <c r="A917" s="41"/>
      <c r="B917" s="41"/>
      <c r="C917" s="41"/>
      <c r="D917" s="42"/>
      <c r="E917" s="39" t="s">
        <v>145</v>
      </c>
      <c r="F917" s="39" t="s">
        <v>146</v>
      </c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  <c r="AA917" s="29"/>
      <c r="AB917" s="29"/>
      <c r="AC917" s="29"/>
      <c r="AD917" s="29"/>
      <c r="AE917" s="29"/>
      <c r="AJ917"/>
      <c r="AK917"/>
      <c r="AL917"/>
      <c r="AM917"/>
      <c r="AN917"/>
      <c r="AO917"/>
      <c r="AP917"/>
      <c r="AQ917"/>
      <c r="AR917"/>
      <c r="AS917"/>
      <c r="AT917" s="4" t="str">
        <f t="shared" si="103"/>
        <v>日常费用其他费用</v>
      </c>
      <c r="AU917" s="4" t="str">
        <f t="shared" si="99"/>
        <v>个金管理部</v>
      </c>
      <c r="AV917" s="4" t="str">
        <f t="shared" si="100"/>
        <v>日常费用</v>
      </c>
      <c r="AW917" s="4" t="str">
        <f>IFERROR(VLOOKUP(AV917,[1]字段!A:B,2,0),"")</f>
        <v>日常费用</v>
      </c>
      <c r="AX917" s="30" t="str">
        <f>IF(AW917="人力费用",IF(E917="","",VLOOKUP(E917,[1]字段!D:E,2,0)),AW917)</f>
        <v>日常费用</v>
      </c>
      <c r="AY917" s="30" t="str">
        <f>IF(AT917="","",VLOOKUP(AT917,[1]字段!H:I,2,0))</f>
        <v>日常费用-其他</v>
      </c>
      <c r="AZ917" s="31">
        <f t="shared" si="104"/>
        <v>0</v>
      </c>
      <c r="BA917" s="31">
        <f t="shared" si="101"/>
        <v>0</v>
      </c>
      <c r="BB917" s="31">
        <f t="shared" si="102"/>
        <v>0</v>
      </c>
      <c r="BC917" s="31">
        <f t="shared" si="105"/>
        <v>0</v>
      </c>
    </row>
    <row r="918" spans="1:55" ht="28.5" customHeight="1">
      <c r="A918" s="25"/>
      <c r="B918" s="26" t="s">
        <v>201</v>
      </c>
      <c r="C918" s="27"/>
      <c r="D918" s="27"/>
      <c r="E918" s="27"/>
      <c r="F918" s="28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  <c r="AA918" s="29"/>
      <c r="AB918" s="29"/>
      <c r="AC918" s="29"/>
      <c r="AD918" s="29"/>
      <c r="AE918" s="29"/>
      <c r="AJ918"/>
      <c r="AK918"/>
      <c r="AL918"/>
      <c r="AM918"/>
      <c r="AN918"/>
      <c r="AO918"/>
      <c r="AP918"/>
      <c r="AQ918"/>
      <c r="AR918"/>
      <c r="AS918"/>
      <c r="AT918" s="4" t="str">
        <f t="shared" si="103"/>
        <v/>
      </c>
      <c r="AU918" s="4" t="str">
        <f t="shared" si="99"/>
        <v>反洗钱工作办公室</v>
      </c>
      <c r="AV918" s="4" t="str">
        <f t="shared" si="100"/>
        <v/>
      </c>
      <c r="AW918" s="4" t="str">
        <f>IFERROR(VLOOKUP(AV918,[1]字段!A:B,2,0),"")</f>
        <v/>
      </c>
      <c r="AX918" s="30" t="str">
        <f>IF(AW918="人力费用",IF(E918="","",VLOOKUP(E918,[1]字段!D:E,2,0)),AW918)</f>
        <v/>
      </c>
      <c r="AY918" s="30" t="str">
        <f>IF(AT918="","",VLOOKUP(AT918,[1]字段!H:I,2,0))</f>
        <v/>
      </c>
      <c r="AZ918" s="31">
        <f t="shared" si="104"/>
        <v>0</v>
      </c>
      <c r="BA918" s="31">
        <f t="shared" si="101"/>
        <v>0</v>
      </c>
      <c r="BB918" s="31">
        <f t="shared" si="102"/>
        <v>0</v>
      </c>
      <c r="BC918" s="31">
        <f t="shared" si="105"/>
        <v>0</v>
      </c>
    </row>
    <row r="919" spans="1:55" ht="28.5" customHeight="1">
      <c r="A919" s="32"/>
      <c r="B919" s="32"/>
      <c r="C919" s="33" t="s">
        <v>39</v>
      </c>
      <c r="D919" s="34" t="s">
        <v>40</v>
      </c>
      <c r="E919" s="35"/>
      <c r="F919" s="36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  <c r="AA919" s="29"/>
      <c r="AB919" s="29"/>
      <c r="AC919" s="29"/>
      <c r="AD919" s="29"/>
      <c r="AE919" s="29"/>
      <c r="AJ919"/>
      <c r="AK919"/>
      <c r="AL919"/>
      <c r="AM919"/>
      <c r="AN919"/>
      <c r="AO919"/>
      <c r="AP919"/>
      <c r="AQ919"/>
      <c r="AR919"/>
      <c r="AS919"/>
      <c r="AT919" s="4" t="str">
        <f t="shared" si="103"/>
        <v/>
      </c>
      <c r="AU919" s="4" t="str">
        <f t="shared" si="99"/>
        <v>反洗钱工作办公室</v>
      </c>
      <c r="AV919" s="4" t="str">
        <f t="shared" si="100"/>
        <v>人力费用</v>
      </c>
      <c r="AW919" s="4" t="str">
        <f>IFERROR(VLOOKUP(AV919,[1]字段!A:B,2,0),"")</f>
        <v>人力费用</v>
      </c>
      <c r="AX919" s="30" t="str">
        <f>IF(AW919="人力费用",IF(E919="","",VLOOKUP(E919,[1]字段!D:E,2,0)),AW919)</f>
        <v/>
      </c>
      <c r="AY919" s="30" t="str">
        <f>IF(AT919="","",VLOOKUP(AT919,[1]字段!H:I,2,0))</f>
        <v/>
      </c>
      <c r="AZ919" s="31">
        <f t="shared" si="104"/>
        <v>0</v>
      </c>
      <c r="BA919" s="31">
        <f t="shared" si="101"/>
        <v>0</v>
      </c>
      <c r="BB919" s="31">
        <f t="shared" si="102"/>
        <v>0</v>
      </c>
      <c r="BC919" s="31">
        <f t="shared" si="105"/>
        <v>0</v>
      </c>
    </row>
    <row r="920" spans="1:55" ht="28.5" customHeight="1">
      <c r="A920" s="32"/>
      <c r="B920" s="32"/>
      <c r="C920" s="37"/>
      <c r="D920" s="38"/>
      <c r="E920" s="39" t="s">
        <v>41</v>
      </c>
      <c r="F920" s="39" t="s">
        <v>42</v>
      </c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  <c r="AA920" s="29"/>
      <c r="AB920" s="29"/>
      <c r="AC920" s="29"/>
      <c r="AD920" s="29"/>
      <c r="AE920" s="29"/>
      <c r="AJ920"/>
      <c r="AK920"/>
      <c r="AL920"/>
      <c r="AM920"/>
      <c r="AN920"/>
      <c r="AO920"/>
      <c r="AP920"/>
      <c r="AQ920"/>
      <c r="AR920"/>
      <c r="AS920"/>
      <c r="AT920" s="4" t="str">
        <f t="shared" si="103"/>
        <v>1.0倍人力基础工资</v>
      </c>
      <c r="AU920" s="4" t="str">
        <f t="shared" si="99"/>
        <v>反洗钱工作办公室</v>
      </c>
      <c r="AV920" s="4" t="str">
        <f t="shared" si="100"/>
        <v>人力费用</v>
      </c>
      <c r="AW920" s="4" t="str">
        <f>IFERROR(VLOOKUP(AV920,[1]字段!A:B,2,0),"")</f>
        <v>人力费用</v>
      </c>
      <c r="AX920" s="30" t="str">
        <f>IF(AW920="人力费用",IF(E920="","",VLOOKUP(E920,[1]字段!D:E,2,0)),AW920)</f>
        <v>1.0倍人力</v>
      </c>
      <c r="AY920" s="30" t="str">
        <f>IF(AT920="","",VLOOKUP(AT920,[1]字段!H:I,2,0))</f>
        <v>1.0倍人力</v>
      </c>
      <c r="AZ920" s="31">
        <f t="shared" si="104"/>
        <v>0</v>
      </c>
      <c r="BA920" s="31">
        <f t="shared" si="101"/>
        <v>0</v>
      </c>
      <c r="BB920" s="31">
        <f t="shared" si="102"/>
        <v>0</v>
      </c>
      <c r="BC920" s="31">
        <f t="shared" si="105"/>
        <v>0</v>
      </c>
    </row>
    <row r="921" spans="1:55" ht="28.5" customHeight="1">
      <c r="A921" s="32"/>
      <c r="B921" s="32"/>
      <c r="C921" s="32"/>
      <c r="D921" s="40"/>
      <c r="E921" s="39">
        <v>5501010602</v>
      </c>
      <c r="F921" s="3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  <c r="AA921" s="29"/>
      <c r="AB921" s="29"/>
      <c r="AC921" s="29"/>
      <c r="AD921" s="29"/>
      <c r="AE921" s="29"/>
      <c r="AJ921"/>
      <c r="AK921"/>
      <c r="AL921"/>
      <c r="AM921"/>
      <c r="AN921"/>
      <c r="AO921"/>
      <c r="AP921"/>
      <c r="AQ921"/>
      <c r="AR921"/>
      <c r="AS921"/>
      <c r="AT921" s="4" t="str">
        <f t="shared" si="103"/>
        <v>利润分享</v>
      </c>
      <c r="AU921" s="4" t="str">
        <f t="shared" si="99"/>
        <v>反洗钱工作办公室</v>
      </c>
      <c r="AV921" s="4" t="str">
        <f t="shared" si="100"/>
        <v>人力费用</v>
      </c>
      <c r="AW921" s="4" t="str">
        <f>IFERROR(VLOOKUP(AV921,[1]字段!A:B,2,0),"")</f>
        <v>人力费用</v>
      </c>
      <c r="AX921" s="30" t="str">
        <f>IF(AW921="人力费用",IF(E921="","",VLOOKUP(E921,[1]字段!D:E,2,0)),AW921)</f>
        <v>利润分享</v>
      </c>
      <c r="AY921" s="30" t="str">
        <f>IF(AT921="","",VLOOKUP(AT921,[1]字段!H:I,2,0))</f>
        <v>利润分享</v>
      </c>
      <c r="AZ921" s="31">
        <f t="shared" si="104"/>
        <v>0</v>
      </c>
      <c r="BA921" s="31">
        <f t="shared" si="101"/>
        <v>0</v>
      </c>
      <c r="BB921" s="31">
        <f t="shared" si="102"/>
        <v>0</v>
      </c>
      <c r="BC921" s="31">
        <f t="shared" si="105"/>
        <v>0</v>
      </c>
    </row>
    <row r="922" spans="1:55" ht="28.5" customHeight="1">
      <c r="A922" s="32"/>
      <c r="B922" s="32"/>
      <c r="C922" s="32"/>
      <c r="D922" s="40"/>
      <c r="E922" s="39">
        <v>5501010603</v>
      </c>
      <c r="F922" s="3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  <c r="AA922" s="29"/>
      <c r="AB922" s="29"/>
      <c r="AC922" s="29"/>
      <c r="AD922" s="29"/>
      <c r="AE922" s="29"/>
      <c r="AJ922"/>
      <c r="AK922"/>
      <c r="AL922"/>
      <c r="AM922"/>
      <c r="AN922"/>
      <c r="AO922"/>
      <c r="AP922"/>
      <c r="AQ922"/>
      <c r="AR922"/>
      <c r="AS922"/>
      <c r="AT922" s="4" t="str">
        <f t="shared" si="103"/>
        <v>留任奖励</v>
      </c>
      <c r="AU922" s="4" t="str">
        <f t="shared" si="99"/>
        <v>反洗钱工作办公室</v>
      </c>
      <c r="AV922" s="4" t="str">
        <f t="shared" si="100"/>
        <v>人力费用</v>
      </c>
      <c r="AW922" s="4" t="str">
        <f>IFERROR(VLOOKUP(AV922,[1]字段!A:B,2,0),"")</f>
        <v>人力费用</v>
      </c>
      <c r="AX922" s="30" t="str">
        <f>IF(AW922="人力费用",IF(E922="","",VLOOKUP(E922,[1]字段!D:E,2,0)),AW922)</f>
        <v>留任奖励</v>
      </c>
      <c r="AY922" s="30" t="str">
        <f>IF(AT922="","",VLOOKUP(AT922,[1]字段!H:I,2,0))</f>
        <v>留任奖励</v>
      </c>
      <c r="AZ922" s="31">
        <f t="shared" si="104"/>
        <v>0</v>
      </c>
      <c r="BA922" s="31">
        <f t="shared" si="101"/>
        <v>0</v>
      </c>
      <c r="BB922" s="31">
        <f t="shared" si="102"/>
        <v>0</v>
      </c>
      <c r="BC922" s="31">
        <f t="shared" si="105"/>
        <v>0</v>
      </c>
    </row>
    <row r="923" spans="1:55" ht="28.5" customHeight="1">
      <c r="A923" s="32"/>
      <c r="B923" s="32"/>
      <c r="C923" s="32"/>
      <c r="D923" s="40"/>
      <c r="E923" s="39">
        <v>5501010604</v>
      </c>
      <c r="F923" s="3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  <c r="AA923" s="29"/>
      <c r="AB923" s="29"/>
      <c r="AC923" s="29"/>
      <c r="AD923" s="29"/>
      <c r="AE923" s="29"/>
      <c r="AJ923"/>
      <c r="AK923"/>
      <c r="AL923"/>
      <c r="AM923"/>
      <c r="AN923"/>
      <c r="AO923"/>
      <c r="AP923"/>
      <c r="AQ923"/>
      <c r="AR923"/>
      <c r="AS923"/>
      <c r="AT923" s="4" t="str">
        <f t="shared" si="103"/>
        <v>1.0倍人力</v>
      </c>
      <c r="AU923" s="4" t="str">
        <f t="shared" si="99"/>
        <v>反洗钱工作办公室</v>
      </c>
      <c r="AV923" s="4" t="str">
        <f t="shared" si="100"/>
        <v>人力费用</v>
      </c>
      <c r="AW923" s="4" t="str">
        <f>IFERROR(VLOOKUP(AV923,[1]字段!A:B,2,0),"")</f>
        <v>人力费用</v>
      </c>
      <c r="AX923" s="30" t="str">
        <f>IF(AW923="人力费用",IF(E923="","",VLOOKUP(E923,[1]字段!D:E,2,0)),AW923)</f>
        <v>1.0倍人力</v>
      </c>
      <c r="AY923" s="30" t="str">
        <f>IF(AT923="","",VLOOKUP(AT923,[1]字段!H:I,2,0))</f>
        <v>1.0倍人力</v>
      </c>
      <c r="AZ923" s="31">
        <f t="shared" si="104"/>
        <v>0</v>
      </c>
      <c r="BA923" s="31">
        <f t="shared" si="101"/>
        <v>0</v>
      </c>
      <c r="BB923" s="31">
        <f t="shared" si="102"/>
        <v>0</v>
      </c>
      <c r="BC923" s="31">
        <f t="shared" si="105"/>
        <v>0</v>
      </c>
    </row>
    <row r="924" spans="1:55" ht="28.5" customHeight="1">
      <c r="A924" s="32"/>
      <c r="B924" s="32"/>
      <c r="C924" s="32"/>
      <c r="D924" s="40"/>
      <c r="E924" s="39" t="s">
        <v>43</v>
      </c>
      <c r="F924" s="39" t="s">
        <v>44</v>
      </c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  <c r="AA924" s="29"/>
      <c r="AB924" s="29"/>
      <c r="AC924" s="29"/>
      <c r="AD924" s="29"/>
      <c r="AE924" s="29"/>
      <c r="AJ924"/>
      <c r="AK924"/>
      <c r="AL924"/>
      <c r="AM924"/>
      <c r="AN924"/>
      <c r="AO924"/>
      <c r="AP924"/>
      <c r="AQ924"/>
      <c r="AR924"/>
      <c r="AS924"/>
      <c r="AT924" s="4" t="str">
        <f t="shared" si="103"/>
        <v>1.0倍人力团队建设费</v>
      </c>
      <c r="AU924" s="4" t="str">
        <f t="shared" si="99"/>
        <v>反洗钱工作办公室</v>
      </c>
      <c r="AV924" s="4" t="str">
        <f t="shared" si="100"/>
        <v>人力费用</v>
      </c>
      <c r="AW924" s="4" t="str">
        <f>IFERROR(VLOOKUP(AV924,[1]字段!A:B,2,0),"")</f>
        <v>人力费用</v>
      </c>
      <c r="AX924" s="30" t="str">
        <f>IF(AW924="人力费用",IF(E924="","",VLOOKUP(E924,[1]字段!D:E,2,0)),AW924)</f>
        <v>1.0倍人力</v>
      </c>
      <c r="AY924" s="30" t="str">
        <f>IF(AT924="","",VLOOKUP(AT924,[1]字段!H:I,2,0))</f>
        <v>1.0倍人力</v>
      </c>
      <c r="AZ924" s="31">
        <f t="shared" si="104"/>
        <v>0</v>
      </c>
      <c r="BA924" s="31">
        <f t="shared" si="101"/>
        <v>0</v>
      </c>
      <c r="BB924" s="31">
        <f t="shared" si="102"/>
        <v>0</v>
      </c>
      <c r="BC924" s="31">
        <f t="shared" si="105"/>
        <v>0</v>
      </c>
    </row>
    <row r="925" spans="1:55" ht="28.5" customHeight="1">
      <c r="A925" s="32"/>
      <c r="B925" s="32"/>
      <c r="C925" s="32"/>
      <c r="D925" s="40"/>
      <c r="E925" s="39" t="s">
        <v>45</v>
      </c>
      <c r="F925" s="39" t="s">
        <v>46</v>
      </c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  <c r="AA925" s="29"/>
      <c r="AB925" s="29"/>
      <c r="AC925" s="29"/>
      <c r="AD925" s="29"/>
      <c r="AE925" s="29"/>
      <c r="AJ925"/>
      <c r="AK925"/>
      <c r="AL925"/>
      <c r="AM925"/>
      <c r="AN925"/>
      <c r="AO925"/>
      <c r="AP925"/>
      <c r="AQ925"/>
      <c r="AR925"/>
      <c r="AS925"/>
      <c r="AT925" s="4" t="str">
        <f t="shared" si="103"/>
        <v>1.0倍人力其他职工福利费</v>
      </c>
      <c r="AU925" s="4" t="str">
        <f t="shared" si="99"/>
        <v>反洗钱工作办公室</v>
      </c>
      <c r="AV925" s="4" t="str">
        <f t="shared" si="100"/>
        <v>人力费用</v>
      </c>
      <c r="AW925" s="4" t="str">
        <f>IFERROR(VLOOKUP(AV925,[1]字段!A:B,2,0),"")</f>
        <v>人力费用</v>
      </c>
      <c r="AX925" s="30" t="str">
        <f>IF(AW925="人力费用",IF(E925="","",VLOOKUP(E925,[1]字段!D:E,2,0)),AW925)</f>
        <v>1.0倍人力</v>
      </c>
      <c r="AY925" s="30" t="str">
        <f>IF(AT925="","",VLOOKUP(AT925,[1]字段!H:I,2,0))</f>
        <v>1.0倍人力</v>
      </c>
      <c r="AZ925" s="31">
        <f t="shared" si="104"/>
        <v>0</v>
      </c>
      <c r="BA925" s="31">
        <f t="shared" si="101"/>
        <v>0</v>
      </c>
      <c r="BB925" s="31">
        <f t="shared" si="102"/>
        <v>0</v>
      </c>
      <c r="BC925" s="31">
        <f t="shared" si="105"/>
        <v>0</v>
      </c>
    </row>
    <row r="926" spans="1:55" ht="28.5" customHeight="1">
      <c r="A926" s="32"/>
      <c r="B926" s="32"/>
      <c r="C926" s="32"/>
      <c r="D926" s="40"/>
      <c r="E926" s="39" t="s">
        <v>47</v>
      </c>
      <c r="F926" s="39" t="s">
        <v>48</v>
      </c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  <c r="AA926" s="29"/>
      <c r="AB926" s="29"/>
      <c r="AC926" s="29"/>
      <c r="AD926" s="29"/>
      <c r="AE926" s="29"/>
      <c r="AJ926"/>
      <c r="AK926"/>
      <c r="AL926"/>
      <c r="AM926"/>
      <c r="AN926"/>
      <c r="AO926"/>
      <c r="AP926"/>
      <c r="AQ926"/>
      <c r="AR926"/>
      <c r="AS926"/>
      <c r="AT926" s="4" t="str">
        <f t="shared" si="103"/>
        <v>1.0倍人力工会经费</v>
      </c>
      <c r="AU926" s="4" t="str">
        <f t="shared" si="99"/>
        <v>反洗钱工作办公室</v>
      </c>
      <c r="AV926" s="4" t="str">
        <f t="shared" si="100"/>
        <v>人力费用</v>
      </c>
      <c r="AW926" s="4" t="str">
        <f>IFERROR(VLOOKUP(AV926,[1]字段!A:B,2,0),"")</f>
        <v>人力费用</v>
      </c>
      <c r="AX926" s="30" t="str">
        <f>IF(AW926="人力费用",IF(E926="","",VLOOKUP(E926,[1]字段!D:E,2,0)),AW926)</f>
        <v>1.0倍人力</v>
      </c>
      <c r="AY926" s="30" t="str">
        <f>IF(AT926="","",VLOOKUP(AT926,[1]字段!H:I,2,0))</f>
        <v>1.0倍人力</v>
      </c>
      <c r="AZ926" s="31">
        <f t="shared" si="104"/>
        <v>0</v>
      </c>
      <c r="BA926" s="31">
        <f t="shared" si="101"/>
        <v>0</v>
      </c>
      <c r="BB926" s="31">
        <f t="shared" si="102"/>
        <v>0</v>
      </c>
      <c r="BC926" s="31">
        <f t="shared" si="105"/>
        <v>0</v>
      </c>
    </row>
    <row r="927" spans="1:55" ht="28.5" customHeight="1">
      <c r="A927" s="32"/>
      <c r="B927" s="32"/>
      <c r="C927" s="32"/>
      <c r="D927" s="40"/>
      <c r="E927" s="39" t="s">
        <v>49</v>
      </c>
      <c r="F927" s="39" t="s">
        <v>50</v>
      </c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  <c r="AA927" s="29"/>
      <c r="AB927" s="29"/>
      <c r="AC927" s="29"/>
      <c r="AD927" s="29"/>
      <c r="AE927" s="29"/>
      <c r="AJ927"/>
      <c r="AK927"/>
      <c r="AL927"/>
      <c r="AM927"/>
      <c r="AN927"/>
      <c r="AO927"/>
      <c r="AP927"/>
      <c r="AQ927"/>
      <c r="AR927"/>
      <c r="AS927"/>
      <c r="AT927" s="4" t="str">
        <f t="shared" si="103"/>
        <v>1.0倍人力基本养老保险</v>
      </c>
      <c r="AU927" s="4" t="str">
        <f t="shared" si="99"/>
        <v>反洗钱工作办公室</v>
      </c>
      <c r="AV927" s="4" t="str">
        <f t="shared" si="100"/>
        <v>人力费用</v>
      </c>
      <c r="AW927" s="4" t="str">
        <f>IFERROR(VLOOKUP(AV927,[1]字段!A:B,2,0),"")</f>
        <v>人力费用</v>
      </c>
      <c r="AX927" s="30" t="str">
        <f>IF(AW927="人力费用",IF(E927="","",VLOOKUP(E927,[1]字段!D:E,2,0)),AW927)</f>
        <v>1.0倍人力</v>
      </c>
      <c r="AY927" s="30" t="str">
        <f>IF(AT927="","",VLOOKUP(AT927,[1]字段!H:I,2,0))</f>
        <v>1.0倍人力</v>
      </c>
      <c r="AZ927" s="31">
        <f t="shared" si="104"/>
        <v>0</v>
      </c>
      <c r="BA927" s="31">
        <f t="shared" si="101"/>
        <v>0</v>
      </c>
      <c r="BB927" s="31">
        <f t="shared" si="102"/>
        <v>0</v>
      </c>
      <c r="BC927" s="31">
        <f t="shared" si="105"/>
        <v>0</v>
      </c>
    </row>
    <row r="928" spans="1:55" ht="28.5" customHeight="1">
      <c r="A928" s="32"/>
      <c r="B928" s="32"/>
      <c r="C928" s="32"/>
      <c r="D928" s="40"/>
      <c r="E928" s="39" t="s">
        <v>51</v>
      </c>
      <c r="F928" s="39" t="s">
        <v>52</v>
      </c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  <c r="AA928" s="29"/>
      <c r="AB928" s="29"/>
      <c r="AC928" s="29"/>
      <c r="AD928" s="29"/>
      <c r="AE928" s="29"/>
      <c r="AJ928"/>
      <c r="AK928"/>
      <c r="AL928"/>
      <c r="AM928"/>
      <c r="AN928"/>
      <c r="AO928"/>
      <c r="AP928"/>
      <c r="AQ928"/>
      <c r="AR928"/>
      <c r="AS928"/>
      <c r="AT928" s="4" t="str">
        <f t="shared" si="103"/>
        <v>1.0倍人力基本医疗保险</v>
      </c>
      <c r="AU928" s="4" t="str">
        <f t="shared" si="99"/>
        <v>反洗钱工作办公室</v>
      </c>
      <c r="AV928" s="4" t="str">
        <f t="shared" si="100"/>
        <v>人力费用</v>
      </c>
      <c r="AW928" s="4" t="str">
        <f>IFERROR(VLOOKUP(AV928,[1]字段!A:B,2,0),"")</f>
        <v>人力费用</v>
      </c>
      <c r="AX928" s="30" t="str">
        <f>IF(AW928="人力费用",IF(E928="","",VLOOKUP(E928,[1]字段!D:E,2,0)),AW928)</f>
        <v>1.0倍人力</v>
      </c>
      <c r="AY928" s="30" t="str">
        <f>IF(AT928="","",VLOOKUP(AT928,[1]字段!H:I,2,0))</f>
        <v>1.0倍人力</v>
      </c>
      <c r="AZ928" s="31">
        <f t="shared" si="104"/>
        <v>0</v>
      </c>
      <c r="BA928" s="31">
        <f t="shared" si="101"/>
        <v>0</v>
      </c>
      <c r="BB928" s="31">
        <f t="shared" si="102"/>
        <v>0</v>
      </c>
      <c r="BC928" s="31">
        <f t="shared" si="105"/>
        <v>0</v>
      </c>
    </row>
    <row r="929" spans="1:55" ht="28.5" customHeight="1">
      <c r="A929" s="32"/>
      <c r="B929" s="32"/>
      <c r="C929" s="32"/>
      <c r="D929" s="40"/>
      <c r="E929" s="39" t="s">
        <v>53</v>
      </c>
      <c r="F929" s="39" t="s">
        <v>54</v>
      </c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  <c r="AA929" s="29"/>
      <c r="AB929" s="29"/>
      <c r="AC929" s="29"/>
      <c r="AD929" s="29"/>
      <c r="AE929" s="29"/>
      <c r="AJ929"/>
      <c r="AK929"/>
      <c r="AL929"/>
      <c r="AM929"/>
      <c r="AN929"/>
      <c r="AO929"/>
      <c r="AP929"/>
      <c r="AQ929"/>
      <c r="AR929"/>
      <c r="AS929"/>
      <c r="AT929" s="4" t="str">
        <f t="shared" si="103"/>
        <v>1.0倍人力工伤保险</v>
      </c>
      <c r="AU929" s="4" t="str">
        <f t="shared" si="99"/>
        <v>反洗钱工作办公室</v>
      </c>
      <c r="AV929" s="4" t="str">
        <f t="shared" si="100"/>
        <v>人力费用</v>
      </c>
      <c r="AW929" s="4" t="str">
        <f>IFERROR(VLOOKUP(AV929,[1]字段!A:B,2,0),"")</f>
        <v>人力费用</v>
      </c>
      <c r="AX929" s="30" t="str">
        <f>IF(AW929="人力费用",IF(E929="","",VLOOKUP(E929,[1]字段!D:E,2,0)),AW929)</f>
        <v>1.0倍人力</v>
      </c>
      <c r="AY929" s="30" t="str">
        <f>IF(AT929="","",VLOOKUP(AT929,[1]字段!H:I,2,0))</f>
        <v>1.0倍人力</v>
      </c>
      <c r="AZ929" s="31">
        <f t="shared" si="104"/>
        <v>0</v>
      </c>
      <c r="BA929" s="31">
        <f t="shared" si="101"/>
        <v>0</v>
      </c>
      <c r="BB929" s="31">
        <f t="shared" si="102"/>
        <v>0</v>
      </c>
      <c r="BC929" s="31">
        <f t="shared" si="105"/>
        <v>0</v>
      </c>
    </row>
    <row r="930" spans="1:55" ht="28.5" customHeight="1">
      <c r="A930" s="32"/>
      <c r="B930" s="32"/>
      <c r="C930" s="32"/>
      <c r="D930" s="40"/>
      <c r="E930" s="39" t="s">
        <v>55</v>
      </c>
      <c r="F930" s="39" t="s">
        <v>56</v>
      </c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  <c r="AA930" s="29"/>
      <c r="AB930" s="29"/>
      <c r="AC930" s="29"/>
      <c r="AD930" s="29"/>
      <c r="AE930" s="29"/>
      <c r="AJ930"/>
      <c r="AK930"/>
      <c r="AL930"/>
      <c r="AM930"/>
      <c r="AN930"/>
      <c r="AO930"/>
      <c r="AP930"/>
      <c r="AQ930"/>
      <c r="AR930"/>
      <c r="AS930"/>
      <c r="AT930" s="4" t="str">
        <f t="shared" si="103"/>
        <v>1.0倍人力生育保险</v>
      </c>
      <c r="AU930" s="4" t="str">
        <f t="shared" si="99"/>
        <v>反洗钱工作办公室</v>
      </c>
      <c r="AV930" s="4" t="str">
        <f t="shared" si="100"/>
        <v>人力费用</v>
      </c>
      <c r="AW930" s="4" t="str">
        <f>IFERROR(VLOOKUP(AV930,[1]字段!A:B,2,0),"")</f>
        <v>人力费用</v>
      </c>
      <c r="AX930" s="30" t="str">
        <f>IF(AW930="人力费用",IF(E930="","",VLOOKUP(E930,[1]字段!D:E,2,0)),AW930)</f>
        <v>1.0倍人力</v>
      </c>
      <c r="AY930" s="30" t="str">
        <f>IF(AT930="","",VLOOKUP(AT930,[1]字段!H:I,2,0))</f>
        <v>1.0倍人力</v>
      </c>
      <c r="AZ930" s="31">
        <f t="shared" si="104"/>
        <v>0</v>
      </c>
      <c r="BA930" s="31">
        <f t="shared" si="101"/>
        <v>0</v>
      </c>
      <c r="BB930" s="31">
        <f t="shared" si="102"/>
        <v>0</v>
      </c>
      <c r="BC930" s="31">
        <f t="shared" si="105"/>
        <v>0</v>
      </c>
    </row>
    <row r="931" spans="1:55" ht="28.5" customHeight="1">
      <c r="A931" s="32"/>
      <c r="B931" s="32"/>
      <c r="C931" s="32"/>
      <c r="D931" s="40"/>
      <c r="E931" s="39" t="s">
        <v>57</v>
      </c>
      <c r="F931" s="39" t="s">
        <v>58</v>
      </c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  <c r="AA931" s="29"/>
      <c r="AB931" s="29"/>
      <c r="AC931" s="29"/>
      <c r="AD931" s="29"/>
      <c r="AE931" s="29"/>
      <c r="AJ931"/>
      <c r="AK931"/>
      <c r="AL931"/>
      <c r="AM931"/>
      <c r="AN931"/>
      <c r="AO931"/>
      <c r="AP931"/>
      <c r="AQ931"/>
      <c r="AR931"/>
      <c r="AS931"/>
      <c r="AT931" s="4" t="str">
        <f t="shared" si="103"/>
        <v>1.0倍人力失业保险</v>
      </c>
      <c r="AU931" s="4" t="str">
        <f t="shared" si="99"/>
        <v>反洗钱工作办公室</v>
      </c>
      <c r="AV931" s="4" t="str">
        <f t="shared" si="100"/>
        <v>人力费用</v>
      </c>
      <c r="AW931" s="4" t="str">
        <f>IFERROR(VLOOKUP(AV931,[1]字段!A:B,2,0),"")</f>
        <v>人力费用</v>
      </c>
      <c r="AX931" s="30" t="str">
        <f>IF(AW931="人力费用",IF(E931="","",VLOOKUP(E931,[1]字段!D:E,2,0)),AW931)</f>
        <v>1.0倍人力</v>
      </c>
      <c r="AY931" s="30" t="str">
        <f>IF(AT931="","",VLOOKUP(AT931,[1]字段!H:I,2,0))</f>
        <v>1.0倍人力</v>
      </c>
      <c r="AZ931" s="31">
        <f t="shared" si="104"/>
        <v>0</v>
      </c>
      <c r="BA931" s="31">
        <f t="shared" si="101"/>
        <v>0</v>
      </c>
      <c r="BB931" s="31">
        <f t="shared" si="102"/>
        <v>0</v>
      </c>
      <c r="BC931" s="31">
        <f t="shared" si="105"/>
        <v>0</v>
      </c>
    </row>
    <row r="932" spans="1:55" ht="28.5" customHeight="1">
      <c r="A932" s="32"/>
      <c r="B932" s="32"/>
      <c r="C932" s="32"/>
      <c r="D932" s="40"/>
      <c r="E932" s="39" t="s">
        <v>59</v>
      </c>
      <c r="F932" s="39" t="s">
        <v>60</v>
      </c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  <c r="AA932" s="29"/>
      <c r="AB932" s="29"/>
      <c r="AC932" s="29"/>
      <c r="AD932" s="29"/>
      <c r="AE932" s="29"/>
      <c r="AJ932"/>
      <c r="AK932"/>
      <c r="AL932"/>
      <c r="AM932"/>
      <c r="AN932"/>
      <c r="AO932"/>
      <c r="AP932"/>
      <c r="AQ932"/>
      <c r="AR932"/>
      <c r="AS932"/>
      <c r="AT932" s="4" t="str">
        <f t="shared" si="103"/>
        <v>1.0倍人力住房公积金</v>
      </c>
      <c r="AU932" s="4" t="str">
        <f t="shared" si="99"/>
        <v>反洗钱工作办公室</v>
      </c>
      <c r="AV932" s="4" t="str">
        <f t="shared" si="100"/>
        <v>人力费用</v>
      </c>
      <c r="AW932" s="4" t="str">
        <f>IFERROR(VLOOKUP(AV932,[1]字段!A:B,2,0),"")</f>
        <v>人力费用</v>
      </c>
      <c r="AX932" s="30" t="str">
        <f>IF(AW932="人力费用",IF(E932="","",VLOOKUP(E932,[1]字段!D:E,2,0)),AW932)</f>
        <v>1.0倍人力</v>
      </c>
      <c r="AY932" s="30" t="str">
        <f>IF(AT932="","",VLOOKUP(AT932,[1]字段!H:I,2,0))</f>
        <v>1.0倍人力</v>
      </c>
      <c r="AZ932" s="31">
        <f t="shared" si="104"/>
        <v>0</v>
      </c>
      <c r="BA932" s="31">
        <f t="shared" si="101"/>
        <v>0</v>
      </c>
      <c r="BB932" s="31">
        <f t="shared" si="102"/>
        <v>0</v>
      </c>
      <c r="BC932" s="31">
        <f t="shared" si="105"/>
        <v>0</v>
      </c>
    </row>
    <row r="933" spans="1:55" ht="28.5" customHeight="1">
      <c r="A933" s="32"/>
      <c r="B933" s="32"/>
      <c r="C933" s="41"/>
      <c r="D933" s="42"/>
      <c r="E933" s="39" t="s">
        <v>100</v>
      </c>
      <c r="F933" s="39" t="s">
        <v>101</v>
      </c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  <c r="AA933" s="29"/>
      <c r="AB933" s="29"/>
      <c r="AC933" s="29"/>
      <c r="AD933" s="29"/>
      <c r="AE933" s="29"/>
      <c r="AJ933"/>
      <c r="AK933"/>
      <c r="AL933"/>
      <c r="AM933"/>
      <c r="AN933"/>
      <c r="AO933"/>
      <c r="AP933"/>
      <c r="AQ933"/>
      <c r="AR933"/>
      <c r="AS933"/>
      <c r="AT933" s="4" t="str">
        <f t="shared" si="103"/>
        <v>劳务支出劳务支出</v>
      </c>
      <c r="AU933" s="4" t="str">
        <f t="shared" si="99"/>
        <v>反洗钱工作办公室</v>
      </c>
      <c r="AV933" s="4" t="str">
        <f t="shared" si="100"/>
        <v>人力费用</v>
      </c>
      <c r="AW933" s="4" t="str">
        <f>IFERROR(VLOOKUP(AV933,[1]字段!A:B,2,0),"")</f>
        <v>人力费用</v>
      </c>
      <c r="AX933" s="30" t="str">
        <f>IF(AW933="人力费用",IF(E933="","",VLOOKUP(E933,[1]字段!D:E,2,0)),AW933)</f>
        <v>劳务支出</v>
      </c>
      <c r="AY933" s="30" t="str">
        <f>IF(AT933="","",VLOOKUP(AT933,[1]字段!H:I,2,0))</f>
        <v>劳务支出</v>
      </c>
      <c r="AZ933" s="31">
        <f t="shared" si="104"/>
        <v>0</v>
      </c>
      <c r="BA933" s="31">
        <f t="shared" si="101"/>
        <v>0</v>
      </c>
      <c r="BB933" s="31">
        <f t="shared" si="102"/>
        <v>0</v>
      </c>
      <c r="BC933" s="31">
        <f t="shared" si="105"/>
        <v>0</v>
      </c>
    </row>
    <row r="934" spans="1:55" ht="28.5" customHeight="1">
      <c r="C934" s="33" t="s">
        <v>65</v>
      </c>
      <c r="D934" s="34" t="s">
        <v>66</v>
      </c>
      <c r="E934" s="35"/>
      <c r="F934" s="36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  <c r="AA934" s="29"/>
      <c r="AB934" s="29"/>
      <c r="AC934" s="29"/>
      <c r="AD934" s="29"/>
      <c r="AE934" s="29"/>
      <c r="AJ934"/>
      <c r="AK934"/>
      <c r="AL934"/>
      <c r="AM934"/>
      <c r="AN934"/>
      <c r="AO934"/>
      <c r="AP934"/>
      <c r="AQ934"/>
      <c r="AR934"/>
      <c r="AS934"/>
      <c r="AT934" s="4" t="str">
        <f t="shared" si="103"/>
        <v>IT费用</v>
      </c>
      <c r="AU934" s="4" t="str">
        <f t="shared" si="99"/>
        <v>反洗钱工作办公室</v>
      </c>
      <c r="AV934" s="4" t="str">
        <f t="shared" si="100"/>
        <v>IT科技费用</v>
      </c>
      <c r="AW934" s="4" t="str">
        <f>IFERROR(VLOOKUP(AV934,[1]字段!A:B,2,0),"")</f>
        <v>IT费用</v>
      </c>
      <c r="AX934" s="30" t="str">
        <f>IF(AW934="人力费用",IF(E934="","",VLOOKUP(E934,[1]字段!D:E,2,0)),AW934)</f>
        <v>IT费用</v>
      </c>
      <c r="AY934" s="30">
        <f>IF(AT934="","",VLOOKUP(AT934,[1]字段!H:I,2,0))</f>
        <v>0</v>
      </c>
      <c r="AZ934" s="31">
        <f t="shared" si="104"/>
        <v>0</v>
      </c>
      <c r="BA934" s="31">
        <f t="shared" si="101"/>
        <v>0</v>
      </c>
      <c r="BB934" s="31">
        <f t="shared" si="102"/>
        <v>0</v>
      </c>
      <c r="BC934" s="31">
        <f t="shared" si="105"/>
        <v>0</v>
      </c>
    </row>
    <row r="935" spans="1:55" ht="28.5" customHeight="1">
      <c r="A935" s="32"/>
      <c r="B935" s="32"/>
      <c r="C935" s="43"/>
      <c r="D935" s="43"/>
      <c r="E935" s="39" t="s">
        <v>71</v>
      </c>
      <c r="F935" s="39" t="s">
        <v>72</v>
      </c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  <c r="AA935" s="29"/>
      <c r="AB935" s="29"/>
      <c r="AC935" s="29"/>
      <c r="AD935" s="29"/>
      <c r="AE935" s="29"/>
      <c r="AJ935"/>
      <c r="AK935"/>
      <c r="AL935"/>
      <c r="AM935"/>
      <c r="AN935"/>
      <c r="AO935"/>
      <c r="AP935"/>
      <c r="AQ935"/>
      <c r="AR935"/>
      <c r="AS935"/>
      <c r="AT935" s="4" t="str">
        <f t="shared" si="103"/>
        <v>IT费用办公IT设备折旧费</v>
      </c>
      <c r="AU935" s="4" t="str">
        <f t="shared" si="99"/>
        <v>反洗钱工作办公室</v>
      </c>
      <c r="AV935" s="4" t="str">
        <f t="shared" si="100"/>
        <v>IT科技费用</v>
      </c>
      <c r="AW935" s="4" t="str">
        <f>IFERROR(VLOOKUP(AV935,[1]字段!A:B,2,0),"")</f>
        <v>IT费用</v>
      </c>
      <c r="AX935" s="30" t="str">
        <f>IF(AW935="人力费用",IF(E935="","",VLOOKUP(E935,[1]字段!D:E,2,0)),AW935)</f>
        <v>IT费用</v>
      </c>
      <c r="AY935" s="30" t="str">
        <f>IF(AT935="","",VLOOKUP(AT935,[1]字段!H:I,2,0))</f>
        <v>IT费用</v>
      </c>
      <c r="AZ935" s="31">
        <f t="shared" si="104"/>
        <v>0</v>
      </c>
      <c r="BA935" s="31">
        <f t="shared" si="101"/>
        <v>0</v>
      </c>
      <c r="BB935" s="31">
        <f t="shared" si="102"/>
        <v>0</v>
      </c>
      <c r="BC935" s="31">
        <f t="shared" si="105"/>
        <v>0</v>
      </c>
    </row>
    <row r="936" spans="1:55" ht="28.5" customHeight="1">
      <c r="A936" s="25"/>
      <c r="B936" s="26" t="s">
        <v>202</v>
      </c>
      <c r="C936" s="27"/>
      <c r="D936" s="27"/>
      <c r="E936" s="27"/>
      <c r="F936" s="28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  <c r="AA936" s="29"/>
      <c r="AB936" s="29"/>
      <c r="AC936" s="29"/>
      <c r="AD936" s="29"/>
      <c r="AE936" s="29"/>
      <c r="AJ936"/>
      <c r="AK936"/>
      <c r="AL936"/>
      <c r="AM936"/>
      <c r="AN936"/>
      <c r="AO936"/>
      <c r="AP936"/>
      <c r="AQ936"/>
      <c r="AR936"/>
      <c r="AS936"/>
      <c r="AT936" s="4" t="str">
        <f t="shared" si="103"/>
        <v/>
      </c>
      <c r="AU936" s="4" t="str">
        <f t="shared" si="99"/>
        <v>汽车金融部</v>
      </c>
      <c r="AV936" s="4" t="str">
        <f t="shared" si="100"/>
        <v/>
      </c>
      <c r="AW936" s="4" t="str">
        <f>IFERROR(VLOOKUP(AV936,[1]字段!A:B,2,0),"")</f>
        <v/>
      </c>
      <c r="AX936" s="30" t="str">
        <f>IF(AW936="人力费用",IF(E936="","",VLOOKUP(E936,[1]字段!D:E,2,0)),AW936)</f>
        <v/>
      </c>
      <c r="AY936" s="30" t="str">
        <f>IF(AT936="","",VLOOKUP(AT936,[1]字段!H:I,2,0))</f>
        <v/>
      </c>
      <c r="AZ936" s="31">
        <f t="shared" si="104"/>
        <v>0</v>
      </c>
      <c r="BA936" s="31">
        <f t="shared" si="101"/>
        <v>0</v>
      </c>
      <c r="BB936" s="31">
        <f t="shared" si="102"/>
        <v>0</v>
      </c>
      <c r="BC936" s="31">
        <f t="shared" si="105"/>
        <v>0</v>
      </c>
    </row>
    <row r="937" spans="1:55" ht="28.5" customHeight="1">
      <c r="A937" s="32"/>
      <c r="B937" s="32"/>
      <c r="C937" s="33" t="s">
        <v>39</v>
      </c>
      <c r="D937" s="34" t="s">
        <v>40</v>
      </c>
      <c r="E937" s="35"/>
      <c r="F937" s="36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  <c r="AA937" s="29"/>
      <c r="AB937" s="29"/>
      <c r="AC937" s="29"/>
      <c r="AD937" s="29"/>
      <c r="AE937" s="29"/>
      <c r="AJ937"/>
      <c r="AK937"/>
      <c r="AL937"/>
      <c r="AM937"/>
      <c r="AN937"/>
      <c r="AO937"/>
      <c r="AP937"/>
      <c r="AQ937"/>
      <c r="AR937"/>
      <c r="AS937"/>
      <c r="AT937" s="4" t="str">
        <f t="shared" si="103"/>
        <v/>
      </c>
      <c r="AU937" s="4" t="str">
        <f t="shared" si="99"/>
        <v>汽车金融部</v>
      </c>
      <c r="AV937" s="4" t="str">
        <f t="shared" si="100"/>
        <v>人力费用</v>
      </c>
      <c r="AW937" s="4" t="str">
        <f>IFERROR(VLOOKUP(AV937,[1]字段!A:B,2,0),"")</f>
        <v>人力费用</v>
      </c>
      <c r="AX937" s="30" t="str">
        <f>IF(AW937="人力费用",IF(E937="","",VLOOKUP(E937,[1]字段!D:E,2,0)),AW937)</f>
        <v/>
      </c>
      <c r="AY937" s="30" t="str">
        <f>IF(AT937="","",VLOOKUP(AT937,[1]字段!H:I,2,0))</f>
        <v/>
      </c>
      <c r="AZ937" s="31">
        <f t="shared" si="104"/>
        <v>0</v>
      </c>
      <c r="BA937" s="31">
        <f t="shared" si="101"/>
        <v>0</v>
      </c>
      <c r="BB937" s="31">
        <f t="shared" si="102"/>
        <v>0</v>
      </c>
      <c r="BC937" s="31">
        <f t="shared" si="105"/>
        <v>0</v>
      </c>
    </row>
    <row r="938" spans="1:55" ht="28.5" customHeight="1">
      <c r="A938" s="32"/>
      <c r="B938" s="32"/>
      <c r="C938" s="37"/>
      <c r="D938" s="38"/>
      <c r="E938" s="39" t="s">
        <v>41</v>
      </c>
      <c r="F938" s="39" t="s">
        <v>42</v>
      </c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  <c r="AA938" s="29"/>
      <c r="AB938" s="29"/>
      <c r="AC938" s="29"/>
      <c r="AD938" s="29"/>
      <c r="AE938" s="29"/>
      <c r="AJ938"/>
      <c r="AK938"/>
      <c r="AL938"/>
      <c r="AM938"/>
      <c r="AN938"/>
      <c r="AO938"/>
      <c r="AP938"/>
      <c r="AQ938"/>
      <c r="AR938"/>
      <c r="AS938"/>
      <c r="AT938" s="4" t="str">
        <f t="shared" si="103"/>
        <v>1.0倍人力基础工资</v>
      </c>
      <c r="AU938" s="4" t="str">
        <f t="shared" si="99"/>
        <v>汽车金融部</v>
      </c>
      <c r="AV938" s="4" t="str">
        <f t="shared" si="100"/>
        <v>人力费用</v>
      </c>
      <c r="AW938" s="4" t="str">
        <f>IFERROR(VLOOKUP(AV938,[1]字段!A:B,2,0),"")</f>
        <v>人力费用</v>
      </c>
      <c r="AX938" s="30" t="str">
        <f>IF(AW938="人力费用",IF(E938="","",VLOOKUP(E938,[1]字段!D:E,2,0)),AW938)</f>
        <v>1.0倍人力</v>
      </c>
      <c r="AY938" s="30" t="str">
        <f>IF(AT938="","",VLOOKUP(AT938,[1]字段!H:I,2,0))</f>
        <v>1.0倍人力</v>
      </c>
      <c r="AZ938" s="31">
        <f t="shared" si="104"/>
        <v>0</v>
      </c>
      <c r="BA938" s="31">
        <f t="shared" si="101"/>
        <v>0</v>
      </c>
      <c r="BB938" s="31">
        <f t="shared" si="102"/>
        <v>0</v>
      </c>
      <c r="BC938" s="31">
        <f t="shared" si="105"/>
        <v>0</v>
      </c>
    </row>
    <row r="939" spans="1:55" ht="28.5" customHeight="1">
      <c r="A939" s="32"/>
      <c r="B939" s="32"/>
      <c r="C939" s="32"/>
      <c r="D939" s="40"/>
      <c r="E939" s="39">
        <v>5501010602</v>
      </c>
      <c r="F939" s="3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  <c r="AA939" s="29"/>
      <c r="AB939" s="29"/>
      <c r="AC939" s="29"/>
      <c r="AD939" s="29"/>
      <c r="AE939" s="29"/>
      <c r="AJ939"/>
      <c r="AK939"/>
      <c r="AL939"/>
      <c r="AM939"/>
      <c r="AN939"/>
      <c r="AO939"/>
      <c r="AP939"/>
      <c r="AQ939"/>
      <c r="AR939"/>
      <c r="AS939"/>
      <c r="AT939" s="4" t="str">
        <f t="shared" si="103"/>
        <v>利润分享</v>
      </c>
      <c r="AU939" s="4" t="str">
        <f t="shared" si="99"/>
        <v>汽车金融部</v>
      </c>
      <c r="AV939" s="4" t="str">
        <f t="shared" si="100"/>
        <v>人力费用</v>
      </c>
      <c r="AW939" s="4" t="str">
        <f>IFERROR(VLOOKUP(AV939,[1]字段!A:B,2,0),"")</f>
        <v>人力费用</v>
      </c>
      <c r="AX939" s="30" t="str">
        <f>IF(AW939="人力费用",IF(E939="","",VLOOKUP(E939,[1]字段!D:E,2,0)),AW939)</f>
        <v>利润分享</v>
      </c>
      <c r="AY939" s="30" t="str">
        <f>IF(AT939="","",VLOOKUP(AT939,[1]字段!H:I,2,0))</f>
        <v>利润分享</v>
      </c>
      <c r="AZ939" s="31">
        <f t="shared" si="104"/>
        <v>0</v>
      </c>
      <c r="BA939" s="31">
        <f t="shared" si="101"/>
        <v>0</v>
      </c>
      <c r="BB939" s="31">
        <f t="shared" si="102"/>
        <v>0</v>
      </c>
      <c r="BC939" s="31">
        <f t="shared" si="105"/>
        <v>0</v>
      </c>
    </row>
    <row r="940" spans="1:55" ht="28.5" customHeight="1">
      <c r="A940" s="32"/>
      <c r="B940" s="32"/>
      <c r="C940" s="32"/>
      <c r="D940" s="40"/>
      <c r="E940" s="39">
        <v>5501010603</v>
      </c>
      <c r="F940" s="3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  <c r="AA940" s="29"/>
      <c r="AB940" s="29"/>
      <c r="AC940" s="29"/>
      <c r="AD940" s="29"/>
      <c r="AE940" s="29"/>
      <c r="AJ940"/>
      <c r="AK940"/>
      <c r="AL940"/>
      <c r="AM940"/>
      <c r="AN940"/>
      <c r="AO940"/>
      <c r="AP940"/>
      <c r="AQ940"/>
      <c r="AR940"/>
      <c r="AS940"/>
      <c r="AT940" s="4" t="str">
        <f t="shared" si="103"/>
        <v>留任奖励</v>
      </c>
      <c r="AU940" s="4" t="str">
        <f t="shared" si="99"/>
        <v>汽车金融部</v>
      </c>
      <c r="AV940" s="4" t="str">
        <f t="shared" si="100"/>
        <v>人力费用</v>
      </c>
      <c r="AW940" s="4" t="str">
        <f>IFERROR(VLOOKUP(AV940,[1]字段!A:B,2,0),"")</f>
        <v>人力费用</v>
      </c>
      <c r="AX940" s="30" t="str">
        <f>IF(AW940="人力费用",IF(E940="","",VLOOKUP(E940,[1]字段!D:E,2,0)),AW940)</f>
        <v>留任奖励</v>
      </c>
      <c r="AY940" s="30" t="str">
        <f>IF(AT940="","",VLOOKUP(AT940,[1]字段!H:I,2,0))</f>
        <v>留任奖励</v>
      </c>
      <c r="AZ940" s="31">
        <f t="shared" si="104"/>
        <v>0</v>
      </c>
      <c r="BA940" s="31">
        <f t="shared" si="101"/>
        <v>0</v>
      </c>
      <c r="BB940" s="31">
        <f t="shared" si="102"/>
        <v>0</v>
      </c>
      <c r="BC940" s="31">
        <f t="shared" si="105"/>
        <v>0</v>
      </c>
    </row>
    <row r="941" spans="1:55" ht="28.5" customHeight="1">
      <c r="A941" s="32"/>
      <c r="B941" s="32"/>
      <c r="C941" s="32"/>
      <c r="D941" s="40"/>
      <c r="E941" s="39">
        <v>5501010604</v>
      </c>
      <c r="F941" s="3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  <c r="AA941" s="29"/>
      <c r="AB941" s="29"/>
      <c r="AC941" s="29"/>
      <c r="AD941" s="29"/>
      <c r="AE941" s="29"/>
      <c r="AJ941"/>
      <c r="AK941"/>
      <c r="AL941"/>
      <c r="AM941"/>
      <c r="AN941"/>
      <c r="AO941"/>
      <c r="AP941"/>
      <c r="AQ941"/>
      <c r="AR941"/>
      <c r="AS941"/>
      <c r="AT941" s="4" t="str">
        <f t="shared" si="103"/>
        <v>1.0倍人力</v>
      </c>
      <c r="AU941" s="4" t="str">
        <f t="shared" si="99"/>
        <v>汽车金融部</v>
      </c>
      <c r="AV941" s="4" t="str">
        <f t="shared" si="100"/>
        <v>人力费用</v>
      </c>
      <c r="AW941" s="4" t="str">
        <f>IFERROR(VLOOKUP(AV941,[1]字段!A:B,2,0),"")</f>
        <v>人力费用</v>
      </c>
      <c r="AX941" s="30" t="str">
        <f>IF(AW941="人力费用",IF(E941="","",VLOOKUP(E941,[1]字段!D:E,2,0)),AW941)</f>
        <v>1.0倍人力</v>
      </c>
      <c r="AY941" s="30" t="str">
        <f>IF(AT941="","",VLOOKUP(AT941,[1]字段!H:I,2,0))</f>
        <v>1.0倍人力</v>
      </c>
      <c r="AZ941" s="31">
        <f t="shared" si="104"/>
        <v>0</v>
      </c>
      <c r="BA941" s="31">
        <f t="shared" si="101"/>
        <v>0</v>
      </c>
      <c r="BB941" s="31">
        <f t="shared" si="102"/>
        <v>0</v>
      </c>
      <c r="BC941" s="31">
        <f t="shared" si="105"/>
        <v>0</v>
      </c>
    </row>
    <row r="942" spans="1:55" ht="28.5" customHeight="1">
      <c r="A942" s="32"/>
      <c r="B942" s="32"/>
      <c r="C942" s="32"/>
      <c r="D942" s="40"/>
      <c r="E942" s="39" t="s">
        <v>43</v>
      </c>
      <c r="F942" s="39" t="s">
        <v>44</v>
      </c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  <c r="AA942" s="29"/>
      <c r="AB942" s="29"/>
      <c r="AC942" s="29"/>
      <c r="AD942" s="29"/>
      <c r="AE942" s="29"/>
      <c r="AJ942"/>
      <c r="AK942"/>
      <c r="AL942"/>
      <c r="AM942"/>
      <c r="AN942"/>
      <c r="AO942"/>
      <c r="AP942"/>
      <c r="AQ942"/>
      <c r="AR942"/>
      <c r="AS942"/>
      <c r="AT942" s="4" t="str">
        <f t="shared" si="103"/>
        <v>1.0倍人力团队建设费</v>
      </c>
      <c r="AU942" s="4" t="str">
        <f t="shared" si="99"/>
        <v>汽车金融部</v>
      </c>
      <c r="AV942" s="4" t="str">
        <f t="shared" si="100"/>
        <v>人力费用</v>
      </c>
      <c r="AW942" s="4" t="str">
        <f>IFERROR(VLOOKUP(AV942,[1]字段!A:B,2,0),"")</f>
        <v>人力费用</v>
      </c>
      <c r="AX942" s="30" t="str">
        <f>IF(AW942="人力费用",IF(E942="","",VLOOKUP(E942,[1]字段!D:E,2,0)),AW942)</f>
        <v>1.0倍人力</v>
      </c>
      <c r="AY942" s="30" t="str">
        <f>IF(AT942="","",VLOOKUP(AT942,[1]字段!H:I,2,0))</f>
        <v>1.0倍人力</v>
      </c>
      <c r="AZ942" s="31">
        <f t="shared" si="104"/>
        <v>0</v>
      </c>
      <c r="BA942" s="31">
        <f t="shared" si="101"/>
        <v>0</v>
      </c>
      <c r="BB942" s="31">
        <f t="shared" si="102"/>
        <v>0</v>
      </c>
      <c r="BC942" s="31">
        <f t="shared" si="105"/>
        <v>0</v>
      </c>
    </row>
    <row r="943" spans="1:55" ht="28.5" customHeight="1">
      <c r="A943" s="32"/>
      <c r="B943" s="32"/>
      <c r="C943" s="32"/>
      <c r="D943" s="40"/>
      <c r="E943" s="39" t="s">
        <v>45</v>
      </c>
      <c r="F943" s="39" t="s">
        <v>46</v>
      </c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  <c r="AA943" s="29"/>
      <c r="AB943" s="29"/>
      <c r="AC943" s="29"/>
      <c r="AD943" s="29"/>
      <c r="AE943" s="29"/>
      <c r="AJ943"/>
      <c r="AK943"/>
      <c r="AL943"/>
      <c r="AM943"/>
      <c r="AN943"/>
      <c r="AO943"/>
      <c r="AP943"/>
      <c r="AQ943"/>
      <c r="AR943"/>
      <c r="AS943"/>
      <c r="AT943" s="4" t="str">
        <f t="shared" si="103"/>
        <v>1.0倍人力其他职工福利费</v>
      </c>
      <c r="AU943" s="4" t="str">
        <f t="shared" si="99"/>
        <v>汽车金融部</v>
      </c>
      <c r="AV943" s="4" t="str">
        <f t="shared" si="100"/>
        <v>人力费用</v>
      </c>
      <c r="AW943" s="4" t="str">
        <f>IFERROR(VLOOKUP(AV943,[1]字段!A:B,2,0),"")</f>
        <v>人力费用</v>
      </c>
      <c r="AX943" s="30" t="str">
        <f>IF(AW943="人力费用",IF(E943="","",VLOOKUP(E943,[1]字段!D:E,2,0)),AW943)</f>
        <v>1.0倍人力</v>
      </c>
      <c r="AY943" s="30" t="str">
        <f>IF(AT943="","",VLOOKUP(AT943,[1]字段!H:I,2,0))</f>
        <v>1.0倍人力</v>
      </c>
      <c r="AZ943" s="31">
        <f t="shared" si="104"/>
        <v>0</v>
      </c>
      <c r="BA943" s="31">
        <f t="shared" si="101"/>
        <v>0</v>
      </c>
      <c r="BB943" s="31">
        <f t="shared" si="102"/>
        <v>0</v>
      </c>
      <c r="BC943" s="31">
        <f t="shared" si="105"/>
        <v>0</v>
      </c>
    </row>
    <row r="944" spans="1:55" ht="28.5" customHeight="1">
      <c r="A944" s="32"/>
      <c r="B944" s="32"/>
      <c r="C944" s="32"/>
      <c r="D944" s="40"/>
      <c r="E944" s="39" t="s">
        <v>47</v>
      </c>
      <c r="F944" s="39" t="s">
        <v>48</v>
      </c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  <c r="AA944" s="29"/>
      <c r="AB944" s="29"/>
      <c r="AC944" s="29"/>
      <c r="AD944" s="29"/>
      <c r="AE944" s="29"/>
      <c r="AJ944"/>
      <c r="AK944"/>
      <c r="AL944"/>
      <c r="AM944"/>
      <c r="AN944"/>
      <c r="AO944"/>
      <c r="AP944"/>
      <c r="AQ944"/>
      <c r="AR944"/>
      <c r="AS944"/>
      <c r="AT944" s="4" t="str">
        <f t="shared" si="103"/>
        <v>1.0倍人力工会经费</v>
      </c>
      <c r="AU944" s="4" t="str">
        <f t="shared" si="99"/>
        <v>汽车金融部</v>
      </c>
      <c r="AV944" s="4" t="str">
        <f t="shared" si="100"/>
        <v>人力费用</v>
      </c>
      <c r="AW944" s="4" t="str">
        <f>IFERROR(VLOOKUP(AV944,[1]字段!A:B,2,0),"")</f>
        <v>人力费用</v>
      </c>
      <c r="AX944" s="30" t="str">
        <f>IF(AW944="人力费用",IF(E944="","",VLOOKUP(E944,[1]字段!D:E,2,0)),AW944)</f>
        <v>1.0倍人力</v>
      </c>
      <c r="AY944" s="30" t="str">
        <f>IF(AT944="","",VLOOKUP(AT944,[1]字段!H:I,2,0))</f>
        <v>1.0倍人力</v>
      </c>
      <c r="AZ944" s="31">
        <f t="shared" si="104"/>
        <v>0</v>
      </c>
      <c r="BA944" s="31">
        <f t="shared" si="101"/>
        <v>0</v>
      </c>
      <c r="BB944" s="31">
        <f t="shared" si="102"/>
        <v>0</v>
      </c>
      <c r="BC944" s="31">
        <f t="shared" si="105"/>
        <v>0</v>
      </c>
    </row>
    <row r="945" spans="1:55" ht="28.5" customHeight="1">
      <c r="A945" s="32"/>
      <c r="B945" s="32"/>
      <c r="C945" s="32"/>
      <c r="D945" s="40"/>
      <c r="E945" s="39" t="s">
        <v>49</v>
      </c>
      <c r="F945" s="39" t="s">
        <v>50</v>
      </c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  <c r="AA945" s="29"/>
      <c r="AB945" s="29"/>
      <c r="AC945" s="29"/>
      <c r="AD945" s="29"/>
      <c r="AE945" s="29"/>
      <c r="AJ945"/>
      <c r="AK945"/>
      <c r="AL945"/>
      <c r="AM945"/>
      <c r="AN945"/>
      <c r="AO945"/>
      <c r="AP945"/>
      <c r="AQ945"/>
      <c r="AR945"/>
      <c r="AS945"/>
      <c r="AT945" s="4" t="str">
        <f t="shared" si="103"/>
        <v>1.0倍人力基本养老保险</v>
      </c>
      <c r="AU945" s="4" t="str">
        <f t="shared" si="99"/>
        <v>汽车金融部</v>
      </c>
      <c r="AV945" s="4" t="str">
        <f t="shared" si="100"/>
        <v>人力费用</v>
      </c>
      <c r="AW945" s="4" t="str">
        <f>IFERROR(VLOOKUP(AV945,[1]字段!A:B,2,0),"")</f>
        <v>人力费用</v>
      </c>
      <c r="AX945" s="30" t="str">
        <f>IF(AW945="人力费用",IF(E945="","",VLOOKUP(E945,[1]字段!D:E,2,0)),AW945)</f>
        <v>1.0倍人力</v>
      </c>
      <c r="AY945" s="30" t="str">
        <f>IF(AT945="","",VLOOKUP(AT945,[1]字段!H:I,2,0))</f>
        <v>1.0倍人力</v>
      </c>
      <c r="AZ945" s="31">
        <f t="shared" si="104"/>
        <v>0</v>
      </c>
      <c r="BA945" s="31">
        <f t="shared" si="101"/>
        <v>0</v>
      </c>
      <c r="BB945" s="31">
        <f t="shared" si="102"/>
        <v>0</v>
      </c>
      <c r="BC945" s="31">
        <f t="shared" si="105"/>
        <v>0</v>
      </c>
    </row>
    <row r="946" spans="1:55" ht="28.5" customHeight="1">
      <c r="A946" s="32"/>
      <c r="B946" s="32"/>
      <c r="C946" s="32"/>
      <c r="D946" s="40"/>
      <c r="E946" s="39" t="s">
        <v>51</v>
      </c>
      <c r="F946" s="39" t="s">
        <v>52</v>
      </c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  <c r="AA946" s="29"/>
      <c r="AB946" s="29"/>
      <c r="AC946" s="29"/>
      <c r="AD946" s="29"/>
      <c r="AE946" s="29"/>
      <c r="AJ946"/>
      <c r="AK946"/>
      <c r="AL946"/>
      <c r="AM946"/>
      <c r="AN946"/>
      <c r="AO946"/>
      <c r="AP946"/>
      <c r="AQ946"/>
      <c r="AR946"/>
      <c r="AS946"/>
      <c r="AT946" s="4" t="str">
        <f t="shared" si="103"/>
        <v>1.0倍人力基本医疗保险</v>
      </c>
      <c r="AU946" s="4" t="str">
        <f t="shared" si="99"/>
        <v>汽车金融部</v>
      </c>
      <c r="AV946" s="4" t="str">
        <f t="shared" si="100"/>
        <v>人力费用</v>
      </c>
      <c r="AW946" s="4" t="str">
        <f>IFERROR(VLOOKUP(AV946,[1]字段!A:B,2,0),"")</f>
        <v>人力费用</v>
      </c>
      <c r="AX946" s="30" t="str">
        <f>IF(AW946="人力费用",IF(E946="","",VLOOKUP(E946,[1]字段!D:E,2,0)),AW946)</f>
        <v>1.0倍人力</v>
      </c>
      <c r="AY946" s="30" t="str">
        <f>IF(AT946="","",VLOOKUP(AT946,[1]字段!H:I,2,0))</f>
        <v>1.0倍人力</v>
      </c>
      <c r="AZ946" s="31">
        <f t="shared" si="104"/>
        <v>0</v>
      </c>
      <c r="BA946" s="31">
        <f t="shared" si="101"/>
        <v>0</v>
      </c>
      <c r="BB946" s="31">
        <f t="shared" si="102"/>
        <v>0</v>
      </c>
      <c r="BC946" s="31">
        <f t="shared" si="105"/>
        <v>0</v>
      </c>
    </row>
    <row r="947" spans="1:55" ht="28.5" customHeight="1">
      <c r="A947" s="32"/>
      <c r="B947" s="32"/>
      <c r="C947" s="32"/>
      <c r="D947" s="40"/>
      <c r="E947" s="39" t="s">
        <v>53</v>
      </c>
      <c r="F947" s="39" t="s">
        <v>54</v>
      </c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  <c r="AA947" s="29"/>
      <c r="AB947" s="29"/>
      <c r="AC947" s="29"/>
      <c r="AD947" s="29"/>
      <c r="AE947" s="29"/>
      <c r="AJ947"/>
      <c r="AK947"/>
      <c r="AL947"/>
      <c r="AM947"/>
      <c r="AN947"/>
      <c r="AO947"/>
      <c r="AP947"/>
      <c r="AQ947"/>
      <c r="AR947"/>
      <c r="AS947"/>
      <c r="AT947" s="4" t="str">
        <f t="shared" si="103"/>
        <v>1.0倍人力工伤保险</v>
      </c>
      <c r="AU947" s="4" t="str">
        <f t="shared" si="99"/>
        <v>汽车金融部</v>
      </c>
      <c r="AV947" s="4" t="str">
        <f t="shared" si="100"/>
        <v>人力费用</v>
      </c>
      <c r="AW947" s="4" t="str">
        <f>IFERROR(VLOOKUP(AV947,[1]字段!A:B,2,0),"")</f>
        <v>人力费用</v>
      </c>
      <c r="AX947" s="30" t="str">
        <f>IF(AW947="人力费用",IF(E947="","",VLOOKUP(E947,[1]字段!D:E,2,0)),AW947)</f>
        <v>1.0倍人力</v>
      </c>
      <c r="AY947" s="30" t="str">
        <f>IF(AT947="","",VLOOKUP(AT947,[1]字段!H:I,2,0))</f>
        <v>1.0倍人力</v>
      </c>
      <c r="AZ947" s="31">
        <f t="shared" si="104"/>
        <v>0</v>
      </c>
      <c r="BA947" s="31">
        <f t="shared" si="101"/>
        <v>0</v>
      </c>
      <c r="BB947" s="31">
        <f t="shared" si="102"/>
        <v>0</v>
      </c>
      <c r="BC947" s="31">
        <f t="shared" si="105"/>
        <v>0</v>
      </c>
    </row>
    <row r="948" spans="1:55" ht="28.5" customHeight="1">
      <c r="A948" s="32"/>
      <c r="B948" s="32"/>
      <c r="C948" s="32"/>
      <c r="D948" s="40"/>
      <c r="E948" s="39" t="s">
        <v>55</v>
      </c>
      <c r="F948" s="39" t="s">
        <v>56</v>
      </c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  <c r="AA948" s="29"/>
      <c r="AB948" s="29"/>
      <c r="AC948" s="29"/>
      <c r="AD948" s="29"/>
      <c r="AE948" s="29"/>
      <c r="AJ948"/>
      <c r="AK948"/>
      <c r="AL948"/>
      <c r="AM948"/>
      <c r="AN948"/>
      <c r="AO948"/>
      <c r="AP948"/>
      <c r="AQ948"/>
      <c r="AR948"/>
      <c r="AS948"/>
      <c r="AT948" s="4" t="str">
        <f t="shared" si="103"/>
        <v>1.0倍人力生育保险</v>
      </c>
      <c r="AU948" s="4" t="str">
        <f t="shared" si="99"/>
        <v>汽车金融部</v>
      </c>
      <c r="AV948" s="4" t="str">
        <f t="shared" si="100"/>
        <v>人力费用</v>
      </c>
      <c r="AW948" s="4" t="str">
        <f>IFERROR(VLOOKUP(AV948,[1]字段!A:B,2,0),"")</f>
        <v>人力费用</v>
      </c>
      <c r="AX948" s="30" t="str">
        <f>IF(AW948="人力费用",IF(E948="","",VLOOKUP(E948,[1]字段!D:E,2,0)),AW948)</f>
        <v>1.0倍人力</v>
      </c>
      <c r="AY948" s="30" t="str">
        <f>IF(AT948="","",VLOOKUP(AT948,[1]字段!H:I,2,0))</f>
        <v>1.0倍人力</v>
      </c>
      <c r="AZ948" s="31">
        <f t="shared" si="104"/>
        <v>0</v>
      </c>
      <c r="BA948" s="31">
        <f t="shared" si="101"/>
        <v>0</v>
      </c>
      <c r="BB948" s="31">
        <f t="shared" si="102"/>
        <v>0</v>
      </c>
      <c r="BC948" s="31">
        <f t="shared" si="105"/>
        <v>0</v>
      </c>
    </row>
    <row r="949" spans="1:55" ht="28.5" customHeight="1">
      <c r="A949" s="32"/>
      <c r="B949" s="32"/>
      <c r="C949" s="32"/>
      <c r="D949" s="40"/>
      <c r="E949" s="39" t="s">
        <v>57</v>
      </c>
      <c r="F949" s="39" t="s">
        <v>58</v>
      </c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  <c r="AA949" s="29"/>
      <c r="AB949" s="29"/>
      <c r="AC949" s="29"/>
      <c r="AD949" s="29"/>
      <c r="AE949" s="29"/>
      <c r="AJ949"/>
      <c r="AK949"/>
      <c r="AL949"/>
      <c r="AM949"/>
      <c r="AN949"/>
      <c r="AO949"/>
      <c r="AP949"/>
      <c r="AQ949"/>
      <c r="AR949"/>
      <c r="AS949"/>
      <c r="AT949" s="4" t="str">
        <f t="shared" si="103"/>
        <v>1.0倍人力失业保险</v>
      </c>
      <c r="AU949" s="4" t="str">
        <f t="shared" si="99"/>
        <v>汽车金融部</v>
      </c>
      <c r="AV949" s="4" t="str">
        <f t="shared" si="100"/>
        <v>人力费用</v>
      </c>
      <c r="AW949" s="4" t="str">
        <f>IFERROR(VLOOKUP(AV949,[1]字段!A:B,2,0),"")</f>
        <v>人力费用</v>
      </c>
      <c r="AX949" s="30" t="str">
        <f>IF(AW949="人力费用",IF(E949="","",VLOOKUP(E949,[1]字段!D:E,2,0)),AW949)</f>
        <v>1.0倍人力</v>
      </c>
      <c r="AY949" s="30" t="str">
        <f>IF(AT949="","",VLOOKUP(AT949,[1]字段!H:I,2,0))</f>
        <v>1.0倍人力</v>
      </c>
      <c r="AZ949" s="31">
        <f t="shared" si="104"/>
        <v>0</v>
      </c>
      <c r="BA949" s="31">
        <f t="shared" si="101"/>
        <v>0</v>
      </c>
      <c r="BB949" s="31">
        <f t="shared" si="102"/>
        <v>0</v>
      </c>
      <c r="BC949" s="31">
        <f t="shared" si="105"/>
        <v>0</v>
      </c>
    </row>
    <row r="950" spans="1:55" ht="28.5" customHeight="1">
      <c r="A950" s="32"/>
      <c r="B950" s="32"/>
      <c r="C950" s="41"/>
      <c r="D950" s="42"/>
      <c r="E950" s="39" t="s">
        <v>59</v>
      </c>
      <c r="F950" s="39" t="s">
        <v>60</v>
      </c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  <c r="AA950" s="29"/>
      <c r="AB950" s="29"/>
      <c r="AC950" s="29"/>
      <c r="AD950" s="29"/>
      <c r="AE950" s="29"/>
      <c r="AJ950"/>
      <c r="AK950"/>
      <c r="AL950"/>
      <c r="AM950"/>
      <c r="AN950"/>
      <c r="AO950"/>
      <c r="AP950"/>
      <c r="AQ950"/>
      <c r="AR950"/>
      <c r="AS950"/>
      <c r="AT950" s="4" t="str">
        <f t="shared" si="103"/>
        <v>1.0倍人力住房公积金</v>
      </c>
      <c r="AU950" s="4" t="str">
        <f t="shared" si="99"/>
        <v>汽车金融部</v>
      </c>
      <c r="AV950" s="4" t="str">
        <f t="shared" si="100"/>
        <v>人力费用</v>
      </c>
      <c r="AW950" s="4" t="str">
        <f>IFERROR(VLOOKUP(AV950,[1]字段!A:B,2,0),"")</f>
        <v>人力费用</v>
      </c>
      <c r="AX950" s="30" t="str">
        <f>IF(AW950="人力费用",IF(E950="","",VLOOKUP(E950,[1]字段!D:E,2,0)),AW950)</f>
        <v>1.0倍人力</v>
      </c>
      <c r="AY950" s="30" t="str">
        <f>IF(AT950="","",VLOOKUP(AT950,[1]字段!H:I,2,0))</f>
        <v>1.0倍人力</v>
      </c>
      <c r="AZ950" s="31">
        <f t="shared" si="104"/>
        <v>0</v>
      </c>
      <c r="BA950" s="31">
        <f t="shared" si="101"/>
        <v>0</v>
      </c>
      <c r="BB950" s="31">
        <f t="shared" si="102"/>
        <v>0</v>
      </c>
      <c r="BC950" s="31">
        <f t="shared" si="105"/>
        <v>0</v>
      </c>
    </row>
    <row r="951" spans="1:55" ht="28.5" customHeight="1">
      <c r="C951" s="33" t="s">
        <v>107</v>
      </c>
      <c r="D951" s="34" t="s">
        <v>108</v>
      </c>
      <c r="E951" s="35"/>
      <c r="F951" s="36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  <c r="AA951" s="29"/>
      <c r="AB951" s="29"/>
      <c r="AC951" s="29"/>
      <c r="AD951" s="29"/>
      <c r="AE951" s="29"/>
      <c r="AJ951"/>
      <c r="AK951"/>
      <c r="AL951"/>
      <c r="AM951"/>
      <c r="AN951"/>
      <c r="AO951"/>
      <c r="AP951"/>
      <c r="AQ951"/>
      <c r="AR951"/>
      <c r="AS951"/>
      <c r="AT951" s="4" t="str">
        <f t="shared" si="103"/>
        <v>营销费用</v>
      </c>
      <c r="AU951" s="4" t="str">
        <f t="shared" si="99"/>
        <v>汽车金融部</v>
      </c>
      <c r="AV951" s="4" t="str">
        <f t="shared" si="100"/>
        <v>营销费用</v>
      </c>
      <c r="AW951" s="4" t="str">
        <f>IFERROR(VLOOKUP(AV951,[1]字段!A:B,2,0),"")</f>
        <v>营销费用</v>
      </c>
      <c r="AX951" s="30" t="str">
        <f>IF(AW951="人力费用",IF(E951="","",VLOOKUP(E951,[1]字段!D:E,2,0)),AW951)</f>
        <v>营销费用</v>
      </c>
      <c r="AY951" s="30">
        <f>IF(AT951="","",VLOOKUP(AT951,[1]字段!H:I,2,0))</f>
        <v>0</v>
      </c>
      <c r="AZ951" s="31">
        <f t="shared" si="104"/>
        <v>0</v>
      </c>
      <c r="BA951" s="31">
        <f t="shared" si="101"/>
        <v>0</v>
      </c>
      <c r="BB951" s="31">
        <f t="shared" si="102"/>
        <v>0</v>
      </c>
      <c r="BC951" s="31">
        <f t="shared" si="105"/>
        <v>0</v>
      </c>
    </row>
    <row r="952" spans="1:55" ht="28.5" customHeight="1">
      <c r="A952" s="32"/>
      <c r="B952" s="32"/>
      <c r="C952" s="37"/>
      <c r="D952" s="38"/>
      <c r="E952" s="39" t="s">
        <v>109</v>
      </c>
      <c r="F952" s="39" t="s">
        <v>110</v>
      </c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  <c r="AA952" s="29"/>
      <c r="AB952" s="29"/>
      <c r="AC952" s="29"/>
      <c r="AD952" s="29"/>
      <c r="AE952" s="29"/>
      <c r="AJ952"/>
      <c r="AK952"/>
      <c r="AL952"/>
      <c r="AM952"/>
      <c r="AN952"/>
      <c r="AO952"/>
      <c r="AP952"/>
      <c r="AQ952"/>
      <c r="AR952"/>
      <c r="AS952"/>
      <c r="AT952" s="4" t="str">
        <f t="shared" si="103"/>
        <v>营销费用广告费</v>
      </c>
      <c r="AU952" s="4" t="str">
        <f t="shared" si="99"/>
        <v>汽车金融部</v>
      </c>
      <c r="AV952" s="4" t="str">
        <f t="shared" si="100"/>
        <v>营销费用</v>
      </c>
      <c r="AW952" s="4" t="str">
        <f>IFERROR(VLOOKUP(AV952,[1]字段!A:B,2,0),"")</f>
        <v>营销费用</v>
      </c>
      <c r="AX952" s="30" t="str">
        <f>IF(AW952="人力费用",IF(E952="","",VLOOKUP(E952,[1]字段!D:E,2,0)),AW952)</f>
        <v>营销费用</v>
      </c>
      <c r="AY952" s="30" t="str">
        <f>IF(AT952="","",VLOOKUP(AT952,[1]字段!H:I,2,0))</f>
        <v>营销费用</v>
      </c>
      <c r="AZ952" s="31">
        <f t="shared" si="104"/>
        <v>0</v>
      </c>
      <c r="BA952" s="31">
        <f t="shared" si="101"/>
        <v>0</v>
      </c>
      <c r="BB952" s="31">
        <f t="shared" si="102"/>
        <v>0</v>
      </c>
      <c r="BC952" s="31">
        <f t="shared" si="105"/>
        <v>0</v>
      </c>
    </row>
    <row r="953" spans="1:55" ht="28.5" customHeight="1">
      <c r="A953" s="32"/>
      <c r="B953" s="32"/>
      <c r="C953" s="32"/>
      <c r="D953" s="40"/>
      <c r="E953" s="39" t="s">
        <v>181</v>
      </c>
      <c r="F953" s="39" t="s">
        <v>182</v>
      </c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  <c r="AA953" s="29"/>
      <c r="AB953" s="29"/>
      <c r="AC953" s="29"/>
      <c r="AD953" s="29"/>
      <c r="AE953" s="29"/>
      <c r="AJ953"/>
      <c r="AK953"/>
      <c r="AL953"/>
      <c r="AM953"/>
      <c r="AN953"/>
      <c r="AO953"/>
      <c r="AP953"/>
      <c r="AQ953"/>
      <c r="AR953"/>
      <c r="AS953"/>
      <c r="AT953" s="4" t="str">
        <f t="shared" si="103"/>
        <v>营销费用短信费</v>
      </c>
      <c r="AU953" s="4" t="str">
        <f t="shared" si="99"/>
        <v>汽车金融部</v>
      </c>
      <c r="AV953" s="4" t="str">
        <f t="shared" si="100"/>
        <v>营销费用</v>
      </c>
      <c r="AW953" s="4" t="str">
        <f>IFERROR(VLOOKUP(AV953,[1]字段!A:B,2,0),"")</f>
        <v>营销费用</v>
      </c>
      <c r="AX953" s="30" t="str">
        <f>IF(AW953="人力费用",IF(E953="","",VLOOKUP(E953,[1]字段!D:E,2,0)),AW953)</f>
        <v>营销费用</v>
      </c>
      <c r="AY953" s="30" t="str">
        <f>IF(AT953="","",VLOOKUP(AT953,[1]字段!H:I,2,0))</f>
        <v>营销费用</v>
      </c>
      <c r="AZ953" s="31">
        <f t="shared" si="104"/>
        <v>0</v>
      </c>
      <c r="BA953" s="31">
        <f t="shared" si="101"/>
        <v>0</v>
      </c>
      <c r="BB953" s="31">
        <f t="shared" si="102"/>
        <v>0</v>
      </c>
      <c r="BC953" s="31">
        <f t="shared" si="105"/>
        <v>0</v>
      </c>
    </row>
    <row r="954" spans="1:55" ht="28.5" customHeight="1">
      <c r="A954" s="32"/>
      <c r="B954" s="32"/>
      <c r="C954" s="41"/>
      <c r="D954" s="42"/>
      <c r="E954" s="39" t="s">
        <v>104</v>
      </c>
      <c r="F954" s="39" t="s">
        <v>105</v>
      </c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  <c r="AA954" s="29"/>
      <c r="AB954" s="29"/>
      <c r="AC954" s="29"/>
      <c r="AD954" s="29"/>
      <c r="AE954" s="29"/>
      <c r="AJ954"/>
      <c r="AK954"/>
      <c r="AL954"/>
      <c r="AM954"/>
      <c r="AN954"/>
      <c r="AO954"/>
      <c r="AP954"/>
      <c r="AQ954"/>
      <c r="AR954"/>
      <c r="AS954"/>
      <c r="AT954" s="4" t="str">
        <f t="shared" si="103"/>
        <v>营销费用会议费</v>
      </c>
      <c r="AU954" s="4" t="str">
        <f t="shared" si="99"/>
        <v>汽车金融部</v>
      </c>
      <c r="AV954" s="4" t="str">
        <f t="shared" si="100"/>
        <v>营销费用</v>
      </c>
      <c r="AW954" s="4" t="str">
        <f>IFERROR(VLOOKUP(AV954,[1]字段!A:B,2,0),"")</f>
        <v>营销费用</v>
      </c>
      <c r="AX954" s="30" t="str">
        <f>IF(AW954="人力费用",IF(E954="","",VLOOKUP(E954,[1]字段!D:E,2,0)),AW954)</f>
        <v>营销费用</v>
      </c>
      <c r="AY954" s="30" t="str">
        <f>IF(AT954="","",VLOOKUP(AT954,[1]字段!H:I,2,0))</f>
        <v>营销费用</v>
      </c>
      <c r="AZ954" s="31">
        <f t="shared" si="104"/>
        <v>0</v>
      </c>
      <c r="BA954" s="31">
        <f t="shared" si="101"/>
        <v>0</v>
      </c>
      <c r="BB954" s="31">
        <f t="shared" si="102"/>
        <v>0</v>
      </c>
      <c r="BC954" s="31">
        <f t="shared" si="105"/>
        <v>0</v>
      </c>
    </row>
    <row r="955" spans="1:55" ht="28.5" customHeight="1">
      <c r="C955" s="33" t="s">
        <v>162</v>
      </c>
      <c r="D955" s="34" t="s">
        <v>163</v>
      </c>
      <c r="E955" s="35"/>
      <c r="F955" s="36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  <c r="AA955" s="29"/>
      <c r="AB955" s="29"/>
      <c r="AC955" s="29"/>
      <c r="AD955" s="29"/>
      <c r="AE955" s="29"/>
      <c r="AJ955"/>
      <c r="AK955"/>
      <c r="AL955"/>
      <c r="AM955"/>
      <c r="AN955"/>
      <c r="AO955"/>
      <c r="AP955"/>
      <c r="AQ955"/>
      <c r="AR955"/>
      <c r="AS955"/>
      <c r="AT955" s="4" t="str">
        <f t="shared" si="103"/>
        <v>运营费用</v>
      </c>
      <c r="AU955" s="4" t="str">
        <f t="shared" si="99"/>
        <v>汽车金融部</v>
      </c>
      <c r="AV955" s="4" t="str">
        <f t="shared" si="100"/>
        <v>运营费用</v>
      </c>
      <c r="AW955" s="4" t="str">
        <f>IFERROR(VLOOKUP(AV955,[1]字段!A:B,2,0),"")</f>
        <v>运营费用</v>
      </c>
      <c r="AX955" s="30" t="str">
        <f>IF(AW955="人力费用",IF(E955="","",VLOOKUP(E955,[1]字段!D:E,2,0)),AW955)</f>
        <v>运营费用</v>
      </c>
      <c r="AY955" s="30">
        <f>IF(AT955="","",VLOOKUP(AT955,[1]字段!H:I,2,0))</f>
        <v>0</v>
      </c>
      <c r="AZ955" s="31">
        <f t="shared" si="104"/>
        <v>0</v>
      </c>
      <c r="BA955" s="31">
        <f t="shared" si="101"/>
        <v>0</v>
      </c>
      <c r="BB955" s="31">
        <f t="shared" si="102"/>
        <v>0</v>
      </c>
      <c r="BC955" s="31">
        <f t="shared" si="105"/>
        <v>0</v>
      </c>
    </row>
    <row r="956" spans="1:55" ht="28.5" customHeight="1">
      <c r="A956" s="32"/>
      <c r="B956" s="32"/>
      <c r="C956" s="37"/>
      <c r="D956" s="38"/>
      <c r="E956" s="39" t="s">
        <v>181</v>
      </c>
      <c r="F956" s="39" t="s">
        <v>182</v>
      </c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  <c r="AA956" s="29"/>
      <c r="AB956" s="29"/>
      <c r="AC956" s="29"/>
      <c r="AD956" s="29"/>
      <c r="AE956" s="29"/>
      <c r="AJ956"/>
      <c r="AK956"/>
      <c r="AL956"/>
      <c r="AM956"/>
      <c r="AN956"/>
      <c r="AO956"/>
      <c r="AP956"/>
      <c r="AQ956"/>
      <c r="AR956"/>
      <c r="AS956"/>
      <c r="AT956" s="4" t="str">
        <f t="shared" si="103"/>
        <v>运营费用短信费</v>
      </c>
      <c r="AU956" s="4" t="str">
        <f t="shared" si="99"/>
        <v>汽车金融部</v>
      </c>
      <c r="AV956" s="4" t="str">
        <f t="shared" si="100"/>
        <v>运营费用</v>
      </c>
      <c r="AW956" s="4" t="str">
        <f>IFERROR(VLOOKUP(AV956,[1]字段!A:B,2,0),"")</f>
        <v>运营费用</v>
      </c>
      <c r="AX956" s="30" t="str">
        <f>IF(AW956="人力费用",IF(E956="","",VLOOKUP(E956,[1]字段!D:E,2,0)),AW956)</f>
        <v>运营费用</v>
      </c>
      <c r="AY956" s="30" t="str">
        <f>IF(AT956="","",VLOOKUP(AT956,[1]字段!H:I,2,0))</f>
        <v>运营费用-短信费</v>
      </c>
      <c r="AZ956" s="31">
        <f t="shared" si="104"/>
        <v>0</v>
      </c>
      <c r="BA956" s="31">
        <f t="shared" si="101"/>
        <v>0</v>
      </c>
      <c r="BB956" s="31">
        <f t="shared" si="102"/>
        <v>0</v>
      </c>
      <c r="BC956" s="31">
        <f t="shared" si="105"/>
        <v>0</v>
      </c>
    </row>
    <row r="957" spans="1:55" ht="28.5" customHeight="1">
      <c r="A957" s="32"/>
      <c r="B957" s="32"/>
      <c r="C957" s="32"/>
      <c r="D957" s="40"/>
      <c r="E957" s="39" t="s">
        <v>91</v>
      </c>
      <c r="F957" s="39" t="s">
        <v>92</v>
      </c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  <c r="AA957" s="29"/>
      <c r="AB957" s="29"/>
      <c r="AC957" s="29"/>
      <c r="AD957" s="29"/>
      <c r="AE957" s="29"/>
      <c r="AJ957"/>
      <c r="AK957"/>
      <c r="AL957"/>
      <c r="AM957"/>
      <c r="AN957"/>
      <c r="AO957"/>
      <c r="AP957"/>
      <c r="AQ957"/>
      <c r="AR957"/>
      <c r="AS957"/>
      <c r="AT957" s="4" t="str">
        <f t="shared" si="103"/>
        <v>运营费用办公费用</v>
      </c>
      <c r="AU957" s="4" t="str">
        <f t="shared" si="99"/>
        <v>汽车金融部</v>
      </c>
      <c r="AV957" s="4" t="str">
        <f t="shared" si="100"/>
        <v>运营费用</v>
      </c>
      <c r="AW957" s="4" t="str">
        <f>IFERROR(VLOOKUP(AV957,[1]字段!A:B,2,0),"")</f>
        <v>运营费用</v>
      </c>
      <c r="AX957" s="30" t="str">
        <f>IF(AW957="人力费用",IF(E957="","",VLOOKUP(E957,[1]字段!D:E,2,0)),AW957)</f>
        <v>运营费用</v>
      </c>
      <c r="AY957" s="30" t="str">
        <f>IF(AT957="","",VLOOKUP(AT957,[1]字段!H:I,2,0))</f>
        <v>运营费用-运营其他</v>
      </c>
      <c r="AZ957" s="31">
        <f t="shared" si="104"/>
        <v>0</v>
      </c>
      <c r="BA957" s="31">
        <f t="shared" si="101"/>
        <v>0</v>
      </c>
      <c r="BB957" s="31">
        <f t="shared" si="102"/>
        <v>0</v>
      </c>
      <c r="BC957" s="31">
        <f t="shared" si="105"/>
        <v>0</v>
      </c>
    </row>
    <row r="958" spans="1:55" ht="28.5" customHeight="1">
      <c r="A958" s="32"/>
      <c r="B958" s="32"/>
      <c r="C958" s="41"/>
      <c r="D958" s="42"/>
      <c r="E958" s="39" t="s">
        <v>83</v>
      </c>
      <c r="F958" s="39" t="s">
        <v>84</v>
      </c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  <c r="AA958" s="29"/>
      <c r="AB958" s="29"/>
      <c r="AC958" s="29"/>
      <c r="AD958" s="29"/>
      <c r="AE958" s="29"/>
      <c r="AJ958"/>
      <c r="AK958"/>
      <c r="AL958"/>
      <c r="AM958"/>
      <c r="AN958"/>
      <c r="AO958"/>
      <c r="AP958"/>
      <c r="AQ958"/>
      <c r="AR958"/>
      <c r="AS958"/>
      <c r="AT958" s="4" t="str">
        <f t="shared" si="103"/>
        <v>运营费用其他外包服务费</v>
      </c>
      <c r="AU958" s="4" t="str">
        <f t="shared" si="99"/>
        <v>汽车金融部</v>
      </c>
      <c r="AV958" s="4" t="str">
        <f t="shared" si="100"/>
        <v>运营费用</v>
      </c>
      <c r="AW958" s="4" t="str">
        <f>IFERROR(VLOOKUP(AV958,[1]字段!A:B,2,0),"")</f>
        <v>运营费用</v>
      </c>
      <c r="AX958" s="30" t="str">
        <f>IF(AW958="人力费用",IF(E958="","",VLOOKUP(E958,[1]字段!D:E,2,0)),AW958)</f>
        <v>运营费用</v>
      </c>
      <c r="AY958" s="30" t="str">
        <f>IF(AT958="","",VLOOKUP(AT958,[1]字段!H:I,2,0))</f>
        <v>运营费用-外包服务费</v>
      </c>
      <c r="AZ958" s="31">
        <f t="shared" si="104"/>
        <v>0</v>
      </c>
      <c r="BA958" s="31">
        <f t="shared" si="101"/>
        <v>0</v>
      </c>
      <c r="BB958" s="31">
        <f t="shared" si="102"/>
        <v>0</v>
      </c>
      <c r="BC958" s="31">
        <f t="shared" si="105"/>
        <v>0</v>
      </c>
    </row>
    <row r="959" spans="1:55" ht="28.5" customHeight="1">
      <c r="C959" s="33" t="s">
        <v>65</v>
      </c>
      <c r="D959" s="34" t="s">
        <v>66</v>
      </c>
      <c r="E959" s="35"/>
      <c r="F959" s="36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  <c r="AA959" s="29"/>
      <c r="AB959" s="29"/>
      <c r="AC959" s="29"/>
      <c r="AD959" s="29"/>
      <c r="AE959" s="29"/>
      <c r="AJ959"/>
      <c r="AK959"/>
      <c r="AL959"/>
      <c r="AM959"/>
      <c r="AN959"/>
      <c r="AO959"/>
      <c r="AP959"/>
      <c r="AQ959"/>
      <c r="AR959"/>
      <c r="AS959"/>
      <c r="AT959" s="4" t="str">
        <f t="shared" si="103"/>
        <v>IT费用</v>
      </c>
      <c r="AU959" s="4" t="str">
        <f t="shared" si="99"/>
        <v>汽车金融部</v>
      </c>
      <c r="AV959" s="4" t="str">
        <f t="shared" si="100"/>
        <v>IT科技费用</v>
      </c>
      <c r="AW959" s="4" t="str">
        <f>IFERROR(VLOOKUP(AV959,[1]字段!A:B,2,0),"")</f>
        <v>IT费用</v>
      </c>
      <c r="AX959" s="30" t="str">
        <f>IF(AW959="人力费用",IF(E959="","",VLOOKUP(E959,[1]字段!D:E,2,0)),AW959)</f>
        <v>IT费用</v>
      </c>
      <c r="AY959" s="30">
        <f>IF(AT959="","",VLOOKUP(AT959,[1]字段!H:I,2,0))</f>
        <v>0</v>
      </c>
      <c r="AZ959" s="31">
        <f t="shared" si="104"/>
        <v>0</v>
      </c>
      <c r="BA959" s="31">
        <f t="shared" si="101"/>
        <v>0</v>
      </c>
      <c r="BB959" s="31">
        <f t="shared" si="102"/>
        <v>0</v>
      </c>
      <c r="BC959" s="31">
        <f t="shared" si="105"/>
        <v>0</v>
      </c>
    </row>
    <row r="960" spans="1:55" ht="28.5" customHeight="1">
      <c r="A960" s="32"/>
      <c r="B960" s="32"/>
      <c r="C960" s="43"/>
      <c r="D960" s="43"/>
      <c r="E960" s="39" t="s">
        <v>71</v>
      </c>
      <c r="F960" s="39" t="s">
        <v>72</v>
      </c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  <c r="AA960" s="29"/>
      <c r="AB960" s="29"/>
      <c r="AC960" s="29"/>
      <c r="AD960" s="29"/>
      <c r="AE960" s="29"/>
      <c r="AJ960"/>
      <c r="AK960"/>
      <c r="AL960"/>
      <c r="AM960"/>
      <c r="AN960"/>
      <c r="AO960"/>
      <c r="AP960"/>
      <c r="AQ960"/>
      <c r="AR960"/>
      <c r="AS960"/>
      <c r="AT960" s="4" t="str">
        <f t="shared" si="103"/>
        <v>IT费用办公IT设备折旧费</v>
      </c>
      <c r="AU960" s="4" t="str">
        <f t="shared" si="99"/>
        <v>汽车金融部</v>
      </c>
      <c r="AV960" s="4" t="str">
        <f t="shared" si="100"/>
        <v>IT科技费用</v>
      </c>
      <c r="AW960" s="4" t="str">
        <f>IFERROR(VLOOKUP(AV960,[1]字段!A:B,2,0),"")</f>
        <v>IT费用</v>
      </c>
      <c r="AX960" s="30" t="str">
        <f>IF(AW960="人力费用",IF(E960="","",VLOOKUP(E960,[1]字段!D:E,2,0)),AW960)</f>
        <v>IT费用</v>
      </c>
      <c r="AY960" s="30" t="str">
        <f>IF(AT960="","",VLOOKUP(AT960,[1]字段!H:I,2,0))</f>
        <v>IT费用</v>
      </c>
      <c r="AZ960" s="31">
        <f t="shared" si="104"/>
        <v>0</v>
      </c>
      <c r="BA960" s="31">
        <f t="shared" si="101"/>
        <v>0</v>
      </c>
      <c r="BB960" s="31">
        <f t="shared" si="102"/>
        <v>0</v>
      </c>
      <c r="BC960" s="31">
        <f t="shared" si="105"/>
        <v>0</v>
      </c>
    </row>
    <row r="961" spans="1:55" ht="28.5" customHeight="1">
      <c r="C961" s="33" t="s">
        <v>93</v>
      </c>
      <c r="D961" s="34" t="s">
        <v>94</v>
      </c>
      <c r="E961" s="35"/>
      <c r="F961" s="36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  <c r="AA961" s="29"/>
      <c r="AB961" s="29"/>
      <c r="AC961" s="29"/>
      <c r="AD961" s="29"/>
      <c r="AE961" s="29"/>
      <c r="AJ961"/>
      <c r="AK961"/>
      <c r="AL961"/>
      <c r="AM961"/>
      <c r="AN961"/>
      <c r="AO961"/>
      <c r="AP961"/>
      <c r="AQ961"/>
      <c r="AR961"/>
      <c r="AS961"/>
      <c r="AT961" s="4" t="str">
        <f t="shared" si="103"/>
        <v>日常费用</v>
      </c>
      <c r="AU961" s="4" t="str">
        <f t="shared" si="99"/>
        <v>汽车金融部</v>
      </c>
      <c r="AV961" s="4" t="str">
        <f t="shared" si="100"/>
        <v>日常费用</v>
      </c>
      <c r="AW961" s="4" t="str">
        <f>IFERROR(VLOOKUP(AV961,[1]字段!A:B,2,0),"")</f>
        <v>日常费用</v>
      </c>
      <c r="AX961" s="30" t="str">
        <f>IF(AW961="人力费用",IF(E961="","",VLOOKUP(E961,[1]字段!D:E,2,0)),AW961)</f>
        <v>日常费用</v>
      </c>
      <c r="AY961" s="30">
        <f>IF(AT961="","",VLOOKUP(AT961,[1]字段!H:I,2,0))</f>
        <v>0</v>
      </c>
      <c r="AZ961" s="31">
        <f t="shared" si="104"/>
        <v>0</v>
      </c>
      <c r="BA961" s="31">
        <f t="shared" si="101"/>
        <v>0</v>
      </c>
      <c r="BB961" s="31">
        <f t="shared" si="102"/>
        <v>0</v>
      </c>
      <c r="BC961" s="31">
        <f t="shared" si="105"/>
        <v>0</v>
      </c>
    </row>
    <row r="962" spans="1:55" ht="28.5" customHeight="1">
      <c r="A962" s="32"/>
      <c r="B962" s="32"/>
      <c r="C962" s="37"/>
      <c r="D962" s="38"/>
      <c r="E962" s="39" t="s">
        <v>91</v>
      </c>
      <c r="F962" s="39" t="s">
        <v>92</v>
      </c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  <c r="AA962" s="29"/>
      <c r="AB962" s="29"/>
      <c r="AC962" s="29"/>
      <c r="AD962" s="29"/>
      <c r="AE962" s="29"/>
      <c r="AJ962"/>
      <c r="AK962"/>
      <c r="AL962"/>
      <c r="AM962"/>
      <c r="AN962"/>
      <c r="AO962"/>
      <c r="AP962"/>
      <c r="AQ962"/>
      <c r="AR962"/>
      <c r="AS962"/>
      <c r="AT962" s="4" t="str">
        <f t="shared" si="103"/>
        <v>日常费用办公费用</v>
      </c>
      <c r="AU962" s="4" t="str">
        <f t="shared" si="99"/>
        <v>汽车金融部</v>
      </c>
      <c r="AV962" s="4" t="str">
        <f t="shared" si="100"/>
        <v>日常费用</v>
      </c>
      <c r="AW962" s="4" t="str">
        <f>IFERROR(VLOOKUP(AV962,[1]字段!A:B,2,0),"")</f>
        <v>日常费用</v>
      </c>
      <c r="AX962" s="30" t="str">
        <f>IF(AW962="人力费用",IF(E962="","",VLOOKUP(E962,[1]字段!D:E,2,0)),AW962)</f>
        <v>日常费用</v>
      </c>
      <c r="AY962" s="30" t="str">
        <f>IF(AT962="","",VLOOKUP(AT962,[1]字段!H:I,2,0))</f>
        <v>日常费用-其他</v>
      </c>
      <c r="AZ962" s="31">
        <f t="shared" si="104"/>
        <v>0</v>
      </c>
      <c r="BA962" s="31">
        <f t="shared" si="101"/>
        <v>0</v>
      </c>
      <c r="BB962" s="31">
        <f t="shared" si="102"/>
        <v>0</v>
      </c>
      <c r="BC962" s="31">
        <f t="shared" si="105"/>
        <v>0</v>
      </c>
    </row>
    <row r="963" spans="1:55" ht="28.5" customHeight="1">
      <c r="A963" s="32"/>
      <c r="B963" s="32"/>
      <c r="C963" s="32"/>
      <c r="D963" s="40"/>
      <c r="E963" s="39" t="s">
        <v>95</v>
      </c>
      <c r="F963" s="39" t="s">
        <v>96</v>
      </c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  <c r="AA963" s="29"/>
      <c r="AB963" s="29"/>
      <c r="AC963" s="29"/>
      <c r="AD963" s="29"/>
      <c r="AE963" s="29"/>
      <c r="AJ963"/>
      <c r="AK963"/>
      <c r="AL963"/>
      <c r="AM963"/>
      <c r="AN963"/>
      <c r="AO963"/>
      <c r="AP963"/>
      <c r="AQ963"/>
      <c r="AR963"/>
      <c r="AS963"/>
      <c r="AT963" s="4" t="str">
        <f t="shared" si="103"/>
        <v>日常费用业务招待费</v>
      </c>
      <c r="AU963" s="4" t="str">
        <f t="shared" si="99"/>
        <v>汽车金融部</v>
      </c>
      <c r="AV963" s="4" t="str">
        <f t="shared" si="100"/>
        <v>日常费用</v>
      </c>
      <c r="AW963" s="4" t="str">
        <f>IFERROR(VLOOKUP(AV963,[1]字段!A:B,2,0),"")</f>
        <v>日常费用</v>
      </c>
      <c r="AX963" s="30" t="str">
        <f>IF(AW963="人力费用",IF(E963="","",VLOOKUP(E963,[1]字段!D:E,2,0)),AW963)</f>
        <v>日常费用</v>
      </c>
      <c r="AY963" s="30" t="str">
        <f>IF(AT963="","",VLOOKUP(AT963,[1]字段!H:I,2,0))</f>
        <v>日常费用-其他</v>
      </c>
      <c r="AZ963" s="31">
        <f t="shared" si="104"/>
        <v>0</v>
      </c>
      <c r="BA963" s="31">
        <f t="shared" si="101"/>
        <v>0</v>
      </c>
      <c r="BB963" s="31">
        <f t="shared" si="102"/>
        <v>0</v>
      </c>
      <c r="BC963" s="31">
        <f t="shared" si="105"/>
        <v>0</v>
      </c>
    </row>
    <row r="964" spans="1:55" ht="28.5" customHeight="1">
      <c r="A964" s="32"/>
      <c r="B964" s="32"/>
      <c r="C964" s="32"/>
      <c r="D964" s="40"/>
      <c r="E964" s="39" t="s">
        <v>139</v>
      </c>
      <c r="F964" s="39" t="s">
        <v>140</v>
      </c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  <c r="AA964" s="29"/>
      <c r="AB964" s="29"/>
      <c r="AC964" s="29"/>
      <c r="AD964" s="29"/>
      <c r="AE964" s="29"/>
      <c r="AJ964"/>
      <c r="AK964"/>
      <c r="AL964"/>
      <c r="AM964"/>
      <c r="AN964"/>
      <c r="AO964"/>
      <c r="AP964"/>
      <c r="AQ964"/>
      <c r="AR964"/>
      <c r="AS964"/>
      <c r="AT964" s="4" t="str">
        <f t="shared" si="103"/>
        <v>日常费用差旅费</v>
      </c>
      <c r="AU964" s="4" t="str">
        <f t="shared" si="99"/>
        <v>汽车金融部</v>
      </c>
      <c r="AV964" s="4" t="str">
        <f t="shared" si="100"/>
        <v>日常费用</v>
      </c>
      <c r="AW964" s="4" t="str">
        <f>IFERROR(VLOOKUP(AV964,[1]字段!A:B,2,0),"")</f>
        <v>日常费用</v>
      </c>
      <c r="AX964" s="30" t="str">
        <f>IF(AW964="人力费用",IF(E964="","",VLOOKUP(E964,[1]字段!D:E,2,0)),AW964)</f>
        <v>日常费用</v>
      </c>
      <c r="AY964" s="30" t="str">
        <f>IF(AT964="","",VLOOKUP(AT964,[1]字段!H:I,2,0))</f>
        <v>日常费用-其他</v>
      </c>
      <c r="AZ964" s="31">
        <f t="shared" si="104"/>
        <v>0</v>
      </c>
      <c r="BA964" s="31">
        <f t="shared" si="101"/>
        <v>0</v>
      </c>
      <c r="BB964" s="31">
        <f t="shared" si="102"/>
        <v>0</v>
      </c>
      <c r="BC964" s="31">
        <f t="shared" si="105"/>
        <v>0</v>
      </c>
    </row>
    <row r="965" spans="1:55" ht="28.5" customHeight="1">
      <c r="A965" s="41"/>
      <c r="B965" s="41"/>
      <c r="C965" s="41"/>
      <c r="D965" s="42"/>
      <c r="E965" s="39" t="s">
        <v>104</v>
      </c>
      <c r="F965" s="39" t="s">
        <v>105</v>
      </c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  <c r="AA965" s="29"/>
      <c r="AB965" s="29"/>
      <c r="AC965" s="29"/>
      <c r="AD965" s="29"/>
      <c r="AE965" s="29"/>
      <c r="AJ965"/>
      <c r="AK965"/>
      <c r="AL965"/>
      <c r="AM965"/>
      <c r="AN965"/>
      <c r="AO965"/>
      <c r="AP965"/>
      <c r="AQ965"/>
      <c r="AR965"/>
      <c r="AS965"/>
      <c r="AT965" s="4" t="str">
        <f t="shared" si="103"/>
        <v>日常费用会议费</v>
      </c>
      <c r="AU965" s="4" t="str">
        <f t="shared" ref="AU965:AU1028" si="106">IF(B965="",AU964,B965)</f>
        <v>汽车金融部</v>
      </c>
      <c r="AV965" s="4" t="str">
        <f t="shared" ref="AV965:AV1028" si="107">IF(B965&lt;&gt;"","",IF(D965="",AV964,D965))</f>
        <v>日常费用</v>
      </c>
      <c r="AW965" s="4" t="str">
        <f>IFERROR(VLOOKUP(AV965,[1]字段!A:B,2,0),"")</f>
        <v>日常费用</v>
      </c>
      <c r="AX965" s="30" t="str">
        <f>IF(AW965="人力费用",IF(E965="","",VLOOKUP(E965,[1]字段!D:E,2,0)),AW965)</f>
        <v>日常费用</v>
      </c>
      <c r="AY965" s="30" t="str">
        <f>IF(AT965="","",VLOOKUP(AT965,[1]字段!H:I,2,0))</f>
        <v>日常费用-其他</v>
      </c>
      <c r="AZ965" s="31">
        <f t="shared" si="104"/>
        <v>0</v>
      </c>
      <c r="BA965" s="31">
        <f t="shared" ref="BA965:BA1028" si="108">IF($E965="",0,SUMIF($G$1:$AE$1,BA$4,$G965:$AE965))</f>
        <v>0</v>
      </c>
      <c r="BB965" s="31">
        <f t="shared" ref="BB965:BB1028" si="109">AZ965+BA965</f>
        <v>0</v>
      </c>
      <c r="BC965" s="31">
        <f t="shared" si="105"/>
        <v>0</v>
      </c>
    </row>
    <row r="966" spans="1:55" ht="28.5" customHeight="1">
      <c r="A966" s="25"/>
      <c r="B966" s="26" t="s">
        <v>203</v>
      </c>
      <c r="C966" s="27"/>
      <c r="D966" s="27"/>
      <c r="E966" s="27"/>
      <c r="F966" s="28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  <c r="AA966" s="29"/>
      <c r="AB966" s="29"/>
      <c r="AC966" s="29"/>
      <c r="AD966" s="29"/>
      <c r="AE966" s="29"/>
      <c r="AJ966"/>
      <c r="AK966"/>
      <c r="AL966"/>
      <c r="AM966"/>
      <c r="AN966"/>
      <c r="AO966"/>
      <c r="AP966"/>
      <c r="AQ966"/>
      <c r="AR966"/>
      <c r="AS966"/>
      <c r="AT966" s="4" t="str">
        <f t="shared" ref="AT966:AT1029" si="110">AX966&amp;F966</f>
        <v/>
      </c>
      <c r="AU966" s="4" t="str">
        <f t="shared" si="106"/>
        <v>财富及养老金融部</v>
      </c>
      <c r="AV966" s="4" t="str">
        <f t="shared" si="107"/>
        <v/>
      </c>
      <c r="AW966" s="4" t="str">
        <f>IFERROR(VLOOKUP(AV966,[1]字段!A:B,2,0),"")</f>
        <v/>
      </c>
      <c r="AX966" s="30" t="str">
        <f>IF(AW966="人力费用",IF(E966="","",VLOOKUP(E966,[1]字段!D:E,2,0)),AW966)</f>
        <v/>
      </c>
      <c r="AY966" s="30" t="str">
        <f>IF(AT966="","",VLOOKUP(AT966,[1]字段!H:I,2,0))</f>
        <v/>
      </c>
      <c r="AZ966" s="31">
        <f t="shared" ref="AZ966:AZ1029" si="111">IF($E966="",0,SUMIF($G$1:$AB$1,AZ$4,$G966:$AB966))</f>
        <v>0</v>
      </c>
      <c r="BA966" s="31">
        <f t="shared" si="108"/>
        <v>0</v>
      </c>
      <c r="BB966" s="31">
        <f t="shared" si="109"/>
        <v>0</v>
      </c>
      <c r="BC966" s="31">
        <f t="shared" ref="BC966:BC1029" si="112">IF(E966="",0,SUM(G966:AE966)-AZ966-BA966)</f>
        <v>0</v>
      </c>
    </row>
    <row r="967" spans="1:55" ht="28.5" customHeight="1">
      <c r="A967" s="32"/>
      <c r="B967" s="32"/>
      <c r="C967" s="33" t="s">
        <v>39</v>
      </c>
      <c r="D967" s="34" t="s">
        <v>40</v>
      </c>
      <c r="E967" s="35"/>
      <c r="F967" s="36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  <c r="AA967" s="29"/>
      <c r="AB967" s="29"/>
      <c r="AC967" s="29"/>
      <c r="AD967" s="29"/>
      <c r="AE967" s="29"/>
      <c r="AJ967"/>
      <c r="AK967"/>
      <c r="AL967"/>
      <c r="AM967"/>
      <c r="AN967"/>
      <c r="AO967"/>
      <c r="AP967"/>
      <c r="AQ967"/>
      <c r="AR967"/>
      <c r="AS967"/>
      <c r="AT967" s="4" t="str">
        <f t="shared" si="110"/>
        <v/>
      </c>
      <c r="AU967" s="4" t="str">
        <f t="shared" si="106"/>
        <v>财富及养老金融部</v>
      </c>
      <c r="AV967" s="4" t="str">
        <f t="shared" si="107"/>
        <v>人力费用</v>
      </c>
      <c r="AW967" s="4" t="str">
        <f>IFERROR(VLOOKUP(AV967,[1]字段!A:B,2,0),"")</f>
        <v>人力费用</v>
      </c>
      <c r="AX967" s="30" t="str">
        <f>IF(AW967="人力费用",IF(E967="","",VLOOKUP(E967,[1]字段!D:E,2,0)),AW967)</f>
        <v/>
      </c>
      <c r="AY967" s="30" t="str">
        <f>IF(AT967="","",VLOOKUP(AT967,[1]字段!H:I,2,0))</f>
        <v/>
      </c>
      <c r="AZ967" s="31">
        <f t="shared" si="111"/>
        <v>0</v>
      </c>
      <c r="BA967" s="31">
        <f t="shared" si="108"/>
        <v>0</v>
      </c>
      <c r="BB967" s="31">
        <f t="shared" si="109"/>
        <v>0</v>
      </c>
      <c r="BC967" s="31">
        <f t="shared" si="112"/>
        <v>0</v>
      </c>
    </row>
    <row r="968" spans="1:55" ht="28.5" customHeight="1">
      <c r="A968" s="32"/>
      <c r="B968" s="32"/>
      <c r="C968" s="37"/>
      <c r="D968" s="38"/>
      <c r="E968" s="39" t="s">
        <v>41</v>
      </c>
      <c r="F968" s="39" t="s">
        <v>42</v>
      </c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  <c r="AA968" s="29"/>
      <c r="AB968" s="29"/>
      <c r="AC968" s="29"/>
      <c r="AD968" s="29"/>
      <c r="AE968" s="29"/>
      <c r="AJ968"/>
      <c r="AK968"/>
      <c r="AL968"/>
      <c r="AM968"/>
      <c r="AN968"/>
      <c r="AO968"/>
      <c r="AP968"/>
      <c r="AQ968"/>
      <c r="AR968"/>
      <c r="AS968"/>
      <c r="AT968" s="4" t="str">
        <f t="shared" si="110"/>
        <v>1.0倍人力基础工资</v>
      </c>
      <c r="AU968" s="4" t="str">
        <f t="shared" si="106"/>
        <v>财富及养老金融部</v>
      </c>
      <c r="AV968" s="4" t="str">
        <f t="shared" si="107"/>
        <v>人力费用</v>
      </c>
      <c r="AW968" s="4" t="str">
        <f>IFERROR(VLOOKUP(AV968,[1]字段!A:B,2,0),"")</f>
        <v>人力费用</v>
      </c>
      <c r="AX968" s="30" t="str">
        <f>IF(AW968="人力费用",IF(E968="","",VLOOKUP(E968,[1]字段!D:E,2,0)),AW968)</f>
        <v>1.0倍人力</v>
      </c>
      <c r="AY968" s="30" t="str">
        <f>IF(AT968="","",VLOOKUP(AT968,[1]字段!H:I,2,0))</f>
        <v>1.0倍人力</v>
      </c>
      <c r="AZ968" s="31">
        <f t="shared" si="111"/>
        <v>0</v>
      </c>
      <c r="BA968" s="31">
        <f t="shared" si="108"/>
        <v>0</v>
      </c>
      <c r="BB968" s="31">
        <f t="shared" si="109"/>
        <v>0</v>
      </c>
      <c r="BC968" s="31">
        <f t="shared" si="112"/>
        <v>0</v>
      </c>
    </row>
    <row r="969" spans="1:55" ht="28.5" customHeight="1">
      <c r="A969" s="32"/>
      <c r="B969" s="32"/>
      <c r="C969" s="32"/>
      <c r="D969" s="40"/>
      <c r="E969" s="39">
        <v>5501010602</v>
      </c>
      <c r="F969" s="3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  <c r="AA969" s="29"/>
      <c r="AB969" s="29"/>
      <c r="AC969" s="29"/>
      <c r="AD969" s="29"/>
      <c r="AE969" s="29"/>
      <c r="AJ969"/>
      <c r="AK969"/>
      <c r="AL969"/>
      <c r="AM969"/>
      <c r="AN969"/>
      <c r="AO969"/>
      <c r="AP969"/>
      <c r="AQ969"/>
      <c r="AR969"/>
      <c r="AS969"/>
      <c r="AT969" s="4" t="str">
        <f t="shared" si="110"/>
        <v>利润分享</v>
      </c>
      <c r="AU969" s="4" t="str">
        <f t="shared" si="106"/>
        <v>财富及养老金融部</v>
      </c>
      <c r="AV969" s="4" t="str">
        <f t="shared" si="107"/>
        <v>人力费用</v>
      </c>
      <c r="AW969" s="4" t="str">
        <f>IFERROR(VLOOKUP(AV969,[1]字段!A:B,2,0),"")</f>
        <v>人力费用</v>
      </c>
      <c r="AX969" s="30" t="str">
        <f>IF(AW969="人力费用",IF(E969="","",VLOOKUP(E969,[1]字段!D:E,2,0)),AW969)</f>
        <v>利润分享</v>
      </c>
      <c r="AY969" s="30" t="str">
        <f>IF(AT969="","",VLOOKUP(AT969,[1]字段!H:I,2,0))</f>
        <v>利润分享</v>
      </c>
      <c r="AZ969" s="31">
        <f t="shared" si="111"/>
        <v>0</v>
      </c>
      <c r="BA969" s="31">
        <f t="shared" si="108"/>
        <v>0</v>
      </c>
      <c r="BB969" s="31">
        <f t="shared" si="109"/>
        <v>0</v>
      </c>
      <c r="BC969" s="31">
        <f t="shared" si="112"/>
        <v>0</v>
      </c>
    </row>
    <row r="970" spans="1:55" ht="28.5" customHeight="1">
      <c r="A970" s="32"/>
      <c r="B970" s="32"/>
      <c r="C970" s="32"/>
      <c r="D970" s="40"/>
      <c r="E970" s="39">
        <v>5501010603</v>
      </c>
      <c r="F970" s="3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  <c r="AA970" s="29"/>
      <c r="AB970" s="29"/>
      <c r="AC970" s="29"/>
      <c r="AD970" s="29"/>
      <c r="AE970" s="29"/>
      <c r="AJ970"/>
      <c r="AK970"/>
      <c r="AL970"/>
      <c r="AM970"/>
      <c r="AN970"/>
      <c r="AO970"/>
      <c r="AP970"/>
      <c r="AQ970"/>
      <c r="AR970"/>
      <c r="AS970"/>
      <c r="AT970" s="4" t="str">
        <f t="shared" si="110"/>
        <v>留任奖励</v>
      </c>
      <c r="AU970" s="4" t="str">
        <f t="shared" si="106"/>
        <v>财富及养老金融部</v>
      </c>
      <c r="AV970" s="4" t="str">
        <f t="shared" si="107"/>
        <v>人力费用</v>
      </c>
      <c r="AW970" s="4" t="str">
        <f>IFERROR(VLOOKUP(AV970,[1]字段!A:B,2,0),"")</f>
        <v>人力费用</v>
      </c>
      <c r="AX970" s="30" t="str">
        <f>IF(AW970="人力费用",IF(E970="","",VLOOKUP(E970,[1]字段!D:E,2,0)),AW970)</f>
        <v>留任奖励</v>
      </c>
      <c r="AY970" s="30" t="str">
        <f>IF(AT970="","",VLOOKUP(AT970,[1]字段!H:I,2,0))</f>
        <v>留任奖励</v>
      </c>
      <c r="AZ970" s="31">
        <f t="shared" si="111"/>
        <v>0</v>
      </c>
      <c r="BA970" s="31">
        <f t="shared" si="108"/>
        <v>0</v>
      </c>
      <c r="BB970" s="31">
        <f t="shared" si="109"/>
        <v>0</v>
      </c>
      <c r="BC970" s="31">
        <f t="shared" si="112"/>
        <v>0</v>
      </c>
    </row>
    <row r="971" spans="1:55" ht="28.5" customHeight="1">
      <c r="A971" s="32"/>
      <c r="B971" s="32"/>
      <c r="C971" s="32"/>
      <c r="D971" s="40"/>
      <c r="E971" s="39">
        <v>5501010604</v>
      </c>
      <c r="F971" s="3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  <c r="AA971" s="29"/>
      <c r="AB971" s="29"/>
      <c r="AC971" s="29"/>
      <c r="AD971" s="29"/>
      <c r="AE971" s="29"/>
      <c r="AJ971"/>
      <c r="AK971"/>
      <c r="AL971"/>
      <c r="AM971"/>
      <c r="AN971"/>
      <c r="AO971"/>
      <c r="AP971"/>
      <c r="AQ971"/>
      <c r="AR971"/>
      <c r="AS971"/>
      <c r="AT971" s="4" t="str">
        <f t="shared" si="110"/>
        <v>1.0倍人力</v>
      </c>
      <c r="AU971" s="4" t="str">
        <f t="shared" si="106"/>
        <v>财富及养老金融部</v>
      </c>
      <c r="AV971" s="4" t="str">
        <f t="shared" si="107"/>
        <v>人力费用</v>
      </c>
      <c r="AW971" s="4" t="str">
        <f>IFERROR(VLOOKUP(AV971,[1]字段!A:B,2,0),"")</f>
        <v>人力费用</v>
      </c>
      <c r="AX971" s="30" t="str">
        <f>IF(AW971="人力费用",IF(E971="","",VLOOKUP(E971,[1]字段!D:E,2,0)),AW971)</f>
        <v>1.0倍人力</v>
      </c>
      <c r="AY971" s="30" t="str">
        <f>IF(AT971="","",VLOOKUP(AT971,[1]字段!H:I,2,0))</f>
        <v>1.0倍人力</v>
      </c>
      <c r="AZ971" s="31">
        <f t="shared" si="111"/>
        <v>0</v>
      </c>
      <c r="BA971" s="31">
        <f t="shared" si="108"/>
        <v>0</v>
      </c>
      <c r="BB971" s="31">
        <f t="shared" si="109"/>
        <v>0</v>
      </c>
      <c r="BC971" s="31">
        <f t="shared" si="112"/>
        <v>0</v>
      </c>
    </row>
    <row r="972" spans="1:55" ht="28.5" customHeight="1">
      <c r="A972" s="32"/>
      <c r="B972" s="32"/>
      <c r="C972" s="32"/>
      <c r="D972" s="40"/>
      <c r="E972" s="39" t="s">
        <v>43</v>
      </c>
      <c r="F972" s="39" t="s">
        <v>44</v>
      </c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  <c r="AA972" s="29"/>
      <c r="AB972" s="29"/>
      <c r="AC972" s="29"/>
      <c r="AD972" s="29"/>
      <c r="AE972" s="29"/>
      <c r="AJ972"/>
      <c r="AK972"/>
      <c r="AL972"/>
      <c r="AM972"/>
      <c r="AN972"/>
      <c r="AO972"/>
      <c r="AP972"/>
      <c r="AQ972"/>
      <c r="AR972"/>
      <c r="AS972"/>
      <c r="AT972" s="4" t="str">
        <f t="shared" si="110"/>
        <v>1.0倍人力团队建设费</v>
      </c>
      <c r="AU972" s="4" t="str">
        <f t="shared" si="106"/>
        <v>财富及养老金融部</v>
      </c>
      <c r="AV972" s="4" t="str">
        <f t="shared" si="107"/>
        <v>人力费用</v>
      </c>
      <c r="AW972" s="4" t="str">
        <f>IFERROR(VLOOKUP(AV972,[1]字段!A:B,2,0),"")</f>
        <v>人力费用</v>
      </c>
      <c r="AX972" s="30" t="str">
        <f>IF(AW972="人力费用",IF(E972="","",VLOOKUP(E972,[1]字段!D:E,2,0)),AW972)</f>
        <v>1.0倍人力</v>
      </c>
      <c r="AY972" s="30" t="str">
        <f>IF(AT972="","",VLOOKUP(AT972,[1]字段!H:I,2,0))</f>
        <v>1.0倍人力</v>
      </c>
      <c r="AZ972" s="31">
        <f t="shared" si="111"/>
        <v>0</v>
      </c>
      <c r="BA972" s="31">
        <f t="shared" si="108"/>
        <v>0</v>
      </c>
      <c r="BB972" s="31">
        <f t="shared" si="109"/>
        <v>0</v>
      </c>
      <c r="BC972" s="31">
        <f t="shared" si="112"/>
        <v>0</v>
      </c>
    </row>
    <row r="973" spans="1:55" ht="28.5" customHeight="1">
      <c r="A973" s="32"/>
      <c r="B973" s="32"/>
      <c r="C973" s="32"/>
      <c r="D973" s="40"/>
      <c r="E973" s="39" t="s">
        <v>45</v>
      </c>
      <c r="F973" s="39" t="s">
        <v>46</v>
      </c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  <c r="AA973" s="29"/>
      <c r="AB973" s="29"/>
      <c r="AC973" s="29"/>
      <c r="AD973" s="29"/>
      <c r="AE973" s="29"/>
      <c r="AJ973"/>
      <c r="AK973"/>
      <c r="AL973"/>
      <c r="AM973"/>
      <c r="AN973"/>
      <c r="AO973"/>
      <c r="AP973"/>
      <c r="AQ973"/>
      <c r="AR973"/>
      <c r="AS973"/>
      <c r="AT973" s="4" t="str">
        <f t="shared" si="110"/>
        <v>1.0倍人力其他职工福利费</v>
      </c>
      <c r="AU973" s="4" t="str">
        <f t="shared" si="106"/>
        <v>财富及养老金融部</v>
      </c>
      <c r="AV973" s="4" t="str">
        <f t="shared" si="107"/>
        <v>人力费用</v>
      </c>
      <c r="AW973" s="4" t="str">
        <f>IFERROR(VLOOKUP(AV973,[1]字段!A:B,2,0),"")</f>
        <v>人力费用</v>
      </c>
      <c r="AX973" s="30" t="str">
        <f>IF(AW973="人力费用",IF(E973="","",VLOOKUP(E973,[1]字段!D:E,2,0)),AW973)</f>
        <v>1.0倍人力</v>
      </c>
      <c r="AY973" s="30" t="str">
        <f>IF(AT973="","",VLOOKUP(AT973,[1]字段!H:I,2,0))</f>
        <v>1.0倍人力</v>
      </c>
      <c r="AZ973" s="31">
        <f t="shared" si="111"/>
        <v>0</v>
      </c>
      <c r="BA973" s="31">
        <f t="shared" si="108"/>
        <v>0</v>
      </c>
      <c r="BB973" s="31">
        <f t="shared" si="109"/>
        <v>0</v>
      </c>
      <c r="BC973" s="31">
        <f t="shared" si="112"/>
        <v>0</v>
      </c>
    </row>
    <row r="974" spans="1:55" ht="28.5" customHeight="1">
      <c r="A974" s="32"/>
      <c r="B974" s="32"/>
      <c r="C974" s="32"/>
      <c r="D974" s="40"/>
      <c r="E974" s="39" t="s">
        <v>47</v>
      </c>
      <c r="F974" s="39" t="s">
        <v>48</v>
      </c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  <c r="AA974" s="29"/>
      <c r="AB974" s="29"/>
      <c r="AC974" s="29"/>
      <c r="AD974" s="29"/>
      <c r="AE974" s="29"/>
      <c r="AJ974"/>
      <c r="AK974"/>
      <c r="AL974"/>
      <c r="AM974"/>
      <c r="AN974"/>
      <c r="AO974"/>
      <c r="AP974"/>
      <c r="AQ974"/>
      <c r="AR974"/>
      <c r="AS974"/>
      <c r="AT974" s="4" t="str">
        <f t="shared" si="110"/>
        <v>1.0倍人力工会经费</v>
      </c>
      <c r="AU974" s="4" t="str">
        <f t="shared" si="106"/>
        <v>财富及养老金融部</v>
      </c>
      <c r="AV974" s="4" t="str">
        <f t="shared" si="107"/>
        <v>人力费用</v>
      </c>
      <c r="AW974" s="4" t="str">
        <f>IFERROR(VLOOKUP(AV974,[1]字段!A:B,2,0),"")</f>
        <v>人力费用</v>
      </c>
      <c r="AX974" s="30" t="str">
        <f>IF(AW974="人力费用",IF(E974="","",VLOOKUP(E974,[1]字段!D:E,2,0)),AW974)</f>
        <v>1.0倍人力</v>
      </c>
      <c r="AY974" s="30" t="str">
        <f>IF(AT974="","",VLOOKUP(AT974,[1]字段!H:I,2,0))</f>
        <v>1.0倍人力</v>
      </c>
      <c r="AZ974" s="31">
        <f t="shared" si="111"/>
        <v>0</v>
      </c>
      <c r="BA974" s="31">
        <f t="shared" si="108"/>
        <v>0</v>
      </c>
      <c r="BB974" s="31">
        <f t="shared" si="109"/>
        <v>0</v>
      </c>
      <c r="BC974" s="31">
        <f t="shared" si="112"/>
        <v>0</v>
      </c>
    </row>
    <row r="975" spans="1:55" ht="28.5" customHeight="1">
      <c r="A975" s="32"/>
      <c r="B975" s="32"/>
      <c r="C975" s="32"/>
      <c r="D975" s="40"/>
      <c r="E975" s="39" t="s">
        <v>49</v>
      </c>
      <c r="F975" s="39" t="s">
        <v>50</v>
      </c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  <c r="AA975" s="29"/>
      <c r="AB975" s="29"/>
      <c r="AC975" s="29"/>
      <c r="AD975" s="29"/>
      <c r="AE975" s="29"/>
      <c r="AJ975"/>
      <c r="AK975"/>
      <c r="AL975"/>
      <c r="AM975"/>
      <c r="AN975"/>
      <c r="AO975"/>
      <c r="AP975"/>
      <c r="AQ975"/>
      <c r="AR975"/>
      <c r="AS975"/>
      <c r="AT975" s="4" t="str">
        <f t="shared" si="110"/>
        <v>1.0倍人力基本养老保险</v>
      </c>
      <c r="AU975" s="4" t="str">
        <f t="shared" si="106"/>
        <v>财富及养老金融部</v>
      </c>
      <c r="AV975" s="4" t="str">
        <f t="shared" si="107"/>
        <v>人力费用</v>
      </c>
      <c r="AW975" s="4" t="str">
        <f>IFERROR(VLOOKUP(AV975,[1]字段!A:B,2,0),"")</f>
        <v>人力费用</v>
      </c>
      <c r="AX975" s="30" t="str">
        <f>IF(AW975="人力费用",IF(E975="","",VLOOKUP(E975,[1]字段!D:E,2,0)),AW975)</f>
        <v>1.0倍人力</v>
      </c>
      <c r="AY975" s="30" t="str">
        <f>IF(AT975="","",VLOOKUP(AT975,[1]字段!H:I,2,0))</f>
        <v>1.0倍人力</v>
      </c>
      <c r="AZ975" s="31">
        <f t="shared" si="111"/>
        <v>0</v>
      </c>
      <c r="BA975" s="31">
        <f t="shared" si="108"/>
        <v>0</v>
      </c>
      <c r="BB975" s="31">
        <f t="shared" si="109"/>
        <v>0</v>
      </c>
      <c r="BC975" s="31">
        <f t="shared" si="112"/>
        <v>0</v>
      </c>
    </row>
    <row r="976" spans="1:55" ht="28.5" customHeight="1">
      <c r="A976" s="32"/>
      <c r="B976" s="32"/>
      <c r="C976" s="32"/>
      <c r="D976" s="40"/>
      <c r="E976" s="39" t="s">
        <v>51</v>
      </c>
      <c r="F976" s="39" t="s">
        <v>52</v>
      </c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  <c r="AA976" s="29"/>
      <c r="AB976" s="29"/>
      <c r="AC976" s="29"/>
      <c r="AD976" s="29"/>
      <c r="AE976" s="29"/>
      <c r="AJ976"/>
      <c r="AK976"/>
      <c r="AL976"/>
      <c r="AM976"/>
      <c r="AN976"/>
      <c r="AO976"/>
      <c r="AP976"/>
      <c r="AQ976"/>
      <c r="AR976"/>
      <c r="AS976"/>
      <c r="AT976" s="4" t="str">
        <f t="shared" si="110"/>
        <v>1.0倍人力基本医疗保险</v>
      </c>
      <c r="AU976" s="4" t="str">
        <f t="shared" si="106"/>
        <v>财富及养老金融部</v>
      </c>
      <c r="AV976" s="4" t="str">
        <f t="shared" si="107"/>
        <v>人力费用</v>
      </c>
      <c r="AW976" s="4" t="str">
        <f>IFERROR(VLOOKUP(AV976,[1]字段!A:B,2,0),"")</f>
        <v>人力费用</v>
      </c>
      <c r="AX976" s="30" t="str">
        <f>IF(AW976="人力费用",IF(E976="","",VLOOKUP(E976,[1]字段!D:E,2,0)),AW976)</f>
        <v>1.0倍人力</v>
      </c>
      <c r="AY976" s="30" t="str">
        <f>IF(AT976="","",VLOOKUP(AT976,[1]字段!H:I,2,0))</f>
        <v>1.0倍人力</v>
      </c>
      <c r="AZ976" s="31">
        <f t="shared" si="111"/>
        <v>0</v>
      </c>
      <c r="BA976" s="31">
        <f t="shared" si="108"/>
        <v>0</v>
      </c>
      <c r="BB976" s="31">
        <f t="shared" si="109"/>
        <v>0</v>
      </c>
      <c r="BC976" s="31">
        <f t="shared" si="112"/>
        <v>0</v>
      </c>
    </row>
    <row r="977" spans="1:55" ht="28.5" customHeight="1">
      <c r="A977" s="32"/>
      <c r="B977" s="32"/>
      <c r="C977" s="32"/>
      <c r="D977" s="40"/>
      <c r="E977" s="39" t="s">
        <v>53</v>
      </c>
      <c r="F977" s="39" t="s">
        <v>54</v>
      </c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  <c r="AA977" s="29"/>
      <c r="AB977" s="29"/>
      <c r="AC977" s="29"/>
      <c r="AD977" s="29"/>
      <c r="AE977" s="29"/>
      <c r="AJ977"/>
      <c r="AK977"/>
      <c r="AL977"/>
      <c r="AM977"/>
      <c r="AN977"/>
      <c r="AO977"/>
      <c r="AP977"/>
      <c r="AQ977"/>
      <c r="AR977"/>
      <c r="AS977"/>
      <c r="AT977" s="4" t="str">
        <f t="shared" si="110"/>
        <v>1.0倍人力工伤保险</v>
      </c>
      <c r="AU977" s="4" t="str">
        <f t="shared" si="106"/>
        <v>财富及养老金融部</v>
      </c>
      <c r="AV977" s="4" t="str">
        <f t="shared" si="107"/>
        <v>人力费用</v>
      </c>
      <c r="AW977" s="4" t="str">
        <f>IFERROR(VLOOKUP(AV977,[1]字段!A:B,2,0),"")</f>
        <v>人力费用</v>
      </c>
      <c r="AX977" s="30" t="str">
        <f>IF(AW977="人力费用",IF(E977="","",VLOOKUP(E977,[1]字段!D:E,2,0)),AW977)</f>
        <v>1.0倍人力</v>
      </c>
      <c r="AY977" s="30" t="str">
        <f>IF(AT977="","",VLOOKUP(AT977,[1]字段!H:I,2,0))</f>
        <v>1.0倍人力</v>
      </c>
      <c r="AZ977" s="31">
        <f t="shared" si="111"/>
        <v>0</v>
      </c>
      <c r="BA977" s="31">
        <f t="shared" si="108"/>
        <v>0</v>
      </c>
      <c r="BB977" s="31">
        <f t="shared" si="109"/>
        <v>0</v>
      </c>
      <c r="BC977" s="31">
        <f t="shared" si="112"/>
        <v>0</v>
      </c>
    </row>
    <row r="978" spans="1:55" ht="28.5" customHeight="1">
      <c r="A978" s="32"/>
      <c r="B978" s="32"/>
      <c r="C978" s="32"/>
      <c r="D978" s="40"/>
      <c r="E978" s="39" t="s">
        <v>55</v>
      </c>
      <c r="F978" s="39" t="s">
        <v>56</v>
      </c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  <c r="AA978" s="29"/>
      <c r="AB978" s="29"/>
      <c r="AC978" s="29"/>
      <c r="AD978" s="29"/>
      <c r="AE978" s="29"/>
      <c r="AJ978"/>
      <c r="AK978"/>
      <c r="AL978"/>
      <c r="AM978"/>
      <c r="AN978"/>
      <c r="AO978"/>
      <c r="AP978"/>
      <c r="AQ978"/>
      <c r="AR978"/>
      <c r="AS978"/>
      <c r="AT978" s="4" t="str">
        <f t="shared" si="110"/>
        <v>1.0倍人力生育保险</v>
      </c>
      <c r="AU978" s="4" t="str">
        <f t="shared" si="106"/>
        <v>财富及养老金融部</v>
      </c>
      <c r="AV978" s="4" t="str">
        <f t="shared" si="107"/>
        <v>人力费用</v>
      </c>
      <c r="AW978" s="4" t="str">
        <f>IFERROR(VLOOKUP(AV978,[1]字段!A:B,2,0),"")</f>
        <v>人力费用</v>
      </c>
      <c r="AX978" s="30" t="str">
        <f>IF(AW978="人力费用",IF(E978="","",VLOOKUP(E978,[1]字段!D:E,2,0)),AW978)</f>
        <v>1.0倍人力</v>
      </c>
      <c r="AY978" s="30" t="str">
        <f>IF(AT978="","",VLOOKUP(AT978,[1]字段!H:I,2,0))</f>
        <v>1.0倍人力</v>
      </c>
      <c r="AZ978" s="31">
        <f t="shared" si="111"/>
        <v>0</v>
      </c>
      <c r="BA978" s="31">
        <f t="shared" si="108"/>
        <v>0</v>
      </c>
      <c r="BB978" s="31">
        <f t="shared" si="109"/>
        <v>0</v>
      </c>
      <c r="BC978" s="31">
        <f t="shared" si="112"/>
        <v>0</v>
      </c>
    </row>
    <row r="979" spans="1:55" ht="28.5" customHeight="1">
      <c r="A979" s="32"/>
      <c r="B979" s="32"/>
      <c r="C979" s="32"/>
      <c r="D979" s="40"/>
      <c r="E979" s="39" t="s">
        <v>57</v>
      </c>
      <c r="F979" s="39" t="s">
        <v>58</v>
      </c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  <c r="AA979" s="29"/>
      <c r="AB979" s="29"/>
      <c r="AC979" s="29"/>
      <c r="AD979" s="29"/>
      <c r="AE979" s="29"/>
      <c r="AJ979"/>
      <c r="AK979"/>
      <c r="AL979"/>
      <c r="AM979"/>
      <c r="AN979"/>
      <c r="AO979"/>
      <c r="AP979"/>
      <c r="AQ979"/>
      <c r="AR979"/>
      <c r="AS979"/>
      <c r="AT979" s="4" t="str">
        <f t="shared" si="110"/>
        <v>1.0倍人力失业保险</v>
      </c>
      <c r="AU979" s="4" t="str">
        <f t="shared" si="106"/>
        <v>财富及养老金融部</v>
      </c>
      <c r="AV979" s="4" t="str">
        <f t="shared" si="107"/>
        <v>人力费用</v>
      </c>
      <c r="AW979" s="4" t="str">
        <f>IFERROR(VLOOKUP(AV979,[1]字段!A:B,2,0),"")</f>
        <v>人力费用</v>
      </c>
      <c r="AX979" s="30" t="str">
        <f>IF(AW979="人力费用",IF(E979="","",VLOOKUP(E979,[1]字段!D:E,2,0)),AW979)</f>
        <v>1.0倍人力</v>
      </c>
      <c r="AY979" s="30" t="str">
        <f>IF(AT979="","",VLOOKUP(AT979,[1]字段!H:I,2,0))</f>
        <v>1.0倍人力</v>
      </c>
      <c r="AZ979" s="31">
        <f t="shared" si="111"/>
        <v>0</v>
      </c>
      <c r="BA979" s="31">
        <f t="shared" si="108"/>
        <v>0</v>
      </c>
      <c r="BB979" s="31">
        <f t="shared" si="109"/>
        <v>0</v>
      </c>
      <c r="BC979" s="31">
        <f t="shared" si="112"/>
        <v>0</v>
      </c>
    </row>
    <row r="980" spans="1:55" ht="28.5" customHeight="1">
      <c r="A980" s="32"/>
      <c r="B980" s="32"/>
      <c r="C980" s="41"/>
      <c r="D980" s="42"/>
      <c r="E980" s="39" t="s">
        <v>59</v>
      </c>
      <c r="F980" s="39" t="s">
        <v>60</v>
      </c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  <c r="AA980" s="29"/>
      <c r="AB980" s="29"/>
      <c r="AC980" s="29"/>
      <c r="AD980" s="29"/>
      <c r="AE980" s="29"/>
      <c r="AJ980"/>
      <c r="AK980"/>
      <c r="AL980"/>
      <c r="AM980"/>
      <c r="AN980"/>
      <c r="AO980"/>
      <c r="AP980"/>
      <c r="AQ980"/>
      <c r="AR980"/>
      <c r="AS980"/>
      <c r="AT980" s="4" t="str">
        <f t="shared" si="110"/>
        <v>1.0倍人力住房公积金</v>
      </c>
      <c r="AU980" s="4" t="str">
        <f t="shared" si="106"/>
        <v>财富及养老金融部</v>
      </c>
      <c r="AV980" s="4" t="str">
        <f t="shared" si="107"/>
        <v>人力费用</v>
      </c>
      <c r="AW980" s="4" t="str">
        <f>IFERROR(VLOOKUP(AV980,[1]字段!A:B,2,0),"")</f>
        <v>人力费用</v>
      </c>
      <c r="AX980" s="30" t="str">
        <f>IF(AW980="人力费用",IF(E980="","",VLOOKUP(E980,[1]字段!D:E,2,0)),AW980)</f>
        <v>1.0倍人力</v>
      </c>
      <c r="AY980" s="30" t="str">
        <f>IF(AT980="","",VLOOKUP(AT980,[1]字段!H:I,2,0))</f>
        <v>1.0倍人力</v>
      </c>
      <c r="AZ980" s="31">
        <f t="shared" si="111"/>
        <v>0</v>
      </c>
      <c r="BA980" s="31">
        <f t="shared" si="108"/>
        <v>0</v>
      </c>
      <c r="BB980" s="31">
        <f t="shared" si="109"/>
        <v>0</v>
      </c>
      <c r="BC980" s="31">
        <f t="shared" si="112"/>
        <v>0</v>
      </c>
    </row>
    <row r="981" spans="1:55" ht="28.5" customHeight="1">
      <c r="C981" s="33" t="s">
        <v>107</v>
      </c>
      <c r="D981" s="34" t="s">
        <v>108</v>
      </c>
      <c r="E981" s="35"/>
      <c r="F981" s="36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  <c r="AA981" s="29"/>
      <c r="AB981" s="29"/>
      <c r="AC981" s="29"/>
      <c r="AD981" s="29"/>
      <c r="AE981" s="29"/>
      <c r="AJ981"/>
      <c r="AK981"/>
      <c r="AL981"/>
      <c r="AM981"/>
      <c r="AN981"/>
      <c r="AO981"/>
      <c r="AP981"/>
      <c r="AQ981"/>
      <c r="AR981"/>
      <c r="AS981"/>
      <c r="AT981" s="4" t="str">
        <f t="shared" si="110"/>
        <v>营销费用</v>
      </c>
      <c r="AU981" s="4" t="str">
        <f t="shared" si="106"/>
        <v>财富及养老金融部</v>
      </c>
      <c r="AV981" s="4" t="str">
        <f t="shared" si="107"/>
        <v>营销费用</v>
      </c>
      <c r="AW981" s="4" t="str">
        <f>IFERROR(VLOOKUP(AV981,[1]字段!A:B,2,0),"")</f>
        <v>营销费用</v>
      </c>
      <c r="AX981" s="30" t="str">
        <f>IF(AW981="人力费用",IF(E981="","",VLOOKUP(E981,[1]字段!D:E,2,0)),AW981)</f>
        <v>营销费用</v>
      </c>
      <c r="AY981" s="30">
        <f>IF(AT981="","",VLOOKUP(AT981,[1]字段!H:I,2,0))</f>
        <v>0</v>
      </c>
      <c r="AZ981" s="31">
        <f t="shared" si="111"/>
        <v>0</v>
      </c>
      <c r="BA981" s="31">
        <f t="shared" si="108"/>
        <v>0</v>
      </c>
      <c r="BB981" s="31">
        <f t="shared" si="109"/>
        <v>0</v>
      </c>
      <c r="BC981" s="31">
        <f t="shared" si="112"/>
        <v>0</v>
      </c>
    </row>
    <row r="982" spans="1:55" ht="28.5" customHeight="1">
      <c r="A982" s="32"/>
      <c r="B982" s="32"/>
      <c r="C982" s="37"/>
      <c r="D982" s="38"/>
      <c r="E982" s="39" t="s">
        <v>109</v>
      </c>
      <c r="F982" s="39" t="s">
        <v>110</v>
      </c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  <c r="AA982" s="29"/>
      <c r="AB982" s="29"/>
      <c r="AC982" s="29"/>
      <c r="AD982" s="29"/>
      <c r="AE982" s="29"/>
      <c r="AJ982"/>
      <c r="AK982"/>
      <c r="AL982"/>
      <c r="AM982"/>
      <c r="AN982"/>
      <c r="AO982"/>
      <c r="AP982"/>
      <c r="AQ982"/>
      <c r="AR982"/>
      <c r="AS982"/>
      <c r="AT982" s="4" t="str">
        <f t="shared" si="110"/>
        <v>营销费用广告费</v>
      </c>
      <c r="AU982" s="4" t="str">
        <f t="shared" si="106"/>
        <v>财富及养老金融部</v>
      </c>
      <c r="AV982" s="4" t="str">
        <f t="shared" si="107"/>
        <v>营销费用</v>
      </c>
      <c r="AW982" s="4" t="str">
        <f>IFERROR(VLOOKUP(AV982,[1]字段!A:B,2,0),"")</f>
        <v>营销费用</v>
      </c>
      <c r="AX982" s="30" t="str">
        <f>IF(AW982="人力费用",IF(E982="","",VLOOKUP(E982,[1]字段!D:E,2,0)),AW982)</f>
        <v>营销费用</v>
      </c>
      <c r="AY982" s="30" t="str">
        <f>IF(AT982="","",VLOOKUP(AT982,[1]字段!H:I,2,0))</f>
        <v>营销费用</v>
      </c>
      <c r="AZ982" s="31">
        <f t="shared" si="111"/>
        <v>0</v>
      </c>
      <c r="BA982" s="31">
        <f t="shared" si="108"/>
        <v>0</v>
      </c>
      <c r="BB982" s="31">
        <f t="shared" si="109"/>
        <v>0</v>
      </c>
      <c r="BC982" s="31">
        <f t="shared" si="112"/>
        <v>0</v>
      </c>
    </row>
    <row r="983" spans="1:55" ht="28.5" customHeight="1">
      <c r="A983" s="32"/>
      <c r="B983" s="32"/>
      <c r="C983" s="32"/>
      <c r="D983" s="40"/>
      <c r="E983" s="39" t="s">
        <v>181</v>
      </c>
      <c r="F983" s="39" t="s">
        <v>182</v>
      </c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  <c r="AA983" s="29"/>
      <c r="AB983" s="29"/>
      <c r="AC983" s="29"/>
      <c r="AD983" s="29"/>
      <c r="AE983" s="29"/>
      <c r="AJ983"/>
      <c r="AK983"/>
      <c r="AL983"/>
      <c r="AM983"/>
      <c r="AN983"/>
      <c r="AO983"/>
      <c r="AP983"/>
      <c r="AQ983"/>
      <c r="AR983"/>
      <c r="AS983"/>
      <c r="AT983" s="4" t="str">
        <f t="shared" si="110"/>
        <v>营销费用短信费</v>
      </c>
      <c r="AU983" s="4" t="str">
        <f t="shared" si="106"/>
        <v>财富及养老金融部</v>
      </c>
      <c r="AV983" s="4" t="str">
        <f t="shared" si="107"/>
        <v>营销费用</v>
      </c>
      <c r="AW983" s="4" t="str">
        <f>IFERROR(VLOOKUP(AV983,[1]字段!A:B,2,0),"")</f>
        <v>营销费用</v>
      </c>
      <c r="AX983" s="30" t="str">
        <f>IF(AW983="人力费用",IF(E983="","",VLOOKUP(E983,[1]字段!D:E,2,0)),AW983)</f>
        <v>营销费用</v>
      </c>
      <c r="AY983" s="30" t="str">
        <f>IF(AT983="","",VLOOKUP(AT983,[1]字段!H:I,2,0))</f>
        <v>营销费用</v>
      </c>
      <c r="AZ983" s="31">
        <f t="shared" si="111"/>
        <v>0</v>
      </c>
      <c r="BA983" s="31">
        <f t="shared" si="108"/>
        <v>0</v>
      </c>
      <c r="BB983" s="31">
        <f t="shared" si="109"/>
        <v>0</v>
      </c>
      <c r="BC983" s="31">
        <f t="shared" si="112"/>
        <v>0</v>
      </c>
    </row>
    <row r="984" spans="1:55" ht="28.5" customHeight="1">
      <c r="A984" s="32"/>
      <c r="B984" s="32"/>
      <c r="C984" s="41"/>
      <c r="D984" s="42"/>
      <c r="E984" s="39" t="s">
        <v>111</v>
      </c>
      <c r="F984" s="39" t="s">
        <v>112</v>
      </c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  <c r="AA984" s="29"/>
      <c r="AB984" s="29"/>
      <c r="AC984" s="29"/>
      <c r="AD984" s="29"/>
      <c r="AE984" s="29"/>
      <c r="AJ984"/>
      <c r="AK984"/>
      <c r="AL984"/>
      <c r="AM984"/>
      <c r="AN984"/>
      <c r="AO984"/>
      <c r="AP984"/>
      <c r="AQ984"/>
      <c r="AR984"/>
      <c r="AS984"/>
      <c r="AT984" s="4" t="str">
        <f t="shared" si="110"/>
        <v>营销费用业务宣传费</v>
      </c>
      <c r="AU984" s="4" t="str">
        <f t="shared" si="106"/>
        <v>财富及养老金融部</v>
      </c>
      <c r="AV984" s="4" t="str">
        <f t="shared" si="107"/>
        <v>营销费用</v>
      </c>
      <c r="AW984" s="4" t="str">
        <f>IFERROR(VLOOKUP(AV984,[1]字段!A:B,2,0),"")</f>
        <v>营销费用</v>
      </c>
      <c r="AX984" s="30" t="str">
        <f>IF(AW984="人力费用",IF(E984="","",VLOOKUP(E984,[1]字段!D:E,2,0)),AW984)</f>
        <v>营销费用</v>
      </c>
      <c r="AY984" s="30" t="str">
        <f>IF(AT984="","",VLOOKUP(AT984,[1]字段!H:I,2,0))</f>
        <v>营销费用</v>
      </c>
      <c r="AZ984" s="31">
        <f t="shared" si="111"/>
        <v>0</v>
      </c>
      <c r="BA984" s="31">
        <f t="shared" si="108"/>
        <v>0</v>
      </c>
      <c r="BB984" s="31">
        <f t="shared" si="109"/>
        <v>0</v>
      </c>
      <c r="BC984" s="31">
        <f t="shared" si="112"/>
        <v>0</v>
      </c>
    </row>
    <row r="985" spans="1:55" ht="28.5" customHeight="1">
      <c r="C985" s="33" t="s">
        <v>162</v>
      </c>
      <c r="D985" s="34" t="s">
        <v>163</v>
      </c>
      <c r="E985" s="35"/>
      <c r="F985" s="36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  <c r="AA985" s="29"/>
      <c r="AB985" s="29"/>
      <c r="AC985" s="29"/>
      <c r="AD985" s="29"/>
      <c r="AE985" s="29"/>
      <c r="AJ985"/>
      <c r="AK985"/>
      <c r="AL985"/>
      <c r="AM985"/>
      <c r="AN985"/>
      <c r="AO985"/>
      <c r="AP985"/>
      <c r="AQ985"/>
      <c r="AR985"/>
      <c r="AS985"/>
      <c r="AT985" s="4" t="str">
        <f t="shared" si="110"/>
        <v>运营费用</v>
      </c>
      <c r="AU985" s="4" t="str">
        <f t="shared" si="106"/>
        <v>财富及养老金融部</v>
      </c>
      <c r="AV985" s="4" t="str">
        <f t="shared" si="107"/>
        <v>运营费用</v>
      </c>
      <c r="AW985" s="4" t="str">
        <f>IFERROR(VLOOKUP(AV985,[1]字段!A:B,2,0),"")</f>
        <v>运营费用</v>
      </c>
      <c r="AX985" s="30" t="str">
        <f>IF(AW985="人力费用",IF(E985="","",VLOOKUP(E985,[1]字段!D:E,2,0)),AW985)</f>
        <v>运营费用</v>
      </c>
      <c r="AY985" s="30">
        <f>IF(AT985="","",VLOOKUP(AT985,[1]字段!H:I,2,0))</f>
        <v>0</v>
      </c>
      <c r="AZ985" s="31">
        <f t="shared" si="111"/>
        <v>0</v>
      </c>
      <c r="BA985" s="31">
        <f t="shared" si="108"/>
        <v>0</v>
      </c>
      <c r="BB985" s="31">
        <f t="shared" si="109"/>
        <v>0</v>
      </c>
      <c r="BC985" s="31">
        <f t="shared" si="112"/>
        <v>0</v>
      </c>
    </row>
    <row r="986" spans="1:55" ht="28.5" customHeight="1">
      <c r="A986" s="32"/>
      <c r="B986" s="32"/>
      <c r="C986" s="37"/>
      <c r="D986" s="38"/>
      <c r="E986" s="39" t="s">
        <v>168</v>
      </c>
      <c r="F986" s="39" t="s">
        <v>169</v>
      </c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  <c r="AA986" s="29"/>
      <c r="AB986" s="29"/>
      <c r="AC986" s="29"/>
      <c r="AD986" s="29"/>
      <c r="AE986" s="29"/>
      <c r="AJ986"/>
      <c r="AK986"/>
      <c r="AL986"/>
      <c r="AM986"/>
      <c r="AN986"/>
      <c r="AO986"/>
      <c r="AP986"/>
      <c r="AQ986"/>
      <c r="AR986"/>
      <c r="AS986"/>
      <c r="AT986" s="4" t="str">
        <f t="shared" si="110"/>
        <v>运营费用坐席租用费</v>
      </c>
      <c r="AU986" s="4" t="str">
        <f t="shared" si="106"/>
        <v>财富及养老金融部</v>
      </c>
      <c r="AV986" s="4" t="str">
        <f t="shared" si="107"/>
        <v>运营费用</v>
      </c>
      <c r="AW986" s="4" t="str">
        <f>IFERROR(VLOOKUP(AV986,[1]字段!A:B,2,0),"")</f>
        <v>运营费用</v>
      </c>
      <c r="AX986" s="30" t="str">
        <f>IF(AW986="人力费用",IF(E986="","",VLOOKUP(E986,[1]字段!D:E,2,0)),AW986)</f>
        <v>运营费用</v>
      </c>
      <c r="AY986" s="30" t="str">
        <f>IF(AT986="","",VLOOKUP(AT986,[1]字段!H:I,2,0))</f>
        <v>运营费用-客服费</v>
      </c>
      <c r="AZ986" s="31">
        <f t="shared" si="111"/>
        <v>0</v>
      </c>
      <c r="BA986" s="31">
        <f t="shared" si="108"/>
        <v>0</v>
      </c>
      <c r="BB986" s="31">
        <f t="shared" si="109"/>
        <v>0</v>
      </c>
      <c r="BC986" s="31">
        <f t="shared" si="112"/>
        <v>0</v>
      </c>
    </row>
    <row r="987" spans="1:55" ht="28.5" customHeight="1">
      <c r="A987" s="32"/>
      <c r="B987" s="32"/>
      <c r="C987" s="32"/>
      <c r="D987" s="40"/>
      <c r="E987" s="39" t="s">
        <v>181</v>
      </c>
      <c r="F987" s="39" t="s">
        <v>182</v>
      </c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  <c r="AA987" s="29"/>
      <c r="AB987" s="29"/>
      <c r="AC987" s="29"/>
      <c r="AD987" s="29"/>
      <c r="AE987" s="29"/>
      <c r="AJ987"/>
      <c r="AK987"/>
      <c r="AL987"/>
      <c r="AM987"/>
      <c r="AN987"/>
      <c r="AO987"/>
      <c r="AP987"/>
      <c r="AQ987"/>
      <c r="AR987"/>
      <c r="AS987"/>
      <c r="AT987" s="4" t="str">
        <f t="shared" si="110"/>
        <v>运营费用短信费</v>
      </c>
      <c r="AU987" s="4" t="str">
        <f t="shared" si="106"/>
        <v>财富及养老金融部</v>
      </c>
      <c r="AV987" s="4" t="str">
        <f t="shared" si="107"/>
        <v>运营费用</v>
      </c>
      <c r="AW987" s="4" t="str">
        <f>IFERROR(VLOOKUP(AV987,[1]字段!A:B,2,0),"")</f>
        <v>运营费用</v>
      </c>
      <c r="AX987" s="30" t="str">
        <f>IF(AW987="人力费用",IF(E987="","",VLOOKUP(E987,[1]字段!D:E,2,0)),AW987)</f>
        <v>运营费用</v>
      </c>
      <c r="AY987" s="30" t="str">
        <f>IF(AT987="","",VLOOKUP(AT987,[1]字段!H:I,2,0))</f>
        <v>运营费用-短信费</v>
      </c>
      <c r="AZ987" s="31">
        <f t="shared" si="111"/>
        <v>0</v>
      </c>
      <c r="BA987" s="31">
        <f t="shared" si="108"/>
        <v>0</v>
      </c>
      <c r="BB987" s="31">
        <f t="shared" si="109"/>
        <v>0</v>
      </c>
      <c r="BC987" s="31">
        <f t="shared" si="112"/>
        <v>0</v>
      </c>
    </row>
    <row r="988" spans="1:55" ht="28.5" customHeight="1">
      <c r="A988" s="32"/>
      <c r="B988" s="32"/>
      <c r="C988" s="32"/>
      <c r="D988" s="40"/>
      <c r="E988" s="39" t="s">
        <v>91</v>
      </c>
      <c r="F988" s="39" t="s">
        <v>92</v>
      </c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  <c r="AA988" s="29"/>
      <c r="AB988" s="29"/>
      <c r="AC988" s="29"/>
      <c r="AD988" s="29"/>
      <c r="AE988" s="29"/>
      <c r="AJ988"/>
      <c r="AK988"/>
      <c r="AL988"/>
      <c r="AM988"/>
      <c r="AN988"/>
      <c r="AO988"/>
      <c r="AP988"/>
      <c r="AQ988"/>
      <c r="AR988"/>
      <c r="AS988"/>
      <c r="AT988" s="4" t="str">
        <f t="shared" si="110"/>
        <v>运营费用办公费用</v>
      </c>
      <c r="AU988" s="4" t="str">
        <f t="shared" si="106"/>
        <v>财富及养老金融部</v>
      </c>
      <c r="AV988" s="4" t="str">
        <f t="shared" si="107"/>
        <v>运营费用</v>
      </c>
      <c r="AW988" s="4" t="str">
        <f>IFERROR(VLOOKUP(AV988,[1]字段!A:B,2,0),"")</f>
        <v>运营费用</v>
      </c>
      <c r="AX988" s="30" t="str">
        <f>IF(AW988="人力费用",IF(E988="","",VLOOKUP(E988,[1]字段!D:E,2,0)),AW988)</f>
        <v>运营费用</v>
      </c>
      <c r="AY988" s="30" t="str">
        <f>IF(AT988="","",VLOOKUP(AT988,[1]字段!H:I,2,0))</f>
        <v>运营费用-运营其他</v>
      </c>
      <c r="AZ988" s="31">
        <f t="shared" si="111"/>
        <v>0</v>
      </c>
      <c r="BA988" s="31">
        <f t="shared" si="108"/>
        <v>0</v>
      </c>
      <c r="BB988" s="31">
        <f t="shared" si="109"/>
        <v>0</v>
      </c>
      <c r="BC988" s="31">
        <f t="shared" si="112"/>
        <v>0</v>
      </c>
    </row>
    <row r="989" spans="1:55" ht="28.5" customHeight="1">
      <c r="A989" s="32"/>
      <c r="B989" s="32"/>
      <c r="C989" s="32"/>
      <c r="D989" s="40"/>
      <c r="E989" s="39" t="s">
        <v>170</v>
      </c>
      <c r="F989" s="39" t="s">
        <v>171</v>
      </c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  <c r="AA989" s="29"/>
      <c r="AB989" s="29"/>
      <c r="AC989" s="29"/>
      <c r="AD989" s="29"/>
      <c r="AE989" s="29"/>
      <c r="AJ989"/>
      <c r="AK989"/>
      <c r="AL989"/>
      <c r="AM989"/>
      <c r="AN989"/>
      <c r="AO989"/>
      <c r="AP989"/>
      <c r="AQ989"/>
      <c r="AR989"/>
      <c r="AS989"/>
      <c r="AT989" s="4" t="str">
        <f t="shared" si="110"/>
        <v>运营费用技术服务费</v>
      </c>
      <c r="AU989" s="4" t="str">
        <f t="shared" si="106"/>
        <v>财富及养老金融部</v>
      </c>
      <c r="AV989" s="4" t="str">
        <f t="shared" si="107"/>
        <v>运营费用</v>
      </c>
      <c r="AW989" s="4" t="str">
        <f>IFERROR(VLOOKUP(AV989,[1]字段!A:B,2,0),"")</f>
        <v>运营费用</v>
      </c>
      <c r="AX989" s="30" t="str">
        <f>IF(AW989="人力费用",IF(E989="","",VLOOKUP(E989,[1]字段!D:E,2,0)),AW989)</f>
        <v>运营费用</v>
      </c>
      <c r="AY989" s="30" t="str">
        <f>IF(AT989="","",VLOOKUP(AT989,[1]字段!H:I,2,0))</f>
        <v>运营费用-运营其他</v>
      </c>
      <c r="AZ989" s="31">
        <f t="shared" si="111"/>
        <v>0</v>
      </c>
      <c r="BA989" s="31">
        <f t="shared" si="108"/>
        <v>0</v>
      </c>
      <c r="BB989" s="31">
        <f t="shared" si="109"/>
        <v>0</v>
      </c>
      <c r="BC989" s="31">
        <f t="shared" si="112"/>
        <v>0</v>
      </c>
    </row>
    <row r="990" spans="1:55" ht="28.5" customHeight="1">
      <c r="A990" s="32"/>
      <c r="B990" s="32"/>
      <c r="C990" s="41"/>
      <c r="D990" s="42"/>
      <c r="E990" s="39" t="s">
        <v>83</v>
      </c>
      <c r="F990" s="39" t="s">
        <v>84</v>
      </c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  <c r="AA990" s="29"/>
      <c r="AB990" s="29"/>
      <c r="AC990" s="29"/>
      <c r="AD990" s="29"/>
      <c r="AE990" s="29"/>
      <c r="AJ990"/>
      <c r="AK990"/>
      <c r="AL990"/>
      <c r="AM990"/>
      <c r="AN990"/>
      <c r="AO990"/>
      <c r="AP990"/>
      <c r="AQ990"/>
      <c r="AR990"/>
      <c r="AS990"/>
      <c r="AT990" s="4" t="str">
        <f t="shared" si="110"/>
        <v>运营费用其他外包服务费</v>
      </c>
      <c r="AU990" s="4" t="str">
        <f t="shared" si="106"/>
        <v>财富及养老金融部</v>
      </c>
      <c r="AV990" s="4" t="str">
        <f t="shared" si="107"/>
        <v>运营费用</v>
      </c>
      <c r="AW990" s="4" t="str">
        <f>IFERROR(VLOOKUP(AV990,[1]字段!A:B,2,0),"")</f>
        <v>运营费用</v>
      </c>
      <c r="AX990" s="30" t="str">
        <f>IF(AW990="人力费用",IF(E990="","",VLOOKUP(E990,[1]字段!D:E,2,0)),AW990)</f>
        <v>运营费用</v>
      </c>
      <c r="AY990" s="30" t="str">
        <f>IF(AT990="","",VLOOKUP(AT990,[1]字段!H:I,2,0))</f>
        <v>运营费用-外包服务费</v>
      </c>
      <c r="AZ990" s="31">
        <f t="shared" si="111"/>
        <v>0</v>
      </c>
      <c r="BA990" s="31">
        <f t="shared" si="108"/>
        <v>0</v>
      </c>
      <c r="BB990" s="31">
        <f t="shared" si="109"/>
        <v>0</v>
      </c>
      <c r="BC990" s="31">
        <f t="shared" si="112"/>
        <v>0</v>
      </c>
    </row>
    <row r="991" spans="1:55" ht="28.5" customHeight="1">
      <c r="C991" s="33" t="s">
        <v>65</v>
      </c>
      <c r="D991" s="34" t="s">
        <v>66</v>
      </c>
      <c r="E991" s="35"/>
      <c r="F991" s="36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  <c r="AA991" s="29"/>
      <c r="AB991" s="29"/>
      <c r="AC991" s="29"/>
      <c r="AD991" s="29"/>
      <c r="AE991" s="29"/>
      <c r="AJ991"/>
      <c r="AK991"/>
      <c r="AL991"/>
      <c r="AM991"/>
      <c r="AN991"/>
      <c r="AO991"/>
      <c r="AP991"/>
      <c r="AQ991"/>
      <c r="AR991"/>
      <c r="AS991"/>
      <c r="AT991" s="4" t="str">
        <f t="shared" si="110"/>
        <v>IT费用</v>
      </c>
      <c r="AU991" s="4" t="str">
        <f t="shared" si="106"/>
        <v>财富及养老金融部</v>
      </c>
      <c r="AV991" s="4" t="str">
        <f t="shared" si="107"/>
        <v>IT科技费用</v>
      </c>
      <c r="AW991" s="4" t="str">
        <f>IFERROR(VLOOKUP(AV991,[1]字段!A:B,2,0),"")</f>
        <v>IT费用</v>
      </c>
      <c r="AX991" s="30" t="str">
        <f>IF(AW991="人力费用",IF(E991="","",VLOOKUP(E991,[1]字段!D:E,2,0)),AW991)</f>
        <v>IT费用</v>
      </c>
      <c r="AY991" s="30">
        <f>IF(AT991="","",VLOOKUP(AT991,[1]字段!H:I,2,0))</f>
        <v>0</v>
      </c>
      <c r="AZ991" s="31">
        <f t="shared" si="111"/>
        <v>0</v>
      </c>
      <c r="BA991" s="31">
        <f t="shared" si="108"/>
        <v>0</v>
      </c>
      <c r="BB991" s="31">
        <f t="shared" si="109"/>
        <v>0</v>
      </c>
      <c r="BC991" s="31">
        <f t="shared" si="112"/>
        <v>0</v>
      </c>
    </row>
    <row r="992" spans="1:55" ht="28.5" customHeight="1">
      <c r="A992" s="32"/>
      <c r="B992" s="32"/>
      <c r="C992" s="37"/>
      <c r="D992" s="38"/>
      <c r="E992" s="39" t="s">
        <v>71</v>
      </c>
      <c r="F992" s="39" t="s">
        <v>72</v>
      </c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  <c r="AA992" s="29"/>
      <c r="AB992" s="29"/>
      <c r="AC992" s="29"/>
      <c r="AD992" s="29"/>
      <c r="AE992" s="29"/>
      <c r="AJ992"/>
      <c r="AK992"/>
      <c r="AL992"/>
      <c r="AM992"/>
      <c r="AN992"/>
      <c r="AO992"/>
      <c r="AP992"/>
      <c r="AQ992"/>
      <c r="AR992"/>
      <c r="AS992"/>
      <c r="AT992" s="4" t="str">
        <f t="shared" si="110"/>
        <v>IT费用办公IT设备折旧费</v>
      </c>
      <c r="AU992" s="4" t="str">
        <f t="shared" si="106"/>
        <v>财富及养老金融部</v>
      </c>
      <c r="AV992" s="4" t="str">
        <f t="shared" si="107"/>
        <v>IT科技费用</v>
      </c>
      <c r="AW992" s="4" t="str">
        <f>IFERROR(VLOOKUP(AV992,[1]字段!A:B,2,0),"")</f>
        <v>IT费用</v>
      </c>
      <c r="AX992" s="30" t="str">
        <f>IF(AW992="人力费用",IF(E992="","",VLOOKUP(E992,[1]字段!D:E,2,0)),AW992)</f>
        <v>IT费用</v>
      </c>
      <c r="AY992" s="30" t="str">
        <f>IF(AT992="","",VLOOKUP(AT992,[1]字段!H:I,2,0))</f>
        <v>IT费用</v>
      </c>
      <c r="AZ992" s="31">
        <f t="shared" si="111"/>
        <v>0</v>
      </c>
      <c r="BA992" s="31">
        <f t="shared" si="108"/>
        <v>0</v>
      </c>
      <c r="BB992" s="31">
        <f t="shared" si="109"/>
        <v>0</v>
      </c>
      <c r="BC992" s="31">
        <f t="shared" si="112"/>
        <v>0</v>
      </c>
    </row>
    <row r="993" spans="1:55" ht="28.5" customHeight="1">
      <c r="A993" s="32"/>
      <c r="B993" s="32"/>
      <c r="C993" s="32"/>
      <c r="D993" s="40"/>
      <c r="E993" s="39" t="s">
        <v>73</v>
      </c>
      <c r="F993" s="39" t="s">
        <v>74</v>
      </c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  <c r="AA993" s="29"/>
      <c r="AB993" s="29"/>
      <c r="AC993" s="29"/>
      <c r="AD993" s="29"/>
      <c r="AE993" s="29"/>
      <c r="AJ993"/>
      <c r="AK993"/>
      <c r="AL993"/>
      <c r="AM993"/>
      <c r="AN993"/>
      <c r="AO993"/>
      <c r="AP993"/>
      <c r="AQ993"/>
      <c r="AR993"/>
      <c r="AS993"/>
      <c r="AT993" s="4" t="str">
        <f t="shared" si="110"/>
        <v>IT费用计算机软件摊销</v>
      </c>
      <c r="AU993" s="4" t="str">
        <f t="shared" si="106"/>
        <v>财富及养老金融部</v>
      </c>
      <c r="AV993" s="4" t="str">
        <f t="shared" si="107"/>
        <v>IT科技费用</v>
      </c>
      <c r="AW993" s="4" t="str">
        <f>IFERROR(VLOOKUP(AV993,[1]字段!A:B,2,0),"")</f>
        <v>IT费用</v>
      </c>
      <c r="AX993" s="30" t="str">
        <f>IF(AW993="人力费用",IF(E993="","",VLOOKUP(E993,[1]字段!D:E,2,0)),AW993)</f>
        <v>IT费用</v>
      </c>
      <c r="AY993" s="30" t="str">
        <f>IF(AT993="","",VLOOKUP(AT993,[1]字段!H:I,2,0))</f>
        <v>IT费用</v>
      </c>
      <c r="AZ993" s="31">
        <f t="shared" si="111"/>
        <v>0</v>
      </c>
      <c r="BA993" s="31">
        <f t="shared" si="108"/>
        <v>0</v>
      </c>
      <c r="BB993" s="31">
        <f t="shared" si="109"/>
        <v>0</v>
      </c>
      <c r="BC993" s="31">
        <f t="shared" si="112"/>
        <v>0</v>
      </c>
    </row>
    <row r="994" spans="1:55" ht="28.5" customHeight="1">
      <c r="A994" s="32"/>
      <c r="B994" s="32"/>
      <c r="C994" s="41"/>
      <c r="D994" s="42"/>
      <c r="E994" s="39" t="s">
        <v>81</v>
      </c>
      <c r="F994" s="39" t="s">
        <v>82</v>
      </c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  <c r="AA994" s="29"/>
      <c r="AB994" s="29"/>
      <c r="AC994" s="29"/>
      <c r="AD994" s="29"/>
      <c r="AE994" s="29"/>
      <c r="AJ994"/>
      <c r="AK994"/>
      <c r="AL994"/>
      <c r="AM994"/>
      <c r="AN994"/>
      <c r="AO994"/>
      <c r="AP994"/>
      <c r="AQ994"/>
      <c r="AR994"/>
      <c r="AS994"/>
      <c r="AT994" s="4" t="str">
        <f t="shared" si="110"/>
        <v>IT费用电子设备运转费 </v>
      </c>
      <c r="AU994" s="4" t="str">
        <f t="shared" si="106"/>
        <v>财富及养老金融部</v>
      </c>
      <c r="AV994" s="4" t="str">
        <f t="shared" si="107"/>
        <v>IT科技费用</v>
      </c>
      <c r="AW994" s="4" t="str">
        <f>IFERROR(VLOOKUP(AV994,[1]字段!A:B,2,0),"")</f>
        <v>IT费用</v>
      </c>
      <c r="AX994" s="30" t="str">
        <f>IF(AW994="人力费用",IF(E994="","",VLOOKUP(E994,[1]字段!D:E,2,0)),AW994)</f>
        <v>IT费用</v>
      </c>
      <c r="AY994" s="30" t="str">
        <f>IF(AT994="","",VLOOKUP(AT994,[1]字段!H:I,2,0))</f>
        <v>IT费用</v>
      </c>
      <c r="AZ994" s="31">
        <f t="shared" si="111"/>
        <v>0</v>
      </c>
      <c r="BA994" s="31">
        <f t="shared" si="108"/>
        <v>0</v>
      </c>
      <c r="BB994" s="31">
        <f t="shared" si="109"/>
        <v>0</v>
      </c>
      <c r="BC994" s="31">
        <f t="shared" si="112"/>
        <v>0</v>
      </c>
    </row>
    <row r="995" spans="1:55" ht="28.5" customHeight="1">
      <c r="C995" s="33" t="s">
        <v>93</v>
      </c>
      <c r="D995" s="34" t="s">
        <v>94</v>
      </c>
      <c r="E995" s="35"/>
      <c r="F995" s="36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  <c r="AA995" s="29"/>
      <c r="AB995" s="29"/>
      <c r="AC995" s="29"/>
      <c r="AD995" s="29"/>
      <c r="AE995" s="29"/>
      <c r="AJ995"/>
      <c r="AK995"/>
      <c r="AL995"/>
      <c r="AM995"/>
      <c r="AN995"/>
      <c r="AO995"/>
      <c r="AP995"/>
      <c r="AQ995"/>
      <c r="AR995"/>
      <c r="AS995"/>
      <c r="AT995" s="4" t="str">
        <f t="shared" si="110"/>
        <v>日常费用</v>
      </c>
      <c r="AU995" s="4" t="str">
        <f t="shared" si="106"/>
        <v>财富及养老金融部</v>
      </c>
      <c r="AV995" s="4" t="str">
        <f t="shared" si="107"/>
        <v>日常费用</v>
      </c>
      <c r="AW995" s="4" t="str">
        <f>IFERROR(VLOOKUP(AV995,[1]字段!A:B,2,0),"")</f>
        <v>日常费用</v>
      </c>
      <c r="AX995" s="30" t="str">
        <f>IF(AW995="人力费用",IF(E995="","",VLOOKUP(E995,[1]字段!D:E,2,0)),AW995)</f>
        <v>日常费用</v>
      </c>
      <c r="AY995" s="30">
        <f>IF(AT995="","",VLOOKUP(AT995,[1]字段!H:I,2,0))</f>
        <v>0</v>
      </c>
      <c r="AZ995" s="31">
        <f t="shared" si="111"/>
        <v>0</v>
      </c>
      <c r="BA995" s="31">
        <f t="shared" si="108"/>
        <v>0</v>
      </c>
      <c r="BB995" s="31">
        <f t="shared" si="109"/>
        <v>0</v>
      </c>
      <c r="BC995" s="31">
        <f t="shared" si="112"/>
        <v>0</v>
      </c>
    </row>
    <row r="996" spans="1:55" ht="28.5" customHeight="1">
      <c r="A996" s="32"/>
      <c r="B996" s="32"/>
      <c r="C996" s="37"/>
      <c r="D996" s="38"/>
      <c r="E996" s="39" t="s">
        <v>77</v>
      </c>
      <c r="F996" s="39" t="s">
        <v>78</v>
      </c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  <c r="AA996" s="29"/>
      <c r="AB996" s="29"/>
      <c r="AC996" s="29"/>
      <c r="AD996" s="29"/>
      <c r="AE996" s="29"/>
      <c r="AJ996"/>
      <c r="AK996"/>
      <c r="AL996"/>
      <c r="AM996"/>
      <c r="AN996"/>
      <c r="AO996"/>
      <c r="AP996"/>
      <c r="AQ996"/>
      <c r="AR996"/>
      <c r="AS996"/>
      <c r="AT996" s="4" t="str">
        <f t="shared" si="110"/>
        <v>日常费用咨询费</v>
      </c>
      <c r="AU996" s="4" t="str">
        <f t="shared" si="106"/>
        <v>财富及养老金融部</v>
      </c>
      <c r="AV996" s="4" t="str">
        <f t="shared" si="107"/>
        <v>日常费用</v>
      </c>
      <c r="AW996" s="4" t="str">
        <f>IFERROR(VLOOKUP(AV996,[1]字段!A:B,2,0),"")</f>
        <v>日常费用</v>
      </c>
      <c r="AX996" s="30" t="str">
        <f>IF(AW996="人力费用",IF(E996="","",VLOOKUP(E996,[1]字段!D:E,2,0)),AW996)</f>
        <v>日常费用</v>
      </c>
      <c r="AY996" s="30" t="str">
        <f>IF(AT996="","",VLOOKUP(AT996,[1]字段!H:I,2,0))</f>
        <v>日常费用-咨询费</v>
      </c>
      <c r="AZ996" s="31">
        <f t="shared" si="111"/>
        <v>0</v>
      </c>
      <c r="BA996" s="31">
        <f t="shared" si="108"/>
        <v>0</v>
      </c>
      <c r="BB996" s="31">
        <f t="shared" si="109"/>
        <v>0</v>
      </c>
      <c r="BC996" s="31">
        <f t="shared" si="112"/>
        <v>0</v>
      </c>
    </row>
    <row r="997" spans="1:55" ht="28.5" customHeight="1">
      <c r="A997" s="32"/>
      <c r="B997" s="32"/>
      <c r="C997" s="32"/>
      <c r="D997" s="40"/>
      <c r="E997" s="39" t="s">
        <v>91</v>
      </c>
      <c r="F997" s="39" t="s">
        <v>92</v>
      </c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  <c r="AA997" s="29"/>
      <c r="AB997" s="29"/>
      <c r="AC997" s="29"/>
      <c r="AD997" s="29"/>
      <c r="AE997" s="29"/>
      <c r="AJ997"/>
      <c r="AK997"/>
      <c r="AL997"/>
      <c r="AM997"/>
      <c r="AN997"/>
      <c r="AO997"/>
      <c r="AP997"/>
      <c r="AQ997"/>
      <c r="AR997"/>
      <c r="AS997"/>
      <c r="AT997" s="4" t="str">
        <f t="shared" si="110"/>
        <v>日常费用办公费用</v>
      </c>
      <c r="AU997" s="4" t="str">
        <f t="shared" si="106"/>
        <v>财富及养老金融部</v>
      </c>
      <c r="AV997" s="4" t="str">
        <f t="shared" si="107"/>
        <v>日常费用</v>
      </c>
      <c r="AW997" s="4" t="str">
        <f>IFERROR(VLOOKUP(AV997,[1]字段!A:B,2,0),"")</f>
        <v>日常费用</v>
      </c>
      <c r="AX997" s="30" t="str">
        <f>IF(AW997="人力费用",IF(E997="","",VLOOKUP(E997,[1]字段!D:E,2,0)),AW997)</f>
        <v>日常费用</v>
      </c>
      <c r="AY997" s="30" t="str">
        <f>IF(AT997="","",VLOOKUP(AT997,[1]字段!H:I,2,0))</f>
        <v>日常费用-其他</v>
      </c>
      <c r="AZ997" s="31">
        <f t="shared" si="111"/>
        <v>0</v>
      </c>
      <c r="BA997" s="31">
        <f t="shared" si="108"/>
        <v>0</v>
      </c>
      <c r="BB997" s="31">
        <f t="shared" si="109"/>
        <v>0</v>
      </c>
      <c r="BC997" s="31">
        <f t="shared" si="112"/>
        <v>0</v>
      </c>
    </row>
    <row r="998" spans="1:55" ht="28.5" customHeight="1">
      <c r="A998" s="32"/>
      <c r="B998" s="32"/>
      <c r="C998" s="32"/>
      <c r="D998" s="40"/>
      <c r="E998" s="39" t="s">
        <v>170</v>
      </c>
      <c r="F998" s="39" t="s">
        <v>171</v>
      </c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  <c r="AA998" s="29"/>
      <c r="AB998" s="29"/>
      <c r="AC998" s="29"/>
      <c r="AD998" s="29"/>
      <c r="AE998" s="29"/>
      <c r="AJ998"/>
      <c r="AK998"/>
      <c r="AL998"/>
      <c r="AM998"/>
      <c r="AN998"/>
      <c r="AO998"/>
      <c r="AP998"/>
      <c r="AQ998"/>
      <c r="AR998"/>
      <c r="AS998"/>
      <c r="AT998" s="4" t="str">
        <f t="shared" si="110"/>
        <v>日常费用技术服务费</v>
      </c>
      <c r="AU998" s="4" t="str">
        <f t="shared" si="106"/>
        <v>财富及养老金融部</v>
      </c>
      <c r="AV998" s="4" t="str">
        <f t="shared" si="107"/>
        <v>日常费用</v>
      </c>
      <c r="AW998" s="4" t="str">
        <f>IFERROR(VLOOKUP(AV998,[1]字段!A:B,2,0),"")</f>
        <v>日常费用</v>
      </c>
      <c r="AX998" s="30" t="str">
        <f>IF(AW998="人力费用",IF(E998="","",VLOOKUP(E998,[1]字段!D:E,2,0)),AW998)</f>
        <v>日常费用</v>
      </c>
      <c r="AY998" s="30" t="str">
        <f>IF(AT998="","",VLOOKUP(AT998,[1]字段!H:I,2,0))</f>
        <v>日常费用-其他</v>
      </c>
      <c r="AZ998" s="31">
        <f t="shared" si="111"/>
        <v>0</v>
      </c>
      <c r="BA998" s="31">
        <f t="shared" si="108"/>
        <v>0</v>
      </c>
      <c r="BB998" s="31">
        <f t="shared" si="109"/>
        <v>0</v>
      </c>
      <c r="BC998" s="31">
        <f t="shared" si="112"/>
        <v>0</v>
      </c>
    </row>
    <row r="999" spans="1:55" ht="28.5" customHeight="1">
      <c r="A999" s="32"/>
      <c r="B999" s="32"/>
      <c r="C999" s="32"/>
      <c r="D999" s="40"/>
      <c r="E999" s="39" t="s">
        <v>204</v>
      </c>
      <c r="F999" s="39" t="s">
        <v>205</v>
      </c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  <c r="AA999" s="29"/>
      <c r="AB999" s="29"/>
      <c r="AC999" s="29"/>
      <c r="AD999" s="29"/>
      <c r="AE999" s="29"/>
      <c r="AJ999"/>
      <c r="AK999"/>
      <c r="AL999"/>
      <c r="AM999"/>
      <c r="AN999"/>
      <c r="AO999"/>
      <c r="AP999"/>
      <c r="AQ999"/>
      <c r="AR999"/>
      <c r="AS999"/>
      <c r="AT999" s="4" t="str">
        <f t="shared" si="110"/>
        <v>日常费用IC卡制卡费</v>
      </c>
      <c r="AU999" s="4" t="str">
        <f t="shared" si="106"/>
        <v>财富及养老金融部</v>
      </c>
      <c r="AV999" s="4" t="str">
        <f t="shared" si="107"/>
        <v>日常费用</v>
      </c>
      <c r="AW999" s="4" t="str">
        <f>IFERROR(VLOOKUP(AV999,[1]字段!A:B,2,0),"")</f>
        <v>日常费用</v>
      </c>
      <c r="AX999" s="30" t="str">
        <f>IF(AW999="人力费用",IF(E999="","",VLOOKUP(E999,[1]字段!D:E,2,0)),AW999)</f>
        <v>日常费用</v>
      </c>
      <c r="AY999" s="30" t="str">
        <f>IF(AT999="","",VLOOKUP(AT999,[1]字段!H:I,2,0))</f>
        <v>日常费用-其他</v>
      </c>
      <c r="AZ999" s="31">
        <f t="shared" si="111"/>
        <v>0</v>
      </c>
      <c r="BA999" s="31">
        <f t="shared" si="108"/>
        <v>0</v>
      </c>
      <c r="BB999" s="31">
        <f t="shared" si="109"/>
        <v>0</v>
      </c>
      <c r="BC999" s="31">
        <f t="shared" si="112"/>
        <v>0</v>
      </c>
    </row>
    <row r="1000" spans="1:55" ht="28.5" customHeight="1">
      <c r="A1000" s="32"/>
      <c r="B1000" s="32"/>
      <c r="C1000" s="32"/>
      <c r="D1000" s="40"/>
      <c r="E1000" s="39" t="s">
        <v>95</v>
      </c>
      <c r="F1000" s="39" t="s">
        <v>96</v>
      </c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  <c r="AA1000" s="29"/>
      <c r="AB1000" s="29"/>
      <c r="AC1000" s="29"/>
      <c r="AD1000" s="29"/>
      <c r="AE1000" s="29"/>
      <c r="AJ1000"/>
      <c r="AK1000"/>
      <c r="AL1000"/>
      <c r="AM1000"/>
      <c r="AN1000"/>
      <c r="AO1000"/>
      <c r="AP1000"/>
      <c r="AQ1000"/>
      <c r="AR1000"/>
      <c r="AS1000"/>
      <c r="AT1000" s="4" t="str">
        <f t="shared" si="110"/>
        <v>日常费用业务招待费</v>
      </c>
      <c r="AU1000" s="4" t="str">
        <f t="shared" si="106"/>
        <v>财富及养老金融部</v>
      </c>
      <c r="AV1000" s="4" t="str">
        <f t="shared" si="107"/>
        <v>日常费用</v>
      </c>
      <c r="AW1000" s="4" t="str">
        <f>IFERROR(VLOOKUP(AV1000,[1]字段!A:B,2,0),"")</f>
        <v>日常费用</v>
      </c>
      <c r="AX1000" s="30" t="str">
        <f>IF(AW1000="人力费用",IF(E1000="","",VLOOKUP(E1000,[1]字段!D:E,2,0)),AW1000)</f>
        <v>日常费用</v>
      </c>
      <c r="AY1000" s="30" t="str">
        <f>IF(AT1000="","",VLOOKUP(AT1000,[1]字段!H:I,2,0))</f>
        <v>日常费用-其他</v>
      </c>
      <c r="AZ1000" s="31">
        <f t="shared" si="111"/>
        <v>0</v>
      </c>
      <c r="BA1000" s="31">
        <f t="shared" si="108"/>
        <v>0</v>
      </c>
      <c r="BB1000" s="31">
        <f t="shared" si="109"/>
        <v>0</v>
      </c>
      <c r="BC1000" s="31">
        <f t="shared" si="112"/>
        <v>0</v>
      </c>
    </row>
    <row r="1001" spans="1:55" ht="28.5" customHeight="1">
      <c r="A1001" s="41"/>
      <c r="B1001" s="41"/>
      <c r="C1001" s="41"/>
      <c r="D1001" s="42"/>
      <c r="E1001" s="39" t="s">
        <v>104</v>
      </c>
      <c r="F1001" s="39" t="s">
        <v>105</v>
      </c>
      <c r="G1001" s="29"/>
      <c r="H1001" s="29"/>
      <c r="I1001" s="29"/>
      <c r="J1001" s="29"/>
      <c r="K1001" s="29"/>
      <c r="L1001" s="29"/>
      <c r="M1001" s="29"/>
      <c r="N1001" s="29"/>
      <c r="O1001" s="29"/>
      <c r="P1001" s="29"/>
      <c r="Q1001" s="29"/>
      <c r="R1001" s="29"/>
      <c r="S1001" s="29"/>
      <c r="T1001" s="29"/>
      <c r="U1001" s="29"/>
      <c r="V1001" s="29"/>
      <c r="W1001" s="29"/>
      <c r="X1001" s="29"/>
      <c r="Y1001" s="29"/>
      <c r="Z1001" s="29"/>
      <c r="AA1001" s="29"/>
      <c r="AB1001" s="29"/>
      <c r="AC1001" s="29"/>
      <c r="AD1001" s="29"/>
      <c r="AE1001" s="29"/>
      <c r="AJ1001"/>
      <c r="AK1001"/>
      <c r="AL1001"/>
      <c r="AM1001"/>
      <c r="AN1001"/>
      <c r="AO1001"/>
      <c r="AP1001"/>
      <c r="AQ1001"/>
      <c r="AR1001"/>
      <c r="AS1001"/>
      <c r="AT1001" s="4" t="str">
        <f t="shared" si="110"/>
        <v>日常费用会议费</v>
      </c>
      <c r="AU1001" s="4" t="str">
        <f t="shared" si="106"/>
        <v>财富及养老金融部</v>
      </c>
      <c r="AV1001" s="4" t="str">
        <f t="shared" si="107"/>
        <v>日常费用</v>
      </c>
      <c r="AW1001" s="4" t="str">
        <f>IFERROR(VLOOKUP(AV1001,[1]字段!A:B,2,0),"")</f>
        <v>日常费用</v>
      </c>
      <c r="AX1001" s="30" t="str">
        <f>IF(AW1001="人力费用",IF(E1001="","",VLOOKUP(E1001,[1]字段!D:E,2,0)),AW1001)</f>
        <v>日常费用</v>
      </c>
      <c r="AY1001" s="30" t="str">
        <f>IF(AT1001="","",VLOOKUP(AT1001,[1]字段!H:I,2,0))</f>
        <v>日常费用-其他</v>
      </c>
      <c r="AZ1001" s="31">
        <f t="shared" si="111"/>
        <v>0</v>
      </c>
      <c r="BA1001" s="31">
        <f t="shared" si="108"/>
        <v>0</v>
      </c>
      <c r="BB1001" s="31">
        <f t="shared" si="109"/>
        <v>0</v>
      </c>
      <c r="BC1001" s="31">
        <f t="shared" si="112"/>
        <v>0</v>
      </c>
    </row>
    <row r="1002" spans="1:55" ht="28.5" customHeight="1">
      <c r="A1002" s="25"/>
      <c r="B1002" s="26" t="s">
        <v>206</v>
      </c>
      <c r="C1002" s="27"/>
      <c r="D1002" s="27"/>
      <c r="E1002" s="27"/>
      <c r="F1002" s="28"/>
      <c r="G1002" s="29"/>
      <c r="H1002" s="29"/>
      <c r="I1002" s="29"/>
      <c r="J1002" s="29"/>
      <c r="K1002" s="29"/>
      <c r="L1002" s="29"/>
      <c r="M1002" s="29"/>
      <c r="N1002" s="29"/>
      <c r="O1002" s="29"/>
      <c r="P1002" s="29"/>
      <c r="Q1002" s="29"/>
      <c r="R1002" s="29"/>
      <c r="S1002" s="29"/>
      <c r="T1002" s="29"/>
      <c r="U1002" s="29"/>
      <c r="V1002" s="29"/>
      <c r="W1002" s="29"/>
      <c r="X1002" s="29"/>
      <c r="Y1002" s="29"/>
      <c r="Z1002" s="29"/>
      <c r="AA1002" s="29"/>
      <c r="AB1002" s="29"/>
      <c r="AC1002" s="29"/>
      <c r="AD1002" s="29"/>
      <c r="AE1002" s="29"/>
      <c r="AJ1002"/>
      <c r="AK1002"/>
      <c r="AL1002"/>
      <c r="AM1002"/>
      <c r="AN1002"/>
      <c r="AO1002"/>
      <c r="AP1002"/>
      <c r="AQ1002"/>
      <c r="AR1002"/>
      <c r="AS1002"/>
      <c r="AT1002" s="4" t="str">
        <f t="shared" si="110"/>
        <v/>
      </c>
      <c r="AU1002" s="4" t="str">
        <f t="shared" si="106"/>
        <v>财富数字产品部</v>
      </c>
      <c r="AV1002" s="4" t="str">
        <f t="shared" si="107"/>
        <v/>
      </c>
      <c r="AW1002" s="4" t="str">
        <f>IFERROR(VLOOKUP(AV1002,[1]字段!A:B,2,0),"")</f>
        <v/>
      </c>
      <c r="AX1002" s="30" t="str">
        <f>IF(AW1002="人力费用",IF(E1002="","",VLOOKUP(E1002,[1]字段!D:E,2,0)),AW1002)</f>
        <v/>
      </c>
      <c r="AY1002" s="30" t="str">
        <f>IF(AT1002="","",VLOOKUP(AT1002,[1]字段!H:I,2,0))</f>
        <v/>
      </c>
      <c r="AZ1002" s="31">
        <f t="shared" si="111"/>
        <v>0</v>
      </c>
      <c r="BA1002" s="31">
        <f t="shared" si="108"/>
        <v>0</v>
      </c>
      <c r="BB1002" s="31">
        <f t="shared" si="109"/>
        <v>0</v>
      </c>
      <c r="BC1002" s="31">
        <f t="shared" si="112"/>
        <v>0</v>
      </c>
    </row>
    <row r="1003" spans="1:55" ht="28.5" customHeight="1">
      <c r="A1003" s="32"/>
      <c r="B1003" s="32"/>
      <c r="C1003" s="33" t="s">
        <v>39</v>
      </c>
      <c r="D1003" s="34" t="s">
        <v>40</v>
      </c>
      <c r="E1003" s="35"/>
      <c r="F1003" s="36"/>
      <c r="G1003" s="29"/>
      <c r="H1003" s="29"/>
      <c r="I1003" s="29"/>
      <c r="J1003" s="29"/>
      <c r="K1003" s="29"/>
      <c r="L1003" s="29"/>
      <c r="M1003" s="29"/>
      <c r="N1003" s="29"/>
      <c r="O1003" s="29"/>
      <c r="P1003" s="29"/>
      <c r="Q1003" s="29"/>
      <c r="R1003" s="29"/>
      <c r="S1003" s="29"/>
      <c r="T1003" s="29"/>
      <c r="U1003" s="29"/>
      <c r="V1003" s="29"/>
      <c r="W1003" s="29"/>
      <c r="X1003" s="29"/>
      <c r="Y1003" s="29"/>
      <c r="Z1003" s="29"/>
      <c r="AA1003" s="29"/>
      <c r="AB1003" s="29"/>
      <c r="AC1003" s="29"/>
      <c r="AD1003" s="29"/>
      <c r="AE1003" s="29"/>
      <c r="AJ1003"/>
      <c r="AK1003"/>
      <c r="AL1003"/>
      <c r="AM1003"/>
      <c r="AN1003"/>
      <c r="AO1003"/>
      <c r="AP1003"/>
      <c r="AQ1003"/>
      <c r="AR1003"/>
      <c r="AS1003"/>
      <c r="AT1003" s="4" t="str">
        <f t="shared" si="110"/>
        <v/>
      </c>
      <c r="AU1003" s="4" t="str">
        <f t="shared" si="106"/>
        <v>财富数字产品部</v>
      </c>
      <c r="AV1003" s="4" t="str">
        <f t="shared" si="107"/>
        <v>人力费用</v>
      </c>
      <c r="AW1003" s="4" t="str">
        <f>IFERROR(VLOOKUP(AV1003,[1]字段!A:B,2,0),"")</f>
        <v>人力费用</v>
      </c>
      <c r="AX1003" s="30" t="str">
        <f>IF(AW1003="人力费用",IF(E1003="","",VLOOKUP(E1003,[1]字段!D:E,2,0)),AW1003)</f>
        <v/>
      </c>
      <c r="AY1003" s="30" t="str">
        <f>IF(AT1003="","",VLOOKUP(AT1003,[1]字段!H:I,2,0))</f>
        <v/>
      </c>
      <c r="AZ1003" s="31">
        <f t="shared" si="111"/>
        <v>0</v>
      </c>
      <c r="BA1003" s="31">
        <f t="shared" si="108"/>
        <v>0</v>
      </c>
      <c r="BB1003" s="31">
        <f t="shared" si="109"/>
        <v>0</v>
      </c>
      <c r="BC1003" s="31">
        <f t="shared" si="112"/>
        <v>0</v>
      </c>
    </row>
    <row r="1004" spans="1:55" ht="28.5" customHeight="1">
      <c r="A1004" s="32"/>
      <c r="B1004" s="32"/>
      <c r="C1004" s="37"/>
      <c r="D1004" s="38"/>
      <c r="E1004" s="39" t="s">
        <v>41</v>
      </c>
      <c r="F1004" s="39" t="s">
        <v>42</v>
      </c>
      <c r="G1004" s="29"/>
      <c r="H1004" s="29"/>
      <c r="I1004" s="29"/>
      <c r="J1004" s="29"/>
      <c r="K1004" s="29"/>
      <c r="L1004" s="29"/>
      <c r="M1004" s="29"/>
      <c r="N1004" s="29"/>
      <c r="O1004" s="29"/>
      <c r="P1004" s="29"/>
      <c r="Q1004" s="29"/>
      <c r="R1004" s="29"/>
      <c r="S1004" s="29"/>
      <c r="T1004" s="29"/>
      <c r="U1004" s="29"/>
      <c r="V1004" s="29"/>
      <c r="W1004" s="29"/>
      <c r="X1004" s="29"/>
      <c r="Y1004" s="29"/>
      <c r="Z1004" s="29"/>
      <c r="AA1004" s="29"/>
      <c r="AB1004" s="29"/>
      <c r="AC1004" s="29"/>
      <c r="AD1004" s="29"/>
      <c r="AE1004" s="29"/>
      <c r="AJ1004"/>
      <c r="AK1004"/>
      <c r="AL1004"/>
      <c r="AM1004"/>
      <c r="AN1004"/>
      <c r="AO1004"/>
      <c r="AP1004"/>
      <c r="AQ1004"/>
      <c r="AR1004"/>
      <c r="AS1004"/>
      <c r="AT1004" s="4" t="str">
        <f t="shared" si="110"/>
        <v>1.0倍人力基础工资</v>
      </c>
      <c r="AU1004" s="4" t="str">
        <f t="shared" si="106"/>
        <v>财富数字产品部</v>
      </c>
      <c r="AV1004" s="4" t="str">
        <f t="shared" si="107"/>
        <v>人力费用</v>
      </c>
      <c r="AW1004" s="4" t="str">
        <f>IFERROR(VLOOKUP(AV1004,[1]字段!A:B,2,0),"")</f>
        <v>人力费用</v>
      </c>
      <c r="AX1004" s="30" t="str">
        <f>IF(AW1004="人力费用",IF(E1004="","",VLOOKUP(E1004,[1]字段!D:E,2,0)),AW1004)</f>
        <v>1.0倍人力</v>
      </c>
      <c r="AY1004" s="30" t="str">
        <f>IF(AT1004="","",VLOOKUP(AT1004,[1]字段!H:I,2,0))</f>
        <v>1.0倍人力</v>
      </c>
      <c r="AZ1004" s="31">
        <f t="shared" si="111"/>
        <v>0</v>
      </c>
      <c r="BA1004" s="31">
        <f t="shared" si="108"/>
        <v>0</v>
      </c>
      <c r="BB1004" s="31">
        <f t="shared" si="109"/>
        <v>0</v>
      </c>
      <c r="BC1004" s="31">
        <f t="shared" si="112"/>
        <v>0</v>
      </c>
    </row>
    <row r="1005" spans="1:55" ht="28.5" customHeight="1">
      <c r="A1005" s="32"/>
      <c r="B1005" s="32"/>
      <c r="C1005" s="32"/>
      <c r="D1005" s="40"/>
      <c r="E1005" s="39">
        <v>5501010602</v>
      </c>
      <c r="F1005" s="39"/>
      <c r="G1005" s="29"/>
      <c r="H1005" s="29"/>
      <c r="I1005" s="29"/>
      <c r="J1005" s="29"/>
      <c r="K1005" s="29"/>
      <c r="L1005" s="29"/>
      <c r="M1005" s="29"/>
      <c r="N1005" s="29"/>
      <c r="O1005" s="29"/>
      <c r="P1005" s="29"/>
      <c r="Q1005" s="29"/>
      <c r="R1005" s="29"/>
      <c r="S1005" s="29"/>
      <c r="T1005" s="29"/>
      <c r="U1005" s="29"/>
      <c r="V1005" s="29"/>
      <c r="W1005" s="29"/>
      <c r="X1005" s="29"/>
      <c r="Y1005" s="29"/>
      <c r="Z1005" s="29"/>
      <c r="AA1005" s="29"/>
      <c r="AB1005" s="29"/>
      <c r="AC1005" s="29"/>
      <c r="AD1005" s="29"/>
      <c r="AE1005" s="29"/>
      <c r="AJ1005"/>
      <c r="AK1005"/>
      <c r="AL1005"/>
      <c r="AM1005"/>
      <c r="AN1005"/>
      <c r="AO1005"/>
      <c r="AP1005"/>
      <c r="AQ1005"/>
      <c r="AR1005"/>
      <c r="AS1005"/>
      <c r="AT1005" s="4" t="str">
        <f t="shared" si="110"/>
        <v>利润分享</v>
      </c>
      <c r="AU1005" s="4" t="str">
        <f t="shared" si="106"/>
        <v>财富数字产品部</v>
      </c>
      <c r="AV1005" s="4" t="str">
        <f t="shared" si="107"/>
        <v>人力费用</v>
      </c>
      <c r="AW1005" s="4" t="str">
        <f>IFERROR(VLOOKUP(AV1005,[1]字段!A:B,2,0),"")</f>
        <v>人力费用</v>
      </c>
      <c r="AX1005" s="30" t="str">
        <f>IF(AW1005="人力费用",IF(E1005="","",VLOOKUP(E1005,[1]字段!D:E,2,0)),AW1005)</f>
        <v>利润分享</v>
      </c>
      <c r="AY1005" s="30" t="str">
        <f>IF(AT1005="","",VLOOKUP(AT1005,[1]字段!H:I,2,0))</f>
        <v>利润分享</v>
      </c>
      <c r="AZ1005" s="31">
        <f t="shared" si="111"/>
        <v>0</v>
      </c>
      <c r="BA1005" s="31">
        <f t="shared" si="108"/>
        <v>0</v>
      </c>
      <c r="BB1005" s="31">
        <f t="shared" si="109"/>
        <v>0</v>
      </c>
      <c r="BC1005" s="31">
        <f t="shared" si="112"/>
        <v>0</v>
      </c>
    </row>
    <row r="1006" spans="1:55" ht="28.5" customHeight="1">
      <c r="A1006" s="32"/>
      <c r="B1006" s="32"/>
      <c r="C1006" s="32"/>
      <c r="D1006" s="40"/>
      <c r="E1006" s="39">
        <v>5501010603</v>
      </c>
      <c r="F1006" s="39"/>
      <c r="G1006" s="29"/>
      <c r="H1006" s="29"/>
      <c r="I1006" s="29"/>
      <c r="J1006" s="29"/>
      <c r="K1006" s="29"/>
      <c r="L1006" s="29"/>
      <c r="M1006" s="29"/>
      <c r="N1006" s="29"/>
      <c r="O1006" s="29"/>
      <c r="P1006" s="29"/>
      <c r="Q1006" s="29"/>
      <c r="R1006" s="29"/>
      <c r="S1006" s="29"/>
      <c r="T1006" s="29"/>
      <c r="U1006" s="29"/>
      <c r="V1006" s="29"/>
      <c r="W1006" s="29"/>
      <c r="X1006" s="29"/>
      <c r="Y1006" s="29"/>
      <c r="Z1006" s="29"/>
      <c r="AA1006" s="29"/>
      <c r="AB1006" s="29"/>
      <c r="AC1006" s="29"/>
      <c r="AD1006" s="29"/>
      <c r="AE1006" s="29"/>
      <c r="AJ1006"/>
      <c r="AK1006"/>
      <c r="AL1006"/>
      <c r="AM1006"/>
      <c r="AN1006"/>
      <c r="AO1006"/>
      <c r="AP1006"/>
      <c r="AQ1006"/>
      <c r="AR1006"/>
      <c r="AS1006"/>
      <c r="AT1006" s="4" t="str">
        <f t="shared" si="110"/>
        <v>留任奖励</v>
      </c>
      <c r="AU1006" s="4" t="str">
        <f t="shared" si="106"/>
        <v>财富数字产品部</v>
      </c>
      <c r="AV1006" s="4" t="str">
        <f t="shared" si="107"/>
        <v>人力费用</v>
      </c>
      <c r="AW1006" s="4" t="str">
        <f>IFERROR(VLOOKUP(AV1006,[1]字段!A:B,2,0),"")</f>
        <v>人力费用</v>
      </c>
      <c r="AX1006" s="30" t="str">
        <f>IF(AW1006="人力费用",IF(E1006="","",VLOOKUP(E1006,[1]字段!D:E,2,0)),AW1006)</f>
        <v>留任奖励</v>
      </c>
      <c r="AY1006" s="30" t="str">
        <f>IF(AT1006="","",VLOOKUP(AT1006,[1]字段!H:I,2,0))</f>
        <v>留任奖励</v>
      </c>
      <c r="AZ1006" s="31">
        <f t="shared" si="111"/>
        <v>0</v>
      </c>
      <c r="BA1006" s="31">
        <f t="shared" si="108"/>
        <v>0</v>
      </c>
      <c r="BB1006" s="31">
        <f t="shared" si="109"/>
        <v>0</v>
      </c>
      <c r="BC1006" s="31">
        <f t="shared" si="112"/>
        <v>0</v>
      </c>
    </row>
    <row r="1007" spans="1:55" ht="28.5" customHeight="1">
      <c r="A1007" s="32"/>
      <c r="B1007" s="32"/>
      <c r="C1007" s="32"/>
      <c r="D1007" s="40"/>
      <c r="E1007" s="39">
        <v>5501010604</v>
      </c>
      <c r="F1007" s="39"/>
      <c r="G1007" s="29"/>
      <c r="H1007" s="29"/>
      <c r="I1007" s="29"/>
      <c r="J1007" s="29"/>
      <c r="K1007" s="29"/>
      <c r="L1007" s="29"/>
      <c r="M1007" s="29"/>
      <c r="N1007" s="29"/>
      <c r="O1007" s="29"/>
      <c r="P1007" s="29"/>
      <c r="Q1007" s="29"/>
      <c r="R1007" s="29"/>
      <c r="S1007" s="29"/>
      <c r="T1007" s="29"/>
      <c r="U1007" s="29"/>
      <c r="V1007" s="29"/>
      <c r="W1007" s="29"/>
      <c r="X1007" s="29"/>
      <c r="Y1007" s="29"/>
      <c r="Z1007" s="29"/>
      <c r="AA1007" s="29"/>
      <c r="AB1007" s="29"/>
      <c r="AC1007" s="29"/>
      <c r="AD1007" s="29"/>
      <c r="AE1007" s="29"/>
      <c r="AJ1007"/>
      <c r="AK1007"/>
      <c r="AL1007"/>
      <c r="AM1007"/>
      <c r="AN1007"/>
      <c r="AO1007"/>
      <c r="AP1007"/>
      <c r="AQ1007"/>
      <c r="AR1007"/>
      <c r="AS1007"/>
      <c r="AT1007" s="4" t="str">
        <f t="shared" si="110"/>
        <v>1.0倍人力</v>
      </c>
      <c r="AU1007" s="4" t="str">
        <f t="shared" si="106"/>
        <v>财富数字产品部</v>
      </c>
      <c r="AV1007" s="4" t="str">
        <f t="shared" si="107"/>
        <v>人力费用</v>
      </c>
      <c r="AW1007" s="4" t="str">
        <f>IFERROR(VLOOKUP(AV1007,[1]字段!A:B,2,0),"")</f>
        <v>人力费用</v>
      </c>
      <c r="AX1007" s="30" t="str">
        <f>IF(AW1007="人力费用",IF(E1007="","",VLOOKUP(E1007,[1]字段!D:E,2,0)),AW1007)</f>
        <v>1.0倍人力</v>
      </c>
      <c r="AY1007" s="30" t="str">
        <f>IF(AT1007="","",VLOOKUP(AT1007,[1]字段!H:I,2,0))</f>
        <v>1.0倍人力</v>
      </c>
      <c r="AZ1007" s="31">
        <f t="shared" si="111"/>
        <v>0</v>
      </c>
      <c r="BA1007" s="31">
        <f t="shared" si="108"/>
        <v>0</v>
      </c>
      <c r="BB1007" s="31">
        <f t="shared" si="109"/>
        <v>0</v>
      </c>
      <c r="BC1007" s="31">
        <f t="shared" si="112"/>
        <v>0</v>
      </c>
    </row>
    <row r="1008" spans="1:55" ht="28.5" customHeight="1">
      <c r="A1008" s="32"/>
      <c r="B1008" s="32"/>
      <c r="C1008" s="32"/>
      <c r="D1008" s="40"/>
      <c r="E1008" s="39" t="s">
        <v>43</v>
      </c>
      <c r="F1008" s="39" t="s">
        <v>44</v>
      </c>
      <c r="G1008" s="29"/>
      <c r="H1008" s="29"/>
      <c r="I1008" s="29"/>
      <c r="J1008" s="29"/>
      <c r="K1008" s="29"/>
      <c r="L1008" s="29"/>
      <c r="M1008" s="29"/>
      <c r="N1008" s="29"/>
      <c r="O1008" s="29"/>
      <c r="P1008" s="29"/>
      <c r="Q1008" s="29"/>
      <c r="R1008" s="29"/>
      <c r="S1008" s="29"/>
      <c r="T1008" s="29"/>
      <c r="U1008" s="29"/>
      <c r="V1008" s="29"/>
      <c r="W1008" s="29"/>
      <c r="X1008" s="29"/>
      <c r="Y1008" s="29"/>
      <c r="Z1008" s="29"/>
      <c r="AA1008" s="29"/>
      <c r="AB1008" s="29"/>
      <c r="AC1008" s="29"/>
      <c r="AD1008" s="29"/>
      <c r="AE1008" s="29"/>
      <c r="AJ1008"/>
      <c r="AK1008"/>
      <c r="AL1008"/>
      <c r="AM1008"/>
      <c r="AN1008"/>
      <c r="AO1008"/>
      <c r="AP1008"/>
      <c r="AQ1008"/>
      <c r="AR1008"/>
      <c r="AS1008"/>
      <c r="AT1008" s="4" t="str">
        <f t="shared" si="110"/>
        <v>1.0倍人力团队建设费</v>
      </c>
      <c r="AU1008" s="4" t="str">
        <f t="shared" si="106"/>
        <v>财富数字产品部</v>
      </c>
      <c r="AV1008" s="4" t="str">
        <f t="shared" si="107"/>
        <v>人力费用</v>
      </c>
      <c r="AW1008" s="4" t="str">
        <f>IFERROR(VLOOKUP(AV1008,[1]字段!A:B,2,0),"")</f>
        <v>人力费用</v>
      </c>
      <c r="AX1008" s="30" t="str">
        <f>IF(AW1008="人力费用",IF(E1008="","",VLOOKUP(E1008,[1]字段!D:E,2,0)),AW1008)</f>
        <v>1.0倍人力</v>
      </c>
      <c r="AY1008" s="30" t="str">
        <f>IF(AT1008="","",VLOOKUP(AT1008,[1]字段!H:I,2,0))</f>
        <v>1.0倍人力</v>
      </c>
      <c r="AZ1008" s="31">
        <f t="shared" si="111"/>
        <v>0</v>
      </c>
      <c r="BA1008" s="31">
        <f t="shared" si="108"/>
        <v>0</v>
      </c>
      <c r="BB1008" s="31">
        <f t="shared" si="109"/>
        <v>0</v>
      </c>
      <c r="BC1008" s="31">
        <f t="shared" si="112"/>
        <v>0</v>
      </c>
    </row>
    <row r="1009" spans="1:55" ht="28.5" customHeight="1">
      <c r="A1009" s="32"/>
      <c r="B1009" s="32"/>
      <c r="C1009" s="32"/>
      <c r="D1009" s="40"/>
      <c r="E1009" s="39" t="s">
        <v>45</v>
      </c>
      <c r="F1009" s="39" t="s">
        <v>46</v>
      </c>
      <c r="G1009" s="29"/>
      <c r="H1009" s="29"/>
      <c r="I1009" s="29"/>
      <c r="J1009" s="29"/>
      <c r="K1009" s="29"/>
      <c r="L1009" s="29"/>
      <c r="M1009" s="29"/>
      <c r="N1009" s="29"/>
      <c r="O1009" s="29"/>
      <c r="P1009" s="29"/>
      <c r="Q1009" s="29"/>
      <c r="R1009" s="29"/>
      <c r="S1009" s="29"/>
      <c r="T1009" s="29"/>
      <c r="U1009" s="29"/>
      <c r="V1009" s="29"/>
      <c r="W1009" s="29"/>
      <c r="X1009" s="29"/>
      <c r="Y1009" s="29"/>
      <c r="Z1009" s="29"/>
      <c r="AA1009" s="29"/>
      <c r="AB1009" s="29"/>
      <c r="AC1009" s="29"/>
      <c r="AD1009" s="29"/>
      <c r="AE1009" s="29"/>
      <c r="AJ1009"/>
      <c r="AK1009"/>
      <c r="AL1009"/>
      <c r="AM1009"/>
      <c r="AN1009"/>
      <c r="AO1009"/>
      <c r="AP1009"/>
      <c r="AQ1009"/>
      <c r="AR1009"/>
      <c r="AS1009"/>
      <c r="AT1009" s="4" t="str">
        <f t="shared" si="110"/>
        <v>1.0倍人力其他职工福利费</v>
      </c>
      <c r="AU1009" s="4" t="str">
        <f t="shared" si="106"/>
        <v>财富数字产品部</v>
      </c>
      <c r="AV1009" s="4" t="str">
        <f t="shared" si="107"/>
        <v>人力费用</v>
      </c>
      <c r="AW1009" s="4" t="str">
        <f>IFERROR(VLOOKUP(AV1009,[1]字段!A:B,2,0),"")</f>
        <v>人力费用</v>
      </c>
      <c r="AX1009" s="30" t="str">
        <f>IF(AW1009="人力费用",IF(E1009="","",VLOOKUP(E1009,[1]字段!D:E,2,0)),AW1009)</f>
        <v>1.0倍人力</v>
      </c>
      <c r="AY1009" s="30" t="str">
        <f>IF(AT1009="","",VLOOKUP(AT1009,[1]字段!H:I,2,0))</f>
        <v>1.0倍人力</v>
      </c>
      <c r="AZ1009" s="31">
        <f t="shared" si="111"/>
        <v>0</v>
      </c>
      <c r="BA1009" s="31">
        <f t="shared" si="108"/>
        <v>0</v>
      </c>
      <c r="BB1009" s="31">
        <f t="shared" si="109"/>
        <v>0</v>
      </c>
      <c r="BC1009" s="31">
        <f t="shared" si="112"/>
        <v>0</v>
      </c>
    </row>
    <row r="1010" spans="1:55" ht="28.5" customHeight="1">
      <c r="A1010" s="32"/>
      <c r="B1010" s="32"/>
      <c r="C1010" s="32"/>
      <c r="D1010" s="40"/>
      <c r="E1010" s="39" t="s">
        <v>47</v>
      </c>
      <c r="F1010" s="39" t="s">
        <v>48</v>
      </c>
      <c r="G1010" s="29"/>
      <c r="H1010" s="29"/>
      <c r="I1010" s="29"/>
      <c r="J1010" s="29"/>
      <c r="K1010" s="29"/>
      <c r="L1010" s="29"/>
      <c r="M1010" s="29"/>
      <c r="N1010" s="29"/>
      <c r="O1010" s="29"/>
      <c r="P1010" s="29"/>
      <c r="Q1010" s="29"/>
      <c r="R1010" s="29"/>
      <c r="S1010" s="29"/>
      <c r="T1010" s="29"/>
      <c r="U1010" s="29"/>
      <c r="V1010" s="29"/>
      <c r="W1010" s="29"/>
      <c r="X1010" s="29"/>
      <c r="Y1010" s="29"/>
      <c r="Z1010" s="29"/>
      <c r="AA1010" s="29"/>
      <c r="AB1010" s="29"/>
      <c r="AC1010" s="29"/>
      <c r="AD1010" s="29"/>
      <c r="AE1010" s="29"/>
      <c r="AJ1010"/>
      <c r="AK1010"/>
      <c r="AL1010"/>
      <c r="AM1010"/>
      <c r="AN1010"/>
      <c r="AO1010"/>
      <c r="AP1010"/>
      <c r="AQ1010"/>
      <c r="AR1010"/>
      <c r="AS1010"/>
      <c r="AT1010" s="4" t="str">
        <f t="shared" si="110"/>
        <v>1.0倍人力工会经费</v>
      </c>
      <c r="AU1010" s="4" t="str">
        <f t="shared" si="106"/>
        <v>财富数字产品部</v>
      </c>
      <c r="AV1010" s="4" t="str">
        <f t="shared" si="107"/>
        <v>人力费用</v>
      </c>
      <c r="AW1010" s="4" t="str">
        <f>IFERROR(VLOOKUP(AV1010,[1]字段!A:B,2,0),"")</f>
        <v>人力费用</v>
      </c>
      <c r="AX1010" s="30" t="str">
        <f>IF(AW1010="人力费用",IF(E1010="","",VLOOKUP(E1010,[1]字段!D:E,2,0)),AW1010)</f>
        <v>1.0倍人力</v>
      </c>
      <c r="AY1010" s="30" t="str">
        <f>IF(AT1010="","",VLOOKUP(AT1010,[1]字段!H:I,2,0))</f>
        <v>1.0倍人力</v>
      </c>
      <c r="AZ1010" s="31">
        <f t="shared" si="111"/>
        <v>0</v>
      </c>
      <c r="BA1010" s="31">
        <f t="shared" si="108"/>
        <v>0</v>
      </c>
      <c r="BB1010" s="31">
        <f t="shared" si="109"/>
        <v>0</v>
      </c>
      <c r="BC1010" s="31">
        <f t="shared" si="112"/>
        <v>0</v>
      </c>
    </row>
    <row r="1011" spans="1:55" ht="28.5" customHeight="1">
      <c r="A1011" s="32"/>
      <c r="B1011" s="32"/>
      <c r="C1011" s="32"/>
      <c r="D1011" s="40"/>
      <c r="E1011" s="39" t="s">
        <v>49</v>
      </c>
      <c r="F1011" s="39" t="s">
        <v>50</v>
      </c>
      <c r="G1011" s="29"/>
      <c r="H1011" s="29"/>
      <c r="I1011" s="29"/>
      <c r="J1011" s="29"/>
      <c r="K1011" s="29"/>
      <c r="L1011" s="29"/>
      <c r="M1011" s="29"/>
      <c r="N1011" s="29"/>
      <c r="O1011" s="29"/>
      <c r="P1011" s="29"/>
      <c r="Q1011" s="29"/>
      <c r="R1011" s="29"/>
      <c r="S1011" s="29"/>
      <c r="T1011" s="29"/>
      <c r="U1011" s="29"/>
      <c r="V1011" s="29"/>
      <c r="W1011" s="29"/>
      <c r="X1011" s="29"/>
      <c r="Y1011" s="29"/>
      <c r="Z1011" s="29"/>
      <c r="AA1011" s="29"/>
      <c r="AB1011" s="29"/>
      <c r="AC1011" s="29"/>
      <c r="AD1011" s="29"/>
      <c r="AE1011" s="29"/>
      <c r="AJ1011"/>
      <c r="AK1011"/>
      <c r="AL1011"/>
      <c r="AM1011"/>
      <c r="AN1011"/>
      <c r="AO1011"/>
      <c r="AP1011"/>
      <c r="AQ1011"/>
      <c r="AR1011"/>
      <c r="AS1011"/>
      <c r="AT1011" s="4" t="str">
        <f t="shared" si="110"/>
        <v>1.0倍人力基本养老保险</v>
      </c>
      <c r="AU1011" s="4" t="str">
        <f t="shared" si="106"/>
        <v>财富数字产品部</v>
      </c>
      <c r="AV1011" s="4" t="str">
        <f t="shared" si="107"/>
        <v>人力费用</v>
      </c>
      <c r="AW1011" s="4" t="str">
        <f>IFERROR(VLOOKUP(AV1011,[1]字段!A:B,2,0),"")</f>
        <v>人力费用</v>
      </c>
      <c r="AX1011" s="30" t="str">
        <f>IF(AW1011="人力费用",IF(E1011="","",VLOOKUP(E1011,[1]字段!D:E,2,0)),AW1011)</f>
        <v>1.0倍人力</v>
      </c>
      <c r="AY1011" s="30" t="str">
        <f>IF(AT1011="","",VLOOKUP(AT1011,[1]字段!H:I,2,0))</f>
        <v>1.0倍人力</v>
      </c>
      <c r="AZ1011" s="31">
        <f t="shared" si="111"/>
        <v>0</v>
      </c>
      <c r="BA1011" s="31">
        <f t="shared" si="108"/>
        <v>0</v>
      </c>
      <c r="BB1011" s="31">
        <f t="shared" si="109"/>
        <v>0</v>
      </c>
      <c r="BC1011" s="31">
        <f t="shared" si="112"/>
        <v>0</v>
      </c>
    </row>
    <row r="1012" spans="1:55" ht="28.5" customHeight="1">
      <c r="A1012" s="32"/>
      <c r="B1012" s="32"/>
      <c r="C1012" s="32"/>
      <c r="D1012" s="40"/>
      <c r="E1012" s="39" t="s">
        <v>51</v>
      </c>
      <c r="F1012" s="39" t="s">
        <v>52</v>
      </c>
      <c r="G1012" s="29"/>
      <c r="H1012" s="29"/>
      <c r="I1012" s="29"/>
      <c r="J1012" s="29"/>
      <c r="K1012" s="29"/>
      <c r="L1012" s="29"/>
      <c r="M1012" s="29"/>
      <c r="N1012" s="29"/>
      <c r="O1012" s="29"/>
      <c r="P1012" s="29"/>
      <c r="Q1012" s="29"/>
      <c r="R1012" s="29"/>
      <c r="S1012" s="29"/>
      <c r="T1012" s="29"/>
      <c r="U1012" s="29"/>
      <c r="V1012" s="29"/>
      <c r="W1012" s="29"/>
      <c r="X1012" s="29"/>
      <c r="Y1012" s="29"/>
      <c r="Z1012" s="29"/>
      <c r="AA1012" s="29"/>
      <c r="AB1012" s="29"/>
      <c r="AC1012" s="29"/>
      <c r="AD1012" s="29"/>
      <c r="AE1012" s="29"/>
      <c r="AJ1012"/>
      <c r="AK1012"/>
      <c r="AL1012"/>
      <c r="AM1012"/>
      <c r="AN1012"/>
      <c r="AO1012"/>
      <c r="AP1012"/>
      <c r="AQ1012"/>
      <c r="AR1012"/>
      <c r="AS1012"/>
      <c r="AT1012" s="4" t="str">
        <f t="shared" si="110"/>
        <v>1.0倍人力基本医疗保险</v>
      </c>
      <c r="AU1012" s="4" t="str">
        <f t="shared" si="106"/>
        <v>财富数字产品部</v>
      </c>
      <c r="AV1012" s="4" t="str">
        <f t="shared" si="107"/>
        <v>人力费用</v>
      </c>
      <c r="AW1012" s="4" t="str">
        <f>IFERROR(VLOOKUP(AV1012,[1]字段!A:B,2,0),"")</f>
        <v>人力费用</v>
      </c>
      <c r="AX1012" s="30" t="str">
        <f>IF(AW1012="人力费用",IF(E1012="","",VLOOKUP(E1012,[1]字段!D:E,2,0)),AW1012)</f>
        <v>1.0倍人力</v>
      </c>
      <c r="AY1012" s="30" t="str">
        <f>IF(AT1012="","",VLOOKUP(AT1012,[1]字段!H:I,2,0))</f>
        <v>1.0倍人力</v>
      </c>
      <c r="AZ1012" s="31">
        <f t="shared" si="111"/>
        <v>0</v>
      </c>
      <c r="BA1012" s="31">
        <f t="shared" si="108"/>
        <v>0</v>
      </c>
      <c r="BB1012" s="31">
        <f t="shared" si="109"/>
        <v>0</v>
      </c>
      <c r="BC1012" s="31">
        <f t="shared" si="112"/>
        <v>0</v>
      </c>
    </row>
    <row r="1013" spans="1:55" ht="28.5" customHeight="1">
      <c r="A1013" s="32"/>
      <c r="B1013" s="32"/>
      <c r="C1013" s="32"/>
      <c r="D1013" s="40"/>
      <c r="E1013" s="39" t="s">
        <v>53</v>
      </c>
      <c r="F1013" s="39" t="s">
        <v>54</v>
      </c>
      <c r="G1013" s="29"/>
      <c r="H1013" s="29"/>
      <c r="I1013" s="29"/>
      <c r="J1013" s="29"/>
      <c r="K1013" s="29"/>
      <c r="L1013" s="29"/>
      <c r="M1013" s="29"/>
      <c r="N1013" s="29"/>
      <c r="O1013" s="29"/>
      <c r="P1013" s="29"/>
      <c r="Q1013" s="29"/>
      <c r="R1013" s="29"/>
      <c r="S1013" s="29"/>
      <c r="T1013" s="29"/>
      <c r="U1013" s="29"/>
      <c r="V1013" s="29"/>
      <c r="W1013" s="29"/>
      <c r="X1013" s="29"/>
      <c r="Y1013" s="29"/>
      <c r="Z1013" s="29"/>
      <c r="AA1013" s="29"/>
      <c r="AB1013" s="29"/>
      <c r="AC1013" s="29"/>
      <c r="AD1013" s="29"/>
      <c r="AE1013" s="29"/>
      <c r="AJ1013"/>
      <c r="AK1013"/>
      <c r="AL1013"/>
      <c r="AM1013"/>
      <c r="AN1013"/>
      <c r="AO1013"/>
      <c r="AP1013"/>
      <c r="AQ1013"/>
      <c r="AR1013"/>
      <c r="AS1013"/>
      <c r="AT1013" s="4" t="str">
        <f t="shared" si="110"/>
        <v>1.0倍人力工伤保险</v>
      </c>
      <c r="AU1013" s="4" t="str">
        <f t="shared" si="106"/>
        <v>财富数字产品部</v>
      </c>
      <c r="AV1013" s="4" t="str">
        <f t="shared" si="107"/>
        <v>人力费用</v>
      </c>
      <c r="AW1013" s="4" t="str">
        <f>IFERROR(VLOOKUP(AV1013,[1]字段!A:B,2,0),"")</f>
        <v>人力费用</v>
      </c>
      <c r="AX1013" s="30" t="str">
        <f>IF(AW1013="人力费用",IF(E1013="","",VLOOKUP(E1013,[1]字段!D:E,2,0)),AW1013)</f>
        <v>1.0倍人力</v>
      </c>
      <c r="AY1013" s="30" t="str">
        <f>IF(AT1013="","",VLOOKUP(AT1013,[1]字段!H:I,2,0))</f>
        <v>1.0倍人力</v>
      </c>
      <c r="AZ1013" s="31">
        <f t="shared" si="111"/>
        <v>0</v>
      </c>
      <c r="BA1013" s="31">
        <f t="shared" si="108"/>
        <v>0</v>
      </c>
      <c r="BB1013" s="31">
        <f t="shared" si="109"/>
        <v>0</v>
      </c>
      <c r="BC1013" s="31">
        <f t="shared" si="112"/>
        <v>0</v>
      </c>
    </row>
    <row r="1014" spans="1:55" ht="28.5" customHeight="1">
      <c r="A1014" s="32"/>
      <c r="B1014" s="32"/>
      <c r="C1014" s="32"/>
      <c r="D1014" s="40"/>
      <c r="E1014" s="39" t="s">
        <v>55</v>
      </c>
      <c r="F1014" s="39" t="s">
        <v>56</v>
      </c>
      <c r="G1014" s="29"/>
      <c r="H1014" s="29"/>
      <c r="I1014" s="29"/>
      <c r="J1014" s="29"/>
      <c r="K1014" s="29"/>
      <c r="L1014" s="29"/>
      <c r="M1014" s="29"/>
      <c r="N1014" s="29"/>
      <c r="O1014" s="29"/>
      <c r="P1014" s="29"/>
      <c r="Q1014" s="29"/>
      <c r="R1014" s="29"/>
      <c r="S1014" s="29"/>
      <c r="T1014" s="29"/>
      <c r="U1014" s="29"/>
      <c r="V1014" s="29"/>
      <c r="W1014" s="29"/>
      <c r="X1014" s="29"/>
      <c r="Y1014" s="29"/>
      <c r="Z1014" s="29"/>
      <c r="AA1014" s="29"/>
      <c r="AB1014" s="29"/>
      <c r="AC1014" s="29"/>
      <c r="AD1014" s="29"/>
      <c r="AE1014" s="29"/>
      <c r="AJ1014"/>
      <c r="AK1014"/>
      <c r="AL1014"/>
      <c r="AM1014"/>
      <c r="AN1014"/>
      <c r="AO1014"/>
      <c r="AP1014"/>
      <c r="AQ1014"/>
      <c r="AR1014"/>
      <c r="AS1014"/>
      <c r="AT1014" s="4" t="str">
        <f t="shared" si="110"/>
        <v>1.0倍人力生育保险</v>
      </c>
      <c r="AU1014" s="4" t="str">
        <f t="shared" si="106"/>
        <v>财富数字产品部</v>
      </c>
      <c r="AV1014" s="4" t="str">
        <f t="shared" si="107"/>
        <v>人力费用</v>
      </c>
      <c r="AW1014" s="4" t="str">
        <f>IFERROR(VLOOKUP(AV1014,[1]字段!A:B,2,0),"")</f>
        <v>人力费用</v>
      </c>
      <c r="AX1014" s="30" t="str">
        <f>IF(AW1014="人力费用",IF(E1014="","",VLOOKUP(E1014,[1]字段!D:E,2,0)),AW1014)</f>
        <v>1.0倍人力</v>
      </c>
      <c r="AY1014" s="30" t="str">
        <f>IF(AT1014="","",VLOOKUP(AT1014,[1]字段!H:I,2,0))</f>
        <v>1.0倍人力</v>
      </c>
      <c r="AZ1014" s="31">
        <f t="shared" si="111"/>
        <v>0</v>
      </c>
      <c r="BA1014" s="31">
        <f t="shared" si="108"/>
        <v>0</v>
      </c>
      <c r="BB1014" s="31">
        <f t="shared" si="109"/>
        <v>0</v>
      </c>
      <c r="BC1014" s="31">
        <f t="shared" si="112"/>
        <v>0</v>
      </c>
    </row>
    <row r="1015" spans="1:55" ht="28.5" customHeight="1">
      <c r="A1015" s="32"/>
      <c r="B1015" s="32"/>
      <c r="C1015" s="32"/>
      <c r="D1015" s="40"/>
      <c r="E1015" s="39" t="s">
        <v>57</v>
      </c>
      <c r="F1015" s="39" t="s">
        <v>58</v>
      </c>
      <c r="G1015" s="29"/>
      <c r="H1015" s="29"/>
      <c r="I1015" s="29"/>
      <c r="J1015" s="29"/>
      <c r="K1015" s="29"/>
      <c r="L1015" s="29"/>
      <c r="M1015" s="29"/>
      <c r="N1015" s="29"/>
      <c r="O1015" s="29"/>
      <c r="P1015" s="29"/>
      <c r="Q1015" s="29"/>
      <c r="R1015" s="29"/>
      <c r="S1015" s="29"/>
      <c r="T1015" s="29"/>
      <c r="U1015" s="29"/>
      <c r="V1015" s="29"/>
      <c r="W1015" s="29"/>
      <c r="X1015" s="29"/>
      <c r="Y1015" s="29"/>
      <c r="Z1015" s="29"/>
      <c r="AA1015" s="29"/>
      <c r="AB1015" s="29"/>
      <c r="AC1015" s="29"/>
      <c r="AD1015" s="29"/>
      <c r="AE1015" s="29"/>
      <c r="AJ1015"/>
      <c r="AK1015"/>
      <c r="AL1015"/>
      <c r="AM1015"/>
      <c r="AN1015"/>
      <c r="AO1015"/>
      <c r="AP1015"/>
      <c r="AQ1015"/>
      <c r="AR1015"/>
      <c r="AS1015"/>
      <c r="AT1015" s="4" t="str">
        <f t="shared" si="110"/>
        <v>1.0倍人力失业保险</v>
      </c>
      <c r="AU1015" s="4" t="str">
        <f t="shared" si="106"/>
        <v>财富数字产品部</v>
      </c>
      <c r="AV1015" s="4" t="str">
        <f t="shared" si="107"/>
        <v>人力费用</v>
      </c>
      <c r="AW1015" s="4" t="str">
        <f>IFERROR(VLOOKUP(AV1015,[1]字段!A:B,2,0),"")</f>
        <v>人力费用</v>
      </c>
      <c r="AX1015" s="30" t="str">
        <f>IF(AW1015="人力费用",IF(E1015="","",VLOOKUP(E1015,[1]字段!D:E,2,0)),AW1015)</f>
        <v>1.0倍人力</v>
      </c>
      <c r="AY1015" s="30" t="str">
        <f>IF(AT1015="","",VLOOKUP(AT1015,[1]字段!H:I,2,0))</f>
        <v>1.0倍人力</v>
      </c>
      <c r="AZ1015" s="31">
        <f t="shared" si="111"/>
        <v>0</v>
      </c>
      <c r="BA1015" s="31">
        <f t="shared" si="108"/>
        <v>0</v>
      </c>
      <c r="BB1015" s="31">
        <f t="shared" si="109"/>
        <v>0</v>
      </c>
      <c r="BC1015" s="31">
        <f t="shared" si="112"/>
        <v>0</v>
      </c>
    </row>
    <row r="1016" spans="1:55" ht="28.5" customHeight="1">
      <c r="A1016" s="32"/>
      <c r="B1016" s="32"/>
      <c r="C1016" s="41"/>
      <c r="D1016" s="42"/>
      <c r="E1016" s="39" t="s">
        <v>59</v>
      </c>
      <c r="F1016" s="39" t="s">
        <v>60</v>
      </c>
      <c r="G1016" s="29"/>
      <c r="H1016" s="29"/>
      <c r="I1016" s="29"/>
      <c r="J1016" s="29"/>
      <c r="K1016" s="29"/>
      <c r="L1016" s="29"/>
      <c r="M1016" s="29"/>
      <c r="N1016" s="29"/>
      <c r="O1016" s="29"/>
      <c r="P1016" s="29"/>
      <c r="Q1016" s="29"/>
      <c r="R1016" s="29"/>
      <c r="S1016" s="29"/>
      <c r="T1016" s="29"/>
      <c r="U1016" s="29"/>
      <c r="V1016" s="29"/>
      <c r="W1016" s="29"/>
      <c r="X1016" s="29"/>
      <c r="Y1016" s="29"/>
      <c r="Z1016" s="29"/>
      <c r="AA1016" s="29"/>
      <c r="AB1016" s="29"/>
      <c r="AC1016" s="29"/>
      <c r="AD1016" s="29"/>
      <c r="AE1016" s="29"/>
      <c r="AJ1016"/>
      <c r="AK1016"/>
      <c r="AL1016"/>
      <c r="AM1016"/>
      <c r="AN1016"/>
      <c r="AO1016"/>
      <c r="AP1016"/>
      <c r="AQ1016"/>
      <c r="AR1016"/>
      <c r="AS1016"/>
      <c r="AT1016" s="4" t="str">
        <f t="shared" si="110"/>
        <v>1.0倍人力住房公积金</v>
      </c>
      <c r="AU1016" s="4" t="str">
        <f t="shared" si="106"/>
        <v>财富数字产品部</v>
      </c>
      <c r="AV1016" s="4" t="str">
        <f t="shared" si="107"/>
        <v>人力费用</v>
      </c>
      <c r="AW1016" s="4" t="str">
        <f>IFERROR(VLOOKUP(AV1016,[1]字段!A:B,2,0),"")</f>
        <v>人力费用</v>
      </c>
      <c r="AX1016" s="30" t="str">
        <f>IF(AW1016="人力费用",IF(E1016="","",VLOOKUP(E1016,[1]字段!D:E,2,0)),AW1016)</f>
        <v>1.0倍人力</v>
      </c>
      <c r="AY1016" s="30" t="str">
        <f>IF(AT1016="","",VLOOKUP(AT1016,[1]字段!H:I,2,0))</f>
        <v>1.0倍人力</v>
      </c>
      <c r="AZ1016" s="31">
        <f t="shared" si="111"/>
        <v>0</v>
      </c>
      <c r="BA1016" s="31">
        <f t="shared" si="108"/>
        <v>0</v>
      </c>
      <c r="BB1016" s="31">
        <f t="shared" si="109"/>
        <v>0</v>
      </c>
      <c r="BC1016" s="31">
        <f t="shared" si="112"/>
        <v>0</v>
      </c>
    </row>
    <row r="1017" spans="1:55" ht="28.5" customHeight="1">
      <c r="C1017" s="33" t="s">
        <v>162</v>
      </c>
      <c r="D1017" s="34" t="s">
        <v>163</v>
      </c>
      <c r="E1017" s="35"/>
      <c r="F1017" s="36"/>
      <c r="G1017" s="29"/>
      <c r="H1017" s="29"/>
      <c r="I1017" s="29"/>
      <c r="J1017" s="29"/>
      <c r="K1017" s="29"/>
      <c r="L1017" s="29"/>
      <c r="M1017" s="29"/>
      <c r="N1017" s="29"/>
      <c r="O1017" s="29"/>
      <c r="P1017" s="29"/>
      <c r="Q1017" s="29"/>
      <c r="R1017" s="29"/>
      <c r="S1017" s="29"/>
      <c r="T1017" s="29"/>
      <c r="U1017" s="29"/>
      <c r="V1017" s="29"/>
      <c r="W1017" s="29"/>
      <c r="X1017" s="29"/>
      <c r="Y1017" s="29"/>
      <c r="Z1017" s="29"/>
      <c r="AA1017" s="29"/>
      <c r="AB1017" s="29"/>
      <c r="AC1017" s="29"/>
      <c r="AD1017" s="29"/>
      <c r="AE1017" s="29"/>
      <c r="AJ1017"/>
      <c r="AK1017"/>
      <c r="AL1017"/>
      <c r="AM1017"/>
      <c r="AN1017"/>
      <c r="AO1017"/>
      <c r="AP1017"/>
      <c r="AQ1017"/>
      <c r="AR1017"/>
      <c r="AS1017"/>
      <c r="AT1017" s="4" t="str">
        <f t="shared" si="110"/>
        <v>运营费用</v>
      </c>
      <c r="AU1017" s="4" t="str">
        <f t="shared" si="106"/>
        <v>财富数字产品部</v>
      </c>
      <c r="AV1017" s="4" t="str">
        <f t="shared" si="107"/>
        <v>运营费用</v>
      </c>
      <c r="AW1017" s="4" t="str">
        <f>IFERROR(VLOOKUP(AV1017,[1]字段!A:B,2,0),"")</f>
        <v>运营费用</v>
      </c>
      <c r="AX1017" s="30" t="str">
        <f>IF(AW1017="人力费用",IF(E1017="","",VLOOKUP(E1017,[1]字段!D:E,2,0)),AW1017)</f>
        <v>运营费用</v>
      </c>
      <c r="AY1017" s="30">
        <f>IF(AT1017="","",VLOOKUP(AT1017,[1]字段!H:I,2,0))</f>
        <v>0</v>
      </c>
      <c r="AZ1017" s="31">
        <f t="shared" si="111"/>
        <v>0</v>
      </c>
      <c r="BA1017" s="31">
        <f t="shared" si="108"/>
        <v>0</v>
      </c>
      <c r="BB1017" s="31">
        <f t="shared" si="109"/>
        <v>0</v>
      </c>
      <c r="BC1017" s="31">
        <f t="shared" si="112"/>
        <v>0</v>
      </c>
    </row>
    <row r="1018" spans="1:55" ht="28.5" customHeight="1">
      <c r="A1018" s="32"/>
      <c r="B1018" s="32"/>
      <c r="C1018" s="37"/>
      <c r="D1018" s="38"/>
      <c r="E1018" s="39" t="s">
        <v>137</v>
      </c>
      <c r="F1018" s="39" t="s">
        <v>138</v>
      </c>
      <c r="G1018" s="29"/>
      <c r="H1018" s="29"/>
      <c r="I1018" s="29"/>
      <c r="J1018" s="29"/>
      <c r="K1018" s="29"/>
      <c r="L1018" s="29"/>
      <c r="M1018" s="29"/>
      <c r="N1018" s="29"/>
      <c r="O1018" s="29"/>
      <c r="P1018" s="29"/>
      <c r="Q1018" s="29"/>
      <c r="R1018" s="29"/>
      <c r="S1018" s="29"/>
      <c r="T1018" s="29"/>
      <c r="U1018" s="29"/>
      <c r="V1018" s="29"/>
      <c r="W1018" s="29"/>
      <c r="X1018" s="29"/>
      <c r="Y1018" s="29"/>
      <c r="Z1018" s="29"/>
      <c r="AA1018" s="29"/>
      <c r="AB1018" s="29"/>
      <c r="AC1018" s="29"/>
      <c r="AD1018" s="29"/>
      <c r="AE1018" s="29"/>
      <c r="AJ1018"/>
      <c r="AK1018"/>
      <c r="AL1018"/>
      <c r="AM1018"/>
      <c r="AN1018"/>
      <c r="AO1018"/>
      <c r="AP1018"/>
      <c r="AQ1018"/>
      <c r="AR1018"/>
      <c r="AS1018"/>
      <c r="AT1018" s="4" t="str">
        <f t="shared" si="110"/>
        <v>运营费用低值易耗品支出</v>
      </c>
      <c r="AU1018" s="4" t="str">
        <f t="shared" si="106"/>
        <v>财富数字产品部</v>
      </c>
      <c r="AV1018" s="4" t="str">
        <f t="shared" si="107"/>
        <v>运营费用</v>
      </c>
      <c r="AW1018" s="4" t="str">
        <f>IFERROR(VLOOKUP(AV1018,[1]字段!A:B,2,0),"")</f>
        <v>运营费用</v>
      </c>
      <c r="AX1018" s="30" t="str">
        <f>IF(AW1018="人力费用",IF(E1018="","",VLOOKUP(E1018,[1]字段!D:E,2,0)),AW1018)</f>
        <v>运营费用</v>
      </c>
      <c r="AY1018" s="30" t="str">
        <f>IF(AT1018="","",VLOOKUP(AT1018,[1]字段!H:I,2,0))</f>
        <v>运营费用-运营其他</v>
      </c>
      <c r="AZ1018" s="31">
        <f t="shared" si="111"/>
        <v>0</v>
      </c>
      <c r="BA1018" s="31">
        <f t="shared" si="108"/>
        <v>0</v>
      </c>
      <c r="BB1018" s="31">
        <f t="shared" si="109"/>
        <v>0</v>
      </c>
      <c r="BC1018" s="31">
        <f t="shared" si="112"/>
        <v>0</v>
      </c>
    </row>
    <row r="1019" spans="1:55" ht="28.5" customHeight="1">
      <c r="A1019" s="32"/>
      <c r="B1019" s="32"/>
      <c r="C1019" s="41"/>
      <c r="D1019" s="42"/>
      <c r="E1019" s="39" t="s">
        <v>83</v>
      </c>
      <c r="F1019" s="39" t="s">
        <v>84</v>
      </c>
      <c r="G1019" s="29"/>
      <c r="H1019" s="29"/>
      <c r="I1019" s="29"/>
      <c r="J1019" s="29"/>
      <c r="K1019" s="29"/>
      <c r="L1019" s="29"/>
      <c r="M1019" s="29"/>
      <c r="N1019" s="29"/>
      <c r="O1019" s="29"/>
      <c r="P1019" s="29"/>
      <c r="Q1019" s="29"/>
      <c r="R1019" s="29"/>
      <c r="S1019" s="29"/>
      <c r="T1019" s="29"/>
      <c r="U1019" s="29"/>
      <c r="V1019" s="29"/>
      <c r="W1019" s="29"/>
      <c r="X1019" s="29"/>
      <c r="Y1019" s="29"/>
      <c r="Z1019" s="29"/>
      <c r="AA1019" s="29"/>
      <c r="AB1019" s="29"/>
      <c r="AC1019" s="29"/>
      <c r="AD1019" s="29"/>
      <c r="AE1019" s="29"/>
      <c r="AJ1019"/>
      <c r="AK1019"/>
      <c r="AL1019"/>
      <c r="AM1019"/>
      <c r="AN1019"/>
      <c r="AO1019"/>
      <c r="AP1019"/>
      <c r="AQ1019"/>
      <c r="AR1019"/>
      <c r="AS1019"/>
      <c r="AT1019" s="4" t="str">
        <f t="shared" si="110"/>
        <v>运营费用其他外包服务费</v>
      </c>
      <c r="AU1019" s="4" t="str">
        <f t="shared" si="106"/>
        <v>财富数字产品部</v>
      </c>
      <c r="AV1019" s="4" t="str">
        <f t="shared" si="107"/>
        <v>运营费用</v>
      </c>
      <c r="AW1019" s="4" t="str">
        <f>IFERROR(VLOOKUP(AV1019,[1]字段!A:B,2,0),"")</f>
        <v>运营费用</v>
      </c>
      <c r="AX1019" s="30" t="str">
        <f>IF(AW1019="人力费用",IF(E1019="","",VLOOKUP(E1019,[1]字段!D:E,2,0)),AW1019)</f>
        <v>运营费用</v>
      </c>
      <c r="AY1019" s="30" t="str">
        <f>IF(AT1019="","",VLOOKUP(AT1019,[1]字段!H:I,2,0))</f>
        <v>运营费用-外包服务费</v>
      </c>
      <c r="AZ1019" s="31">
        <f t="shared" si="111"/>
        <v>0</v>
      </c>
      <c r="BA1019" s="31">
        <f t="shared" si="108"/>
        <v>0</v>
      </c>
      <c r="BB1019" s="31">
        <f t="shared" si="109"/>
        <v>0</v>
      </c>
      <c r="BC1019" s="31">
        <f t="shared" si="112"/>
        <v>0</v>
      </c>
    </row>
    <row r="1020" spans="1:55" ht="28.5" customHeight="1">
      <c r="C1020" s="33" t="s">
        <v>65</v>
      </c>
      <c r="D1020" s="34" t="s">
        <v>66</v>
      </c>
      <c r="E1020" s="35"/>
      <c r="F1020" s="36"/>
      <c r="G1020" s="29"/>
      <c r="H1020" s="29"/>
      <c r="I1020" s="29"/>
      <c r="J1020" s="29"/>
      <c r="K1020" s="29"/>
      <c r="L1020" s="29"/>
      <c r="M1020" s="29"/>
      <c r="N1020" s="29"/>
      <c r="O1020" s="29"/>
      <c r="P1020" s="29"/>
      <c r="Q1020" s="29"/>
      <c r="R1020" s="29"/>
      <c r="S1020" s="29"/>
      <c r="T1020" s="29"/>
      <c r="U1020" s="29"/>
      <c r="V1020" s="29"/>
      <c r="W1020" s="29"/>
      <c r="X1020" s="29"/>
      <c r="Y1020" s="29"/>
      <c r="Z1020" s="29"/>
      <c r="AA1020" s="29"/>
      <c r="AB1020" s="29"/>
      <c r="AC1020" s="29"/>
      <c r="AD1020" s="29"/>
      <c r="AE1020" s="29"/>
      <c r="AJ1020"/>
      <c r="AK1020"/>
      <c r="AL1020"/>
      <c r="AM1020"/>
      <c r="AN1020"/>
      <c r="AO1020"/>
      <c r="AP1020"/>
      <c r="AQ1020"/>
      <c r="AR1020"/>
      <c r="AS1020"/>
      <c r="AT1020" s="4" t="str">
        <f t="shared" si="110"/>
        <v>IT费用</v>
      </c>
      <c r="AU1020" s="4" t="str">
        <f t="shared" si="106"/>
        <v>财富数字产品部</v>
      </c>
      <c r="AV1020" s="4" t="str">
        <f t="shared" si="107"/>
        <v>IT科技费用</v>
      </c>
      <c r="AW1020" s="4" t="str">
        <f>IFERROR(VLOOKUP(AV1020,[1]字段!A:B,2,0),"")</f>
        <v>IT费用</v>
      </c>
      <c r="AX1020" s="30" t="str">
        <f>IF(AW1020="人力费用",IF(E1020="","",VLOOKUP(E1020,[1]字段!D:E,2,0)),AW1020)</f>
        <v>IT费用</v>
      </c>
      <c r="AY1020" s="30">
        <f>IF(AT1020="","",VLOOKUP(AT1020,[1]字段!H:I,2,0))</f>
        <v>0</v>
      </c>
      <c r="AZ1020" s="31">
        <f t="shared" si="111"/>
        <v>0</v>
      </c>
      <c r="BA1020" s="31">
        <f t="shared" si="108"/>
        <v>0</v>
      </c>
      <c r="BB1020" s="31">
        <f t="shared" si="109"/>
        <v>0</v>
      </c>
      <c r="BC1020" s="31">
        <f t="shared" si="112"/>
        <v>0</v>
      </c>
    </row>
    <row r="1021" spans="1:55" ht="28.5" customHeight="1">
      <c r="A1021" s="32"/>
      <c r="B1021" s="32"/>
      <c r="C1021" s="37"/>
      <c r="D1021" s="38"/>
      <c r="E1021" s="39" t="s">
        <v>69</v>
      </c>
      <c r="F1021" s="39" t="s">
        <v>70</v>
      </c>
      <c r="G1021" s="29"/>
      <c r="H1021" s="29"/>
      <c r="I1021" s="29"/>
      <c r="J1021" s="29"/>
      <c r="K1021" s="29"/>
      <c r="L1021" s="29"/>
      <c r="M1021" s="29"/>
      <c r="N1021" s="29"/>
      <c r="O1021" s="29"/>
      <c r="P1021" s="29"/>
      <c r="Q1021" s="29"/>
      <c r="R1021" s="29"/>
      <c r="S1021" s="29"/>
      <c r="T1021" s="29"/>
      <c r="U1021" s="29"/>
      <c r="V1021" s="29"/>
      <c r="W1021" s="29"/>
      <c r="X1021" s="29"/>
      <c r="Y1021" s="29"/>
      <c r="Z1021" s="29"/>
      <c r="AA1021" s="29"/>
      <c r="AB1021" s="29"/>
      <c r="AC1021" s="29"/>
      <c r="AD1021" s="29"/>
      <c r="AE1021" s="29"/>
      <c r="AJ1021"/>
      <c r="AK1021"/>
      <c r="AL1021"/>
      <c r="AM1021"/>
      <c r="AN1021"/>
      <c r="AO1021"/>
      <c r="AP1021"/>
      <c r="AQ1021"/>
      <c r="AR1021"/>
      <c r="AS1021"/>
      <c r="AT1021" s="4" t="str">
        <f t="shared" si="110"/>
        <v>IT费用移动终端折旧费</v>
      </c>
      <c r="AU1021" s="4" t="str">
        <f t="shared" si="106"/>
        <v>财富数字产品部</v>
      </c>
      <c r="AV1021" s="4" t="str">
        <f t="shared" si="107"/>
        <v>IT科技费用</v>
      </c>
      <c r="AW1021" s="4" t="str">
        <f>IFERROR(VLOOKUP(AV1021,[1]字段!A:B,2,0),"")</f>
        <v>IT费用</v>
      </c>
      <c r="AX1021" s="30" t="str">
        <f>IF(AW1021="人力费用",IF(E1021="","",VLOOKUP(E1021,[1]字段!D:E,2,0)),AW1021)</f>
        <v>IT费用</v>
      </c>
      <c r="AY1021" s="30" t="str">
        <f>IF(AT1021="","",VLOOKUP(AT1021,[1]字段!H:I,2,0))</f>
        <v>IT费用</v>
      </c>
      <c r="AZ1021" s="31">
        <f t="shared" si="111"/>
        <v>0</v>
      </c>
      <c r="BA1021" s="31">
        <f t="shared" si="108"/>
        <v>0</v>
      </c>
      <c r="BB1021" s="31">
        <f t="shared" si="109"/>
        <v>0</v>
      </c>
      <c r="BC1021" s="31">
        <f t="shared" si="112"/>
        <v>0</v>
      </c>
    </row>
    <row r="1022" spans="1:55" ht="28.5" customHeight="1">
      <c r="A1022" s="32"/>
      <c r="B1022" s="32"/>
      <c r="C1022" s="41"/>
      <c r="D1022" s="42"/>
      <c r="E1022" s="39" t="s">
        <v>71</v>
      </c>
      <c r="F1022" s="39" t="s">
        <v>72</v>
      </c>
      <c r="G1022" s="29"/>
      <c r="H1022" s="29"/>
      <c r="I1022" s="29"/>
      <c r="J1022" s="29"/>
      <c r="K1022" s="29"/>
      <c r="L1022" s="29"/>
      <c r="M1022" s="29"/>
      <c r="N1022" s="29"/>
      <c r="O1022" s="29"/>
      <c r="P1022" s="29"/>
      <c r="Q1022" s="29"/>
      <c r="R1022" s="29"/>
      <c r="S1022" s="29"/>
      <c r="T1022" s="29"/>
      <c r="U1022" s="29"/>
      <c r="V1022" s="29"/>
      <c r="W1022" s="29"/>
      <c r="X1022" s="29"/>
      <c r="Y1022" s="29"/>
      <c r="Z1022" s="29"/>
      <c r="AA1022" s="29"/>
      <c r="AB1022" s="29"/>
      <c r="AC1022" s="29"/>
      <c r="AD1022" s="29"/>
      <c r="AE1022" s="29"/>
      <c r="AJ1022"/>
      <c r="AK1022"/>
      <c r="AL1022"/>
      <c r="AM1022"/>
      <c r="AN1022"/>
      <c r="AO1022"/>
      <c r="AP1022"/>
      <c r="AQ1022"/>
      <c r="AR1022"/>
      <c r="AS1022"/>
      <c r="AT1022" s="4" t="str">
        <f t="shared" si="110"/>
        <v>IT费用办公IT设备折旧费</v>
      </c>
      <c r="AU1022" s="4" t="str">
        <f t="shared" si="106"/>
        <v>财富数字产品部</v>
      </c>
      <c r="AV1022" s="4" t="str">
        <f t="shared" si="107"/>
        <v>IT科技费用</v>
      </c>
      <c r="AW1022" s="4" t="str">
        <f>IFERROR(VLOOKUP(AV1022,[1]字段!A:B,2,0),"")</f>
        <v>IT费用</v>
      </c>
      <c r="AX1022" s="30" t="str">
        <f>IF(AW1022="人力费用",IF(E1022="","",VLOOKUP(E1022,[1]字段!D:E,2,0)),AW1022)</f>
        <v>IT费用</v>
      </c>
      <c r="AY1022" s="30" t="str">
        <f>IF(AT1022="","",VLOOKUP(AT1022,[1]字段!H:I,2,0))</f>
        <v>IT费用</v>
      </c>
      <c r="AZ1022" s="31">
        <f t="shared" si="111"/>
        <v>0</v>
      </c>
      <c r="BA1022" s="31">
        <f t="shared" si="108"/>
        <v>0</v>
      </c>
      <c r="BB1022" s="31">
        <f t="shared" si="109"/>
        <v>0</v>
      </c>
      <c r="BC1022" s="31">
        <f t="shared" si="112"/>
        <v>0</v>
      </c>
    </row>
    <row r="1023" spans="1:55" ht="28.5" customHeight="1">
      <c r="C1023" s="33" t="s">
        <v>93</v>
      </c>
      <c r="D1023" s="34" t="s">
        <v>94</v>
      </c>
      <c r="E1023" s="35"/>
      <c r="F1023" s="36"/>
      <c r="G1023" s="29"/>
      <c r="H1023" s="29"/>
      <c r="I1023" s="29"/>
      <c r="J1023" s="29"/>
      <c r="K1023" s="29"/>
      <c r="L1023" s="29"/>
      <c r="M1023" s="29"/>
      <c r="N1023" s="29"/>
      <c r="O1023" s="29"/>
      <c r="P1023" s="29"/>
      <c r="Q1023" s="29"/>
      <c r="R1023" s="29"/>
      <c r="S1023" s="29"/>
      <c r="T1023" s="29"/>
      <c r="U1023" s="29"/>
      <c r="V1023" s="29"/>
      <c r="W1023" s="29"/>
      <c r="X1023" s="29"/>
      <c r="Y1023" s="29"/>
      <c r="Z1023" s="29"/>
      <c r="AA1023" s="29"/>
      <c r="AB1023" s="29"/>
      <c r="AC1023" s="29"/>
      <c r="AD1023" s="29"/>
      <c r="AE1023" s="29"/>
      <c r="AJ1023"/>
      <c r="AK1023"/>
      <c r="AL1023"/>
      <c r="AM1023"/>
      <c r="AN1023"/>
      <c r="AO1023"/>
      <c r="AP1023"/>
      <c r="AQ1023"/>
      <c r="AR1023"/>
      <c r="AS1023"/>
      <c r="AT1023" s="4" t="str">
        <f t="shared" si="110"/>
        <v>日常费用</v>
      </c>
      <c r="AU1023" s="4" t="str">
        <f t="shared" si="106"/>
        <v>财富数字产品部</v>
      </c>
      <c r="AV1023" s="4" t="str">
        <f t="shared" si="107"/>
        <v>日常费用</v>
      </c>
      <c r="AW1023" s="4" t="str">
        <f>IFERROR(VLOOKUP(AV1023,[1]字段!A:B,2,0),"")</f>
        <v>日常费用</v>
      </c>
      <c r="AX1023" s="30" t="str">
        <f>IF(AW1023="人力费用",IF(E1023="","",VLOOKUP(E1023,[1]字段!D:E,2,0)),AW1023)</f>
        <v>日常费用</v>
      </c>
      <c r="AY1023" s="30">
        <f>IF(AT1023="","",VLOOKUP(AT1023,[1]字段!H:I,2,0))</f>
        <v>0</v>
      </c>
      <c r="AZ1023" s="31">
        <f t="shared" si="111"/>
        <v>0</v>
      </c>
      <c r="BA1023" s="31">
        <f t="shared" si="108"/>
        <v>0</v>
      </c>
      <c r="BB1023" s="31">
        <f t="shared" si="109"/>
        <v>0</v>
      </c>
      <c r="BC1023" s="31">
        <f t="shared" si="112"/>
        <v>0</v>
      </c>
    </row>
    <row r="1024" spans="1:55" ht="28.5" customHeight="1">
      <c r="A1024" s="32"/>
      <c r="B1024" s="32"/>
      <c r="C1024" s="37"/>
      <c r="D1024" s="38"/>
      <c r="E1024" s="39" t="s">
        <v>137</v>
      </c>
      <c r="F1024" s="39" t="s">
        <v>138</v>
      </c>
      <c r="G1024" s="29"/>
      <c r="H1024" s="29"/>
      <c r="I1024" s="29"/>
      <c r="J1024" s="29"/>
      <c r="K1024" s="29"/>
      <c r="L1024" s="29"/>
      <c r="M1024" s="29"/>
      <c r="N1024" s="29"/>
      <c r="O1024" s="29"/>
      <c r="P1024" s="29"/>
      <c r="Q1024" s="29"/>
      <c r="R1024" s="29"/>
      <c r="S1024" s="29"/>
      <c r="T1024" s="29"/>
      <c r="U1024" s="29"/>
      <c r="V1024" s="29"/>
      <c r="W1024" s="29"/>
      <c r="X1024" s="29"/>
      <c r="Y1024" s="29"/>
      <c r="Z1024" s="29"/>
      <c r="AA1024" s="29"/>
      <c r="AB1024" s="29"/>
      <c r="AC1024" s="29"/>
      <c r="AD1024" s="29"/>
      <c r="AE1024" s="29"/>
      <c r="AJ1024"/>
      <c r="AK1024"/>
      <c r="AL1024"/>
      <c r="AM1024"/>
      <c r="AN1024"/>
      <c r="AO1024"/>
      <c r="AP1024"/>
      <c r="AQ1024"/>
      <c r="AR1024"/>
      <c r="AS1024"/>
      <c r="AT1024" s="4" t="str">
        <f t="shared" si="110"/>
        <v>日常费用低值易耗品支出</v>
      </c>
      <c r="AU1024" s="4" t="str">
        <f t="shared" si="106"/>
        <v>财富数字产品部</v>
      </c>
      <c r="AV1024" s="4" t="str">
        <f t="shared" si="107"/>
        <v>日常费用</v>
      </c>
      <c r="AW1024" s="4" t="str">
        <f>IFERROR(VLOOKUP(AV1024,[1]字段!A:B,2,0),"")</f>
        <v>日常费用</v>
      </c>
      <c r="AX1024" s="30" t="str">
        <f>IF(AW1024="人力费用",IF(E1024="","",VLOOKUP(E1024,[1]字段!D:E,2,0)),AW1024)</f>
        <v>日常费用</v>
      </c>
      <c r="AY1024" s="30" t="str">
        <f>IF(AT1024="","",VLOOKUP(AT1024,[1]字段!H:I,2,0))</f>
        <v>日常费用-其他</v>
      </c>
      <c r="AZ1024" s="31">
        <f t="shared" si="111"/>
        <v>0</v>
      </c>
      <c r="BA1024" s="31">
        <f t="shared" si="108"/>
        <v>0</v>
      </c>
      <c r="BB1024" s="31">
        <f t="shared" si="109"/>
        <v>0</v>
      </c>
      <c r="BC1024" s="31">
        <f t="shared" si="112"/>
        <v>0</v>
      </c>
    </row>
    <row r="1025" spans="1:55" ht="28.5" customHeight="1">
      <c r="A1025" s="41"/>
      <c r="B1025" s="41"/>
      <c r="C1025" s="41"/>
      <c r="D1025" s="42"/>
      <c r="E1025" s="39" t="s">
        <v>104</v>
      </c>
      <c r="F1025" s="39" t="s">
        <v>105</v>
      </c>
      <c r="G1025" s="29"/>
      <c r="H1025" s="29"/>
      <c r="I1025" s="29"/>
      <c r="J1025" s="29"/>
      <c r="K1025" s="29"/>
      <c r="L1025" s="29"/>
      <c r="M1025" s="29"/>
      <c r="N1025" s="29"/>
      <c r="O1025" s="29"/>
      <c r="P1025" s="29"/>
      <c r="Q1025" s="29"/>
      <c r="R1025" s="29"/>
      <c r="S1025" s="29"/>
      <c r="T1025" s="29"/>
      <c r="U1025" s="29"/>
      <c r="V1025" s="29"/>
      <c r="W1025" s="29"/>
      <c r="X1025" s="29"/>
      <c r="Y1025" s="29"/>
      <c r="Z1025" s="29"/>
      <c r="AA1025" s="29"/>
      <c r="AB1025" s="29"/>
      <c r="AC1025" s="29"/>
      <c r="AD1025" s="29"/>
      <c r="AE1025" s="29"/>
      <c r="AJ1025"/>
      <c r="AK1025"/>
      <c r="AL1025"/>
      <c r="AM1025"/>
      <c r="AN1025"/>
      <c r="AO1025"/>
      <c r="AP1025"/>
      <c r="AQ1025"/>
      <c r="AR1025"/>
      <c r="AS1025"/>
      <c r="AT1025" s="4" t="str">
        <f t="shared" si="110"/>
        <v>日常费用会议费</v>
      </c>
      <c r="AU1025" s="4" t="str">
        <f t="shared" si="106"/>
        <v>财富数字产品部</v>
      </c>
      <c r="AV1025" s="4" t="str">
        <f t="shared" si="107"/>
        <v>日常费用</v>
      </c>
      <c r="AW1025" s="4" t="str">
        <f>IFERROR(VLOOKUP(AV1025,[1]字段!A:B,2,0),"")</f>
        <v>日常费用</v>
      </c>
      <c r="AX1025" s="30" t="str">
        <f>IF(AW1025="人力费用",IF(E1025="","",VLOOKUP(E1025,[1]字段!D:E,2,0)),AW1025)</f>
        <v>日常费用</v>
      </c>
      <c r="AY1025" s="30" t="str">
        <f>IF(AT1025="","",VLOOKUP(AT1025,[1]字段!H:I,2,0))</f>
        <v>日常费用-其他</v>
      </c>
      <c r="AZ1025" s="31">
        <f t="shared" si="111"/>
        <v>0</v>
      </c>
      <c r="BA1025" s="31">
        <f t="shared" si="108"/>
        <v>0</v>
      </c>
      <c r="BB1025" s="31">
        <f t="shared" si="109"/>
        <v>0</v>
      </c>
      <c r="BC1025" s="31">
        <f t="shared" si="112"/>
        <v>0</v>
      </c>
    </row>
    <row r="1026" spans="1:55" ht="28.5" customHeight="1">
      <c r="A1026" s="25"/>
      <c r="B1026" s="26" t="s">
        <v>207</v>
      </c>
      <c r="C1026" s="27"/>
      <c r="D1026" s="27"/>
      <c r="E1026" s="27"/>
      <c r="F1026" s="28"/>
      <c r="G1026" s="29"/>
      <c r="H1026" s="29"/>
      <c r="I1026" s="29"/>
      <c r="J1026" s="29"/>
      <c r="K1026" s="29"/>
      <c r="L1026" s="29"/>
      <c r="M1026" s="29"/>
      <c r="N1026" s="29"/>
      <c r="O1026" s="29"/>
      <c r="P1026" s="29"/>
      <c r="Q1026" s="29"/>
      <c r="R1026" s="29"/>
      <c r="S1026" s="29"/>
      <c r="T1026" s="29"/>
      <c r="U1026" s="29"/>
      <c r="V1026" s="29"/>
      <c r="W1026" s="29"/>
      <c r="X1026" s="29"/>
      <c r="Y1026" s="29"/>
      <c r="Z1026" s="29"/>
      <c r="AA1026" s="29"/>
      <c r="AB1026" s="29"/>
      <c r="AC1026" s="29"/>
      <c r="AD1026" s="29"/>
      <c r="AE1026" s="29"/>
      <c r="AJ1026"/>
      <c r="AK1026"/>
      <c r="AL1026"/>
      <c r="AM1026"/>
      <c r="AN1026"/>
      <c r="AO1026"/>
      <c r="AP1026"/>
      <c r="AQ1026"/>
      <c r="AR1026"/>
      <c r="AS1026"/>
      <c r="AT1026" s="4" t="str">
        <f t="shared" si="110"/>
        <v/>
      </c>
      <c r="AU1026" s="4" t="str">
        <f t="shared" si="106"/>
        <v>财富产品部</v>
      </c>
      <c r="AV1026" s="4" t="str">
        <f t="shared" si="107"/>
        <v/>
      </c>
      <c r="AW1026" s="4" t="str">
        <f>IFERROR(VLOOKUP(AV1026,[1]字段!A:B,2,0),"")</f>
        <v/>
      </c>
      <c r="AX1026" s="30" t="str">
        <f>IF(AW1026="人力费用",IF(E1026="","",VLOOKUP(E1026,[1]字段!D:E,2,0)),AW1026)</f>
        <v/>
      </c>
      <c r="AY1026" s="30" t="str">
        <f>IF(AT1026="","",VLOOKUP(AT1026,[1]字段!H:I,2,0))</f>
        <v/>
      </c>
      <c r="AZ1026" s="31">
        <f t="shared" si="111"/>
        <v>0</v>
      </c>
      <c r="BA1026" s="31">
        <f t="shared" si="108"/>
        <v>0</v>
      </c>
      <c r="BB1026" s="31">
        <f t="shared" si="109"/>
        <v>0</v>
      </c>
      <c r="BC1026" s="31">
        <f t="shared" si="112"/>
        <v>0</v>
      </c>
    </row>
    <row r="1027" spans="1:55" ht="28.5" customHeight="1">
      <c r="A1027" s="32"/>
      <c r="B1027" s="32"/>
      <c r="C1027" s="33" t="s">
        <v>39</v>
      </c>
      <c r="D1027" s="34" t="s">
        <v>40</v>
      </c>
      <c r="E1027" s="35"/>
      <c r="F1027" s="36"/>
      <c r="G1027" s="29"/>
      <c r="H1027" s="29"/>
      <c r="I1027" s="29"/>
      <c r="J1027" s="29"/>
      <c r="K1027" s="29"/>
      <c r="L1027" s="29"/>
      <c r="M1027" s="29"/>
      <c r="N1027" s="29"/>
      <c r="O1027" s="29"/>
      <c r="P1027" s="29"/>
      <c r="Q1027" s="29"/>
      <c r="R1027" s="29"/>
      <c r="S1027" s="29"/>
      <c r="T1027" s="29"/>
      <c r="U1027" s="29"/>
      <c r="V1027" s="29"/>
      <c r="W1027" s="29"/>
      <c r="X1027" s="29"/>
      <c r="Y1027" s="29"/>
      <c r="Z1027" s="29"/>
      <c r="AA1027" s="29"/>
      <c r="AB1027" s="29"/>
      <c r="AC1027" s="29"/>
      <c r="AD1027" s="29"/>
      <c r="AE1027" s="29"/>
      <c r="AJ1027"/>
      <c r="AK1027"/>
      <c r="AL1027"/>
      <c r="AM1027"/>
      <c r="AN1027"/>
      <c r="AO1027"/>
      <c r="AP1027"/>
      <c r="AQ1027"/>
      <c r="AR1027"/>
      <c r="AS1027"/>
      <c r="AT1027" s="4" t="str">
        <f t="shared" si="110"/>
        <v/>
      </c>
      <c r="AU1027" s="4" t="str">
        <f t="shared" si="106"/>
        <v>财富产品部</v>
      </c>
      <c r="AV1027" s="4" t="str">
        <f t="shared" si="107"/>
        <v>人力费用</v>
      </c>
      <c r="AW1027" s="4" t="str">
        <f>IFERROR(VLOOKUP(AV1027,[1]字段!A:B,2,0),"")</f>
        <v>人力费用</v>
      </c>
      <c r="AX1027" s="30" t="str">
        <f>IF(AW1027="人力费用",IF(E1027="","",VLOOKUP(E1027,[1]字段!D:E,2,0)),AW1027)</f>
        <v/>
      </c>
      <c r="AY1027" s="30" t="str">
        <f>IF(AT1027="","",VLOOKUP(AT1027,[1]字段!H:I,2,0))</f>
        <v/>
      </c>
      <c r="AZ1027" s="31">
        <f t="shared" si="111"/>
        <v>0</v>
      </c>
      <c r="BA1027" s="31">
        <f t="shared" si="108"/>
        <v>0</v>
      </c>
      <c r="BB1027" s="31">
        <f t="shared" si="109"/>
        <v>0</v>
      </c>
      <c r="BC1027" s="31">
        <f t="shared" si="112"/>
        <v>0</v>
      </c>
    </row>
    <row r="1028" spans="1:55" ht="28.5" customHeight="1">
      <c r="A1028" s="32"/>
      <c r="B1028" s="32"/>
      <c r="C1028" s="37"/>
      <c r="D1028" s="38"/>
      <c r="E1028" s="39" t="s">
        <v>41</v>
      </c>
      <c r="F1028" s="39" t="s">
        <v>42</v>
      </c>
      <c r="G1028" s="29"/>
      <c r="H1028" s="29"/>
      <c r="I1028" s="29"/>
      <c r="J1028" s="29"/>
      <c r="K1028" s="29"/>
      <c r="L1028" s="29"/>
      <c r="M1028" s="29"/>
      <c r="N1028" s="29"/>
      <c r="O1028" s="29"/>
      <c r="P1028" s="29"/>
      <c r="Q1028" s="29"/>
      <c r="R1028" s="29"/>
      <c r="S1028" s="29"/>
      <c r="T1028" s="29"/>
      <c r="U1028" s="29"/>
      <c r="V1028" s="29"/>
      <c r="W1028" s="29"/>
      <c r="X1028" s="29"/>
      <c r="Y1028" s="29"/>
      <c r="Z1028" s="29"/>
      <c r="AA1028" s="29"/>
      <c r="AB1028" s="29"/>
      <c r="AC1028" s="29"/>
      <c r="AD1028" s="29"/>
      <c r="AE1028" s="29"/>
      <c r="AJ1028"/>
      <c r="AK1028"/>
      <c r="AL1028"/>
      <c r="AM1028"/>
      <c r="AN1028"/>
      <c r="AO1028"/>
      <c r="AP1028"/>
      <c r="AQ1028"/>
      <c r="AR1028"/>
      <c r="AS1028"/>
      <c r="AT1028" s="4" t="str">
        <f t="shared" si="110"/>
        <v>1.0倍人力基础工资</v>
      </c>
      <c r="AU1028" s="4" t="str">
        <f t="shared" si="106"/>
        <v>财富产品部</v>
      </c>
      <c r="AV1028" s="4" t="str">
        <f t="shared" si="107"/>
        <v>人力费用</v>
      </c>
      <c r="AW1028" s="4" t="str">
        <f>IFERROR(VLOOKUP(AV1028,[1]字段!A:B,2,0),"")</f>
        <v>人力费用</v>
      </c>
      <c r="AX1028" s="30" t="str">
        <f>IF(AW1028="人力费用",IF(E1028="","",VLOOKUP(E1028,[1]字段!D:E,2,0)),AW1028)</f>
        <v>1.0倍人力</v>
      </c>
      <c r="AY1028" s="30" t="str">
        <f>IF(AT1028="","",VLOOKUP(AT1028,[1]字段!H:I,2,0))</f>
        <v>1.0倍人力</v>
      </c>
      <c r="AZ1028" s="31">
        <f t="shared" si="111"/>
        <v>0</v>
      </c>
      <c r="BA1028" s="31">
        <f t="shared" si="108"/>
        <v>0</v>
      </c>
      <c r="BB1028" s="31">
        <f t="shared" si="109"/>
        <v>0</v>
      </c>
      <c r="BC1028" s="31">
        <f t="shared" si="112"/>
        <v>0</v>
      </c>
    </row>
    <row r="1029" spans="1:55" ht="28.5" customHeight="1">
      <c r="A1029" s="32"/>
      <c r="B1029" s="32"/>
      <c r="C1029" s="32"/>
      <c r="D1029" s="40"/>
      <c r="E1029" s="39">
        <v>5501010602</v>
      </c>
      <c r="F1029" s="39"/>
      <c r="G1029" s="29"/>
      <c r="H1029" s="29"/>
      <c r="I1029" s="29"/>
      <c r="J1029" s="29"/>
      <c r="K1029" s="29"/>
      <c r="L1029" s="29"/>
      <c r="M1029" s="29"/>
      <c r="N1029" s="29"/>
      <c r="O1029" s="29"/>
      <c r="P1029" s="29"/>
      <c r="Q1029" s="29"/>
      <c r="R1029" s="29"/>
      <c r="S1029" s="29"/>
      <c r="T1029" s="29"/>
      <c r="U1029" s="29"/>
      <c r="V1029" s="29"/>
      <c r="W1029" s="29"/>
      <c r="X1029" s="29"/>
      <c r="Y1029" s="29"/>
      <c r="Z1029" s="29"/>
      <c r="AA1029" s="29"/>
      <c r="AB1029" s="29"/>
      <c r="AC1029" s="29"/>
      <c r="AD1029" s="29"/>
      <c r="AE1029" s="29"/>
      <c r="AJ1029"/>
      <c r="AK1029"/>
      <c r="AL1029"/>
      <c r="AM1029"/>
      <c r="AN1029"/>
      <c r="AO1029"/>
      <c r="AP1029"/>
      <c r="AQ1029"/>
      <c r="AR1029"/>
      <c r="AS1029"/>
      <c r="AT1029" s="4" t="str">
        <f t="shared" si="110"/>
        <v>利润分享</v>
      </c>
      <c r="AU1029" s="4" t="str">
        <f t="shared" ref="AU1029:AU1092" si="113">IF(B1029="",AU1028,B1029)</f>
        <v>财富产品部</v>
      </c>
      <c r="AV1029" s="4" t="str">
        <f t="shared" ref="AV1029:AV1092" si="114">IF(B1029&lt;&gt;"","",IF(D1029="",AV1028,D1029))</f>
        <v>人力费用</v>
      </c>
      <c r="AW1029" s="4" t="str">
        <f>IFERROR(VLOOKUP(AV1029,[1]字段!A:B,2,0),"")</f>
        <v>人力费用</v>
      </c>
      <c r="AX1029" s="30" t="str">
        <f>IF(AW1029="人力费用",IF(E1029="","",VLOOKUP(E1029,[1]字段!D:E,2,0)),AW1029)</f>
        <v>利润分享</v>
      </c>
      <c r="AY1029" s="30" t="str">
        <f>IF(AT1029="","",VLOOKUP(AT1029,[1]字段!H:I,2,0))</f>
        <v>利润分享</v>
      </c>
      <c r="AZ1029" s="31">
        <f t="shared" si="111"/>
        <v>0</v>
      </c>
      <c r="BA1029" s="31">
        <f t="shared" ref="BA1029:BA1092" si="115">IF($E1029="",0,SUMIF($G$1:$AE$1,BA$4,$G1029:$AE1029))</f>
        <v>0</v>
      </c>
      <c r="BB1029" s="31">
        <f t="shared" ref="BB1029:BB1092" si="116">AZ1029+BA1029</f>
        <v>0</v>
      </c>
      <c r="BC1029" s="31">
        <f t="shared" si="112"/>
        <v>0</v>
      </c>
    </row>
    <row r="1030" spans="1:55" ht="28.5" customHeight="1">
      <c r="A1030" s="32"/>
      <c r="B1030" s="32"/>
      <c r="C1030" s="32"/>
      <c r="D1030" s="40"/>
      <c r="E1030" s="39">
        <v>5501010603</v>
      </c>
      <c r="F1030" s="39"/>
      <c r="G1030" s="29"/>
      <c r="H1030" s="29"/>
      <c r="I1030" s="29"/>
      <c r="J1030" s="29"/>
      <c r="K1030" s="29"/>
      <c r="L1030" s="29"/>
      <c r="M1030" s="29"/>
      <c r="N1030" s="29"/>
      <c r="O1030" s="29"/>
      <c r="P1030" s="29"/>
      <c r="Q1030" s="29"/>
      <c r="R1030" s="29"/>
      <c r="S1030" s="29"/>
      <c r="T1030" s="29"/>
      <c r="U1030" s="29"/>
      <c r="V1030" s="29"/>
      <c r="W1030" s="29"/>
      <c r="X1030" s="29"/>
      <c r="Y1030" s="29"/>
      <c r="Z1030" s="29"/>
      <c r="AA1030" s="29"/>
      <c r="AB1030" s="29"/>
      <c r="AC1030" s="29"/>
      <c r="AD1030" s="29"/>
      <c r="AE1030" s="29"/>
      <c r="AJ1030"/>
      <c r="AK1030"/>
      <c r="AL1030"/>
      <c r="AM1030"/>
      <c r="AN1030"/>
      <c r="AO1030"/>
      <c r="AP1030"/>
      <c r="AQ1030"/>
      <c r="AR1030"/>
      <c r="AS1030"/>
      <c r="AT1030" s="4" t="str">
        <f t="shared" ref="AT1030:AT1093" si="117">AX1030&amp;F1030</f>
        <v>留任奖励</v>
      </c>
      <c r="AU1030" s="4" t="str">
        <f t="shared" si="113"/>
        <v>财富产品部</v>
      </c>
      <c r="AV1030" s="4" t="str">
        <f t="shared" si="114"/>
        <v>人力费用</v>
      </c>
      <c r="AW1030" s="4" t="str">
        <f>IFERROR(VLOOKUP(AV1030,[1]字段!A:B,2,0),"")</f>
        <v>人力费用</v>
      </c>
      <c r="AX1030" s="30" t="str">
        <f>IF(AW1030="人力费用",IF(E1030="","",VLOOKUP(E1030,[1]字段!D:E,2,0)),AW1030)</f>
        <v>留任奖励</v>
      </c>
      <c r="AY1030" s="30" t="str">
        <f>IF(AT1030="","",VLOOKUP(AT1030,[1]字段!H:I,2,0))</f>
        <v>留任奖励</v>
      </c>
      <c r="AZ1030" s="31">
        <f t="shared" ref="AZ1030:AZ1093" si="118">IF($E1030="",0,SUMIF($G$1:$AB$1,AZ$4,$G1030:$AB1030))</f>
        <v>0</v>
      </c>
      <c r="BA1030" s="31">
        <f t="shared" si="115"/>
        <v>0</v>
      </c>
      <c r="BB1030" s="31">
        <f t="shared" si="116"/>
        <v>0</v>
      </c>
      <c r="BC1030" s="31">
        <f t="shared" ref="BC1030:BC1093" si="119">IF(E1030="",0,SUM(G1030:AE1030)-AZ1030-BA1030)</f>
        <v>0</v>
      </c>
    </row>
    <row r="1031" spans="1:55" ht="28.5" customHeight="1">
      <c r="A1031" s="32"/>
      <c r="B1031" s="32"/>
      <c r="C1031" s="32"/>
      <c r="D1031" s="40"/>
      <c r="E1031" s="39">
        <v>5501010604</v>
      </c>
      <c r="F1031" s="39"/>
      <c r="G1031" s="29"/>
      <c r="H1031" s="29"/>
      <c r="I1031" s="29"/>
      <c r="J1031" s="29"/>
      <c r="K1031" s="29"/>
      <c r="L1031" s="29"/>
      <c r="M1031" s="29"/>
      <c r="N1031" s="29"/>
      <c r="O1031" s="29"/>
      <c r="P1031" s="29"/>
      <c r="Q1031" s="29"/>
      <c r="R1031" s="29"/>
      <c r="S1031" s="29"/>
      <c r="T1031" s="29"/>
      <c r="U1031" s="29"/>
      <c r="V1031" s="29"/>
      <c r="W1031" s="29"/>
      <c r="X1031" s="29"/>
      <c r="Y1031" s="29"/>
      <c r="Z1031" s="29"/>
      <c r="AA1031" s="29"/>
      <c r="AB1031" s="29"/>
      <c r="AC1031" s="29"/>
      <c r="AD1031" s="29"/>
      <c r="AE1031" s="29"/>
      <c r="AJ1031"/>
      <c r="AK1031"/>
      <c r="AL1031"/>
      <c r="AM1031"/>
      <c r="AN1031"/>
      <c r="AO1031"/>
      <c r="AP1031"/>
      <c r="AQ1031"/>
      <c r="AR1031"/>
      <c r="AS1031"/>
      <c r="AT1031" s="4" t="str">
        <f t="shared" si="117"/>
        <v>1.0倍人力</v>
      </c>
      <c r="AU1031" s="4" t="str">
        <f t="shared" si="113"/>
        <v>财富产品部</v>
      </c>
      <c r="AV1031" s="4" t="str">
        <f t="shared" si="114"/>
        <v>人力费用</v>
      </c>
      <c r="AW1031" s="4" t="str">
        <f>IFERROR(VLOOKUP(AV1031,[1]字段!A:B,2,0),"")</f>
        <v>人力费用</v>
      </c>
      <c r="AX1031" s="30" t="str">
        <f>IF(AW1031="人力费用",IF(E1031="","",VLOOKUP(E1031,[1]字段!D:E,2,0)),AW1031)</f>
        <v>1.0倍人力</v>
      </c>
      <c r="AY1031" s="30" t="str">
        <f>IF(AT1031="","",VLOOKUP(AT1031,[1]字段!H:I,2,0))</f>
        <v>1.0倍人力</v>
      </c>
      <c r="AZ1031" s="31">
        <f t="shared" si="118"/>
        <v>0</v>
      </c>
      <c r="BA1031" s="31">
        <f t="shared" si="115"/>
        <v>0</v>
      </c>
      <c r="BB1031" s="31">
        <f t="shared" si="116"/>
        <v>0</v>
      </c>
      <c r="BC1031" s="31">
        <f t="shared" si="119"/>
        <v>0</v>
      </c>
    </row>
    <row r="1032" spans="1:55" ht="28.5" customHeight="1">
      <c r="A1032" s="32"/>
      <c r="B1032" s="32"/>
      <c r="C1032" s="32"/>
      <c r="D1032" s="40"/>
      <c r="E1032" s="39" t="s">
        <v>43</v>
      </c>
      <c r="F1032" s="39" t="s">
        <v>44</v>
      </c>
      <c r="G1032" s="29"/>
      <c r="H1032" s="29"/>
      <c r="I1032" s="29"/>
      <c r="J1032" s="29"/>
      <c r="K1032" s="29"/>
      <c r="L1032" s="29"/>
      <c r="M1032" s="29"/>
      <c r="N1032" s="29"/>
      <c r="O1032" s="29"/>
      <c r="P1032" s="29"/>
      <c r="Q1032" s="29"/>
      <c r="R1032" s="29"/>
      <c r="S1032" s="29"/>
      <c r="T1032" s="29"/>
      <c r="U1032" s="29"/>
      <c r="V1032" s="29"/>
      <c r="W1032" s="29"/>
      <c r="X1032" s="29"/>
      <c r="Y1032" s="29"/>
      <c r="Z1032" s="29"/>
      <c r="AA1032" s="29"/>
      <c r="AB1032" s="29"/>
      <c r="AC1032" s="29"/>
      <c r="AD1032" s="29"/>
      <c r="AE1032" s="29"/>
      <c r="AJ1032"/>
      <c r="AK1032"/>
      <c r="AL1032"/>
      <c r="AM1032"/>
      <c r="AN1032"/>
      <c r="AO1032"/>
      <c r="AP1032"/>
      <c r="AQ1032"/>
      <c r="AR1032"/>
      <c r="AS1032"/>
      <c r="AT1032" s="4" t="str">
        <f t="shared" si="117"/>
        <v>1.0倍人力团队建设费</v>
      </c>
      <c r="AU1032" s="4" t="str">
        <f t="shared" si="113"/>
        <v>财富产品部</v>
      </c>
      <c r="AV1032" s="4" t="str">
        <f t="shared" si="114"/>
        <v>人力费用</v>
      </c>
      <c r="AW1032" s="4" t="str">
        <f>IFERROR(VLOOKUP(AV1032,[1]字段!A:B,2,0),"")</f>
        <v>人力费用</v>
      </c>
      <c r="AX1032" s="30" t="str">
        <f>IF(AW1032="人力费用",IF(E1032="","",VLOOKUP(E1032,[1]字段!D:E,2,0)),AW1032)</f>
        <v>1.0倍人力</v>
      </c>
      <c r="AY1032" s="30" t="str">
        <f>IF(AT1032="","",VLOOKUP(AT1032,[1]字段!H:I,2,0))</f>
        <v>1.0倍人力</v>
      </c>
      <c r="AZ1032" s="31">
        <f t="shared" si="118"/>
        <v>0</v>
      </c>
      <c r="BA1032" s="31">
        <f t="shared" si="115"/>
        <v>0</v>
      </c>
      <c r="BB1032" s="31">
        <f t="shared" si="116"/>
        <v>0</v>
      </c>
      <c r="BC1032" s="31">
        <f t="shared" si="119"/>
        <v>0</v>
      </c>
    </row>
    <row r="1033" spans="1:55" ht="28.5" customHeight="1">
      <c r="A1033" s="32"/>
      <c r="B1033" s="32"/>
      <c r="C1033" s="32"/>
      <c r="D1033" s="40"/>
      <c r="E1033" s="39" t="s">
        <v>45</v>
      </c>
      <c r="F1033" s="39" t="s">
        <v>46</v>
      </c>
      <c r="G1033" s="29"/>
      <c r="H1033" s="29"/>
      <c r="I1033" s="29"/>
      <c r="J1033" s="29"/>
      <c r="K1033" s="29"/>
      <c r="L1033" s="29"/>
      <c r="M1033" s="29"/>
      <c r="N1033" s="29"/>
      <c r="O1033" s="29"/>
      <c r="P1033" s="29"/>
      <c r="Q1033" s="29"/>
      <c r="R1033" s="29"/>
      <c r="S1033" s="29"/>
      <c r="T1033" s="29"/>
      <c r="U1033" s="29"/>
      <c r="V1033" s="29"/>
      <c r="W1033" s="29"/>
      <c r="X1033" s="29"/>
      <c r="Y1033" s="29"/>
      <c r="Z1033" s="29"/>
      <c r="AA1033" s="29"/>
      <c r="AB1033" s="29"/>
      <c r="AC1033" s="29"/>
      <c r="AD1033" s="29"/>
      <c r="AE1033" s="29"/>
      <c r="AJ1033"/>
      <c r="AK1033"/>
      <c r="AL1033"/>
      <c r="AM1033"/>
      <c r="AN1033"/>
      <c r="AO1033"/>
      <c r="AP1033"/>
      <c r="AQ1033"/>
      <c r="AR1033"/>
      <c r="AS1033"/>
      <c r="AT1033" s="4" t="str">
        <f t="shared" si="117"/>
        <v>1.0倍人力其他职工福利费</v>
      </c>
      <c r="AU1033" s="4" t="str">
        <f t="shared" si="113"/>
        <v>财富产品部</v>
      </c>
      <c r="AV1033" s="4" t="str">
        <f t="shared" si="114"/>
        <v>人力费用</v>
      </c>
      <c r="AW1033" s="4" t="str">
        <f>IFERROR(VLOOKUP(AV1033,[1]字段!A:B,2,0),"")</f>
        <v>人力费用</v>
      </c>
      <c r="AX1033" s="30" t="str">
        <f>IF(AW1033="人力费用",IF(E1033="","",VLOOKUP(E1033,[1]字段!D:E,2,0)),AW1033)</f>
        <v>1.0倍人力</v>
      </c>
      <c r="AY1033" s="30" t="str">
        <f>IF(AT1033="","",VLOOKUP(AT1033,[1]字段!H:I,2,0))</f>
        <v>1.0倍人力</v>
      </c>
      <c r="AZ1033" s="31">
        <f t="shared" si="118"/>
        <v>0</v>
      </c>
      <c r="BA1033" s="31">
        <f t="shared" si="115"/>
        <v>0</v>
      </c>
      <c r="BB1033" s="31">
        <f t="shared" si="116"/>
        <v>0</v>
      </c>
      <c r="BC1033" s="31">
        <f t="shared" si="119"/>
        <v>0</v>
      </c>
    </row>
    <row r="1034" spans="1:55" ht="28.5" customHeight="1">
      <c r="A1034" s="32"/>
      <c r="B1034" s="32"/>
      <c r="C1034" s="32"/>
      <c r="D1034" s="40"/>
      <c r="E1034" s="39" t="s">
        <v>47</v>
      </c>
      <c r="F1034" s="39" t="s">
        <v>48</v>
      </c>
      <c r="G1034" s="29"/>
      <c r="H1034" s="29"/>
      <c r="I1034" s="29"/>
      <c r="J1034" s="29"/>
      <c r="K1034" s="29"/>
      <c r="L1034" s="29"/>
      <c r="M1034" s="29"/>
      <c r="N1034" s="29"/>
      <c r="O1034" s="29"/>
      <c r="P1034" s="29"/>
      <c r="Q1034" s="29"/>
      <c r="R1034" s="29"/>
      <c r="S1034" s="29"/>
      <c r="T1034" s="29"/>
      <c r="U1034" s="29"/>
      <c r="V1034" s="29"/>
      <c r="W1034" s="29"/>
      <c r="X1034" s="29"/>
      <c r="Y1034" s="29"/>
      <c r="Z1034" s="29"/>
      <c r="AA1034" s="29"/>
      <c r="AB1034" s="29"/>
      <c r="AC1034" s="29"/>
      <c r="AD1034" s="29"/>
      <c r="AE1034" s="29"/>
      <c r="AJ1034"/>
      <c r="AK1034"/>
      <c r="AL1034"/>
      <c r="AM1034"/>
      <c r="AN1034"/>
      <c r="AO1034"/>
      <c r="AP1034"/>
      <c r="AQ1034"/>
      <c r="AR1034"/>
      <c r="AS1034"/>
      <c r="AT1034" s="4" t="str">
        <f t="shared" si="117"/>
        <v>1.0倍人力工会经费</v>
      </c>
      <c r="AU1034" s="4" t="str">
        <f t="shared" si="113"/>
        <v>财富产品部</v>
      </c>
      <c r="AV1034" s="4" t="str">
        <f t="shared" si="114"/>
        <v>人力费用</v>
      </c>
      <c r="AW1034" s="4" t="str">
        <f>IFERROR(VLOOKUP(AV1034,[1]字段!A:B,2,0),"")</f>
        <v>人力费用</v>
      </c>
      <c r="AX1034" s="30" t="str">
        <f>IF(AW1034="人力费用",IF(E1034="","",VLOOKUP(E1034,[1]字段!D:E,2,0)),AW1034)</f>
        <v>1.0倍人力</v>
      </c>
      <c r="AY1034" s="30" t="str">
        <f>IF(AT1034="","",VLOOKUP(AT1034,[1]字段!H:I,2,0))</f>
        <v>1.0倍人力</v>
      </c>
      <c r="AZ1034" s="31">
        <f t="shared" si="118"/>
        <v>0</v>
      </c>
      <c r="BA1034" s="31">
        <f t="shared" si="115"/>
        <v>0</v>
      </c>
      <c r="BB1034" s="31">
        <f t="shared" si="116"/>
        <v>0</v>
      </c>
      <c r="BC1034" s="31">
        <f t="shared" si="119"/>
        <v>0</v>
      </c>
    </row>
    <row r="1035" spans="1:55" ht="28.5" customHeight="1">
      <c r="A1035" s="32"/>
      <c r="B1035" s="32"/>
      <c r="C1035" s="32"/>
      <c r="D1035" s="40"/>
      <c r="E1035" s="39" t="s">
        <v>49</v>
      </c>
      <c r="F1035" s="39" t="s">
        <v>50</v>
      </c>
      <c r="G1035" s="29"/>
      <c r="H1035" s="29"/>
      <c r="I1035" s="29"/>
      <c r="J1035" s="29"/>
      <c r="K1035" s="29"/>
      <c r="L1035" s="29"/>
      <c r="M1035" s="29"/>
      <c r="N1035" s="29"/>
      <c r="O1035" s="29"/>
      <c r="P1035" s="29"/>
      <c r="Q1035" s="29"/>
      <c r="R1035" s="29"/>
      <c r="S1035" s="29"/>
      <c r="T1035" s="29"/>
      <c r="U1035" s="29"/>
      <c r="V1035" s="29"/>
      <c r="W1035" s="29"/>
      <c r="X1035" s="29"/>
      <c r="Y1035" s="29"/>
      <c r="Z1035" s="29"/>
      <c r="AA1035" s="29"/>
      <c r="AB1035" s="29"/>
      <c r="AC1035" s="29"/>
      <c r="AD1035" s="29"/>
      <c r="AE1035" s="29"/>
      <c r="AJ1035"/>
      <c r="AK1035"/>
      <c r="AL1035"/>
      <c r="AM1035"/>
      <c r="AN1035"/>
      <c r="AO1035"/>
      <c r="AP1035"/>
      <c r="AQ1035"/>
      <c r="AR1035"/>
      <c r="AS1035"/>
      <c r="AT1035" s="4" t="str">
        <f t="shared" si="117"/>
        <v>1.0倍人力基本养老保险</v>
      </c>
      <c r="AU1035" s="4" t="str">
        <f t="shared" si="113"/>
        <v>财富产品部</v>
      </c>
      <c r="AV1035" s="4" t="str">
        <f t="shared" si="114"/>
        <v>人力费用</v>
      </c>
      <c r="AW1035" s="4" t="str">
        <f>IFERROR(VLOOKUP(AV1035,[1]字段!A:B,2,0),"")</f>
        <v>人力费用</v>
      </c>
      <c r="AX1035" s="30" t="str">
        <f>IF(AW1035="人力费用",IF(E1035="","",VLOOKUP(E1035,[1]字段!D:E,2,0)),AW1035)</f>
        <v>1.0倍人力</v>
      </c>
      <c r="AY1035" s="30" t="str">
        <f>IF(AT1035="","",VLOOKUP(AT1035,[1]字段!H:I,2,0))</f>
        <v>1.0倍人力</v>
      </c>
      <c r="AZ1035" s="31">
        <f t="shared" si="118"/>
        <v>0</v>
      </c>
      <c r="BA1035" s="31">
        <f t="shared" si="115"/>
        <v>0</v>
      </c>
      <c r="BB1035" s="31">
        <f t="shared" si="116"/>
        <v>0</v>
      </c>
      <c r="BC1035" s="31">
        <f t="shared" si="119"/>
        <v>0</v>
      </c>
    </row>
    <row r="1036" spans="1:55" ht="28.5" customHeight="1">
      <c r="A1036" s="32"/>
      <c r="B1036" s="32"/>
      <c r="C1036" s="32"/>
      <c r="D1036" s="40"/>
      <c r="E1036" s="39" t="s">
        <v>51</v>
      </c>
      <c r="F1036" s="39" t="s">
        <v>52</v>
      </c>
      <c r="G1036" s="29"/>
      <c r="H1036" s="29"/>
      <c r="I1036" s="29"/>
      <c r="J1036" s="29"/>
      <c r="K1036" s="29"/>
      <c r="L1036" s="29"/>
      <c r="M1036" s="29"/>
      <c r="N1036" s="29"/>
      <c r="O1036" s="29"/>
      <c r="P1036" s="29"/>
      <c r="Q1036" s="29"/>
      <c r="R1036" s="29"/>
      <c r="S1036" s="29"/>
      <c r="T1036" s="29"/>
      <c r="U1036" s="29"/>
      <c r="V1036" s="29"/>
      <c r="W1036" s="29"/>
      <c r="X1036" s="29"/>
      <c r="Y1036" s="29"/>
      <c r="Z1036" s="29"/>
      <c r="AA1036" s="29"/>
      <c r="AB1036" s="29"/>
      <c r="AC1036" s="29"/>
      <c r="AD1036" s="29"/>
      <c r="AE1036" s="29"/>
      <c r="AJ1036"/>
      <c r="AK1036"/>
      <c r="AL1036"/>
      <c r="AM1036"/>
      <c r="AN1036"/>
      <c r="AO1036"/>
      <c r="AP1036"/>
      <c r="AQ1036"/>
      <c r="AR1036"/>
      <c r="AS1036"/>
      <c r="AT1036" s="4" t="str">
        <f t="shared" si="117"/>
        <v>1.0倍人力基本医疗保险</v>
      </c>
      <c r="AU1036" s="4" t="str">
        <f t="shared" si="113"/>
        <v>财富产品部</v>
      </c>
      <c r="AV1036" s="4" t="str">
        <f t="shared" si="114"/>
        <v>人力费用</v>
      </c>
      <c r="AW1036" s="4" t="str">
        <f>IFERROR(VLOOKUP(AV1036,[1]字段!A:B,2,0),"")</f>
        <v>人力费用</v>
      </c>
      <c r="AX1036" s="30" t="str">
        <f>IF(AW1036="人力费用",IF(E1036="","",VLOOKUP(E1036,[1]字段!D:E,2,0)),AW1036)</f>
        <v>1.0倍人力</v>
      </c>
      <c r="AY1036" s="30" t="str">
        <f>IF(AT1036="","",VLOOKUP(AT1036,[1]字段!H:I,2,0))</f>
        <v>1.0倍人力</v>
      </c>
      <c r="AZ1036" s="31">
        <f t="shared" si="118"/>
        <v>0</v>
      </c>
      <c r="BA1036" s="31">
        <f t="shared" si="115"/>
        <v>0</v>
      </c>
      <c r="BB1036" s="31">
        <f t="shared" si="116"/>
        <v>0</v>
      </c>
      <c r="BC1036" s="31">
        <f t="shared" si="119"/>
        <v>0</v>
      </c>
    </row>
    <row r="1037" spans="1:55" ht="28.5" customHeight="1">
      <c r="A1037" s="32"/>
      <c r="B1037" s="32"/>
      <c r="C1037" s="32"/>
      <c r="D1037" s="40"/>
      <c r="E1037" s="39" t="s">
        <v>53</v>
      </c>
      <c r="F1037" s="39" t="s">
        <v>54</v>
      </c>
      <c r="G1037" s="29"/>
      <c r="H1037" s="29"/>
      <c r="I1037" s="29"/>
      <c r="J1037" s="29"/>
      <c r="K1037" s="29"/>
      <c r="L1037" s="29"/>
      <c r="M1037" s="29"/>
      <c r="N1037" s="29"/>
      <c r="O1037" s="29"/>
      <c r="P1037" s="29"/>
      <c r="Q1037" s="29"/>
      <c r="R1037" s="29"/>
      <c r="S1037" s="29"/>
      <c r="T1037" s="29"/>
      <c r="U1037" s="29"/>
      <c r="V1037" s="29"/>
      <c r="W1037" s="29"/>
      <c r="X1037" s="29"/>
      <c r="Y1037" s="29"/>
      <c r="Z1037" s="29"/>
      <c r="AA1037" s="29"/>
      <c r="AB1037" s="29"/>
      <c r="AC1037" s="29"/>
      <c r="AD1037" s="29"/>
      <c r="AE1037" s="29"/>
      <c r="AJ1037"/>
      <c r="AK1037"/>
      <c r="AL1037"/>
      <c r="AM1037"/>
      <c r="AN1037"/>
      <c r="AO1037"/>
      <c r="AP1037"/>
      <c r="AQ1037"/>
      <c r="AR1037"/>
      <c r="AS1037"/>
      <c r="AT1037" s="4" t="str">
        <f t="shared" si="117"/>
        <v>1.0倍人力工伤保险</v>
      </c>
      <c r="AU1037" s="4" t="str">
        <f t="shared" si="113"/>
        <v>财富产品部</v>
      </c>
      <c r="AV1037" s="4" t="str">
        <f t="shared" si="114"/>
        <v>人力费用</v>
      </c>
      <c r="AW1037" s="4" t="str">
        <f>IFERROR(VLOOKUP(AV1037,[1]字段!A:B,2,0),"")</f>
        <v>人力费用</v>
      </c>
      <c r="AX1037" s="30" t="str">
        <f>IF(AW1037="人力费用",IF(E1037="","",VLOOKUP(E1037,[1]字段!D:E,2,0)),AW1037)</f>
        <v>1.0倍人力</v>
      </c>
      <c r="AY1037" s="30" t="str">
        <f>IF(AT1037="","",VLOOKUP(AT1037,[1]字段!H:I,2,0))</f>
        <v>1.0倍人力</v>
      </c>
      <c r="AZ1037" s="31">
        <f t="shared" si="118"/>
        <v>0</v>
      </c>
      <c r="BA1037" s="31">
        <f t="shared" si="115"/>
        <v>0</v>
      </c>
      <c r="BB1037" s="31">
        <f t="shared" si="116"/>
        <v>0</v>
      </c>
      <c r="BC1037" s="31">
        <f t="shared" si="119"/>
        <v>0</v>
      </c>
    </row>
    <row r="1038" spans="1:55" ht="28.5" customHeight="1">
      <c r="A1038" s="32"/>
      <c r="B1038" s="32"/>
      <c r="C1038" s="32"/>
      <c r="D1038" s="40"/>
      <c r="E1038" s="39" t="s">
        <v>55</v>
      </c>
      <c r="F1038" s="39" t="s">
        <v>56</v>
      </c>
      <c r="G1038" s="29"/>
      <c r="H1038" s="29"/>
      <c r="I1038" s="29"/>
      <c r="J1038" s="29"/>
      <c r="K1038" s="29"/>
      <c r="L1038" s="29"/>
      <c r="M1038" s="29"/>
      <c r="N1038" s="29"/>
      <c r="O1038" s="29"/>
      <c r="P1038" s="29"/>
      <c r="Q1038" s="29"/>
      <c r="R1038" s="29"/>
      <c r="S1038" s="29"/>
      <c r="T1038" s="29"/>
      <c r="U1038" s="29"/>
      <c r="V1038" s="29"/>
      <c r="W1038" s="29"/>
      <c r="X1038" s="29"/>
      <c r="Y1038" s="29"/>
      <c r="Z1038" s="29"/>
      <c r="AA1038" s="29"/>
      <c r="AB1038" s="29"/>
      <c r="AC1038" s="29"/>
      <c r="AD1038" s="29"/>
      <c r="AE1038" s="29"/>
      <c r="AJ1038"/>
      <c r="AK1038"/>
      <c r="AL1038"/>
      <c r="AM1038"/>
      <c r="AN1038"/>
      <c r="AO1038"/>
      <c r="AP1038"/>
      <c r="AQ1038"/>
      <c r="AR1038"/>
      <c r="AS1038"/>
      <c r="AT1038" s="4" t="str">
        <f t="shared" si="117"/>
        <v>1.0倍人力生育保险</v>
      </c>
      <c r="AU1038" s="4" t="str">
        <f t="shared" si="113"/>
        <v>财富产品部</v>
      </c>
      <c r="AV1038" s="4" t="str">
        <f t="shared" si="114"/>
        <v>人力费用</v>
      </c>
      <c r="AW1038" s="4" t="str">
        <f>IFERROR(VLOOKUP(AV1038,[1]字段!A:B,2,0),"")</f>
        <v>人力费用</v>
      </c>
      <c r="AX1038" s="30" t="str">
        <f>IF(AW1038="人力费用",IF(E1038="","",VLOOKUP(E1038,[1]字段!D:E,2,0)),AW1038)</f>
        <v>1.0倍人力</v>
      </c>
      <c r="AY1038" s="30" t="str">
        <f>IF(AT1038="","",VLOOKUP(AT1038,[1]字段!H:I,2,0))</f>
        <v>1.0倍人力</v>
      </c>
      <c r="AZ1038" s="31">
        <f t="shared" si="118"/>
        <v>0</v>
      </c>
      <c r="BA1038" s="31">
        <f t="shared" si="115"/>
        <v>0</v>
      </c>
      <c r="BB1038" s="31">
        <f t="shared" si="116"/>
        <v>0</v>
      </c>
      <c r="BC1038" s="31">
        <f t="shared" si="119"/>
        <v>0</v>
      </c>
    </row>
    <row r="1039" spans="1:55" ht="28.5" customHeight="1">
      <c r="A1039" s="32"/>
      <c r="B1039" s="32"/>
      <c r="C1039" s="32"/>
      <c r="D1039" s="40"/>
      <c r="E1039" s="39" t="s">
        <v>57</v>
      </c>
      <c r="F1039" s="39" t="s">
        <v>58</v>
      </c>
      <c r="G1039" s="29"/>
      <c r="H1039" s="29"/>
      <c r="I1039" s="29"/>
      <c r="J1039" s="29"/>
      <c r="K1039" s="29"/>
      <c r="L1039" s="29"/>
      <c r="M1039" s="29"/>
      <c r="N1039" s="29"/>
      <c r="O1039" s="29"/>
      <c r="P1039" s="29"/>
      <c r="Q1039" s="29"/>
      <c r="R1039" s="29"/>
      <c r="S1039" s="29"/>
      <c r="T1039" s="29"/>
      <c r="U1039" s="29"/>
      <c r="V1039" s="29"/>
      <c r="W1039" s="29"/>
      <c r="X1039" s="29"/>
      <c r="Y1039" s="29"/>
      <c r="Z1039" s="29"/>
      <c r="AA1039" s="29"/>
      <c r="AB1039" s="29"/>
      <c r="AC1039" s="29"/>
      <c r="AD1039" s="29"/>
      <c r="AE1039" s="29"/>
      <c r="AJ1039"/>
      <c r="AK1039"/>
      <c r="AL1039"/>
      <c r="AM1039"/>
      <c r="AN1039"/>
      <c r="AO1039"/>
      <c r="AP1039"/>
      <c r="AQ1039"/>
      <c r="AR1039"/>
      <c r="AS1039"/>
      <c r="AT1039" s="4" t="str">
        <f t="shared" si="117"/>
        <v>1.0倍人力失业保险</v>
      </c>
      <c r="AU1039" s="4" t="str">
        <f t="shared" si="113"/>
        <v>财富产品部</v>
      </c>
      <c r="AV1039" s="4" t="str">
        <f t="shared" si="114"/>
        <v>人力费用</v>
      </c>
      <c r="AW1039" s="4" t="str">
        <f>IFERROR(VLOOKUP(AV1039,[1]字段!A:B,2,0),"")</f>
        <v>人力费用</v>
      </c>
      <c r="AX1039" s="30" t="str">
        <f>IF(AW1039="人力费用",IF(E1039="","",VLOOKUP(E1039,[1]字段!D:E,2,0)),AW1039)</f>
        <v>1.0倍人力</v>
      </c>
      <c r="AY1039" s="30" t="str">
        <f>IF(AT1039="","",VLOOKUP(AT1039,[1]字段!H:I,2,0))</f>
        <v>1.0倍人力</v>
      </c>
      <c r="AZ1039" s="31">
        <f t="shared" si="118"/>
        <v>0</v>
      </c>
      <c r="BA1039" s="31">
        <f t="shared" si="115"/>
        <v>0</v>
      </c>
      <c r="BB1039" s="31">
        <f t="shared" si="116"/>
        <v>0</v>
      </c>
      <c r="BC1039" s="31">
        <f t="shared" si="119"/>
        <v>0</v>
      </c>
    </row>
    <row r="1040" spans="1:55" ht="28.5" customHeight="1">
      <c r="A1040" s="32"/>
      <c r="B1040" s="32"/>
      <c r="C1040" s="41"/>
      <c r="D1040" s="42"/>
      <c r="E1040" s="39" t="s">
        <v>59</v>
      </c>
      <c r="F1040" s="39" t="s">
        <v>60</v>
      </c>
      <c r="G1040" s="29"/>
      <c r="H1040" s="29"/>
      <c r="I1040" s="29"/>
      <c r="J1040" s="29"/>
      <c r="K1040" s="29"/>
      <c r="L1040" s="29"/>
      <c r="M1040" s="29"/>
      <c r="N1040" s="29"/>
      <c r="O1040" s="29"/>
      <c r="P1040" s="29"/>
      <c r="Q1040" s="29"/>
      <c r="R1040" s="29"/>
      <c r="S1040" s="29"/>
      <c r="T1040" s="29"/>
      <c r="U1040" s="29"/>
      <c r="V1040" s="29"/>
      <c r="W1040" s="29"/>
      <c r="X1040" s="29"/>
      <c r="Y1040" s="29"/>
      <c r="Z1040" s="29"/>
      <c r="AA1040" s="29"/>
      <c r="AB1040" s="29"/>
      <c r="AC1040" s="29"/>
      <c r="AD1040" s="29"/>
      <c r="AE1040" s="29"/>
      <c r="AJ1040"/>
      <c r="AK1040"/>
      <c r="AL1040"/>
      <c r="AM1040"/>
      <c r="AN1040"/>
      <c r="AO1040"/>
      <c r="AP1040"/>
      <c r="AQ1040"/>
      <c r="AR1040"/>
      <c r="AS1040"/>
      <c r="AT1040" s="4" t="str">
        <f t="shared" si="117"/>
        <v>1.0倍人力住房公积金</v>
      </c>
      <c r="AU1040" s="4" t="str">
        <f t="shared" si="113"/>
        <v>财富产品部</v>
      </c>
      <c r="AV1040" s="4" t="str">
        <f t="shared" si="114"/>
        <v>人力费用</v>
      </c>
      <c r="AW1040" s="4" t="str">
        <f>IFERROR(VLOOKUP(AV1040,[1]字段!A:B,2,0),"")</f>
        <v>人力费用</v>
      </c>
      <c r="AX1040" s="30" t="str">
        <f>IF(AW1040="人力费用",IF(E1040="","",VLOOKUP(E1040,[1]字段!D:E,2,0)),AW1040)</f>
        <v>1.0倍人力</v>
      </c>
      <c r="AY1040" s="30" t="str">
        <f>IF(AT1040="","",VLOOKUP(AT1040,[1]字段!H:I,2,0))</f>
        <v>1.0倍人力</v>
      </c>
      <c r="AZ1040" s="31">
        <f t="shared" si="118"/>
        <v>0</v>
      </c>
      <c r="BA1040" s="31">
        <f t="shared" si="115"/>
        <v>0</v>
      </c>
      <c r="BB1040" s="31">
        <f t="shared" si="116"/>
        <v>0</v>
      </c>
      <c r="BC1040" s="31">
        <f t="shared" si="119"/>
        <v>0</v>
      </c>
    </row>
    <row r="1041" spans="1:55" ht="28.5" customHeight="1">
      <c r="C1041" s="33" t="s">
        <v>162</v>
      </c>
      <c r="D1041" s="34" t="s">
        <v>163</v>
      </c>
      <c r="E1041" s="35"/>
      <c r="F1041" s="36"/>
      <c r="G1041" s="29"/>
      <c r="H1041" s="29"/>
      <c r="I1041" s="29"/>
      <c r="J1041" s="29"/>
      <c r="K1041" s="29"/>
      <c r="L1041" s="29"/>
      <c r="M1041" s="29"/>
      <c r="N1041" s="29"/>
      <c r="O1041" s="29"/>
      <c r="P1041" s="29"/>
      <c r="Q1041" s="29"/>
      <c r="R1041" s="29"/>
      <c r="S1041" s="29"/>
      <c r="T1041" s="29"/>
      <c r="U1041" s="29"/>
      <c r="V1041" s="29"/>
      <c r="W1041" s="29"/>
      <c r="X1041" s="29"/>
      <c r="Y1041" s="29"/>
      <c r="Z1041" s="29"/>
      <c r="AA1041" s="29"/>
      <c r="AB1041" s="29"/>
      <c r="AC1041" s="29"/>
      <c r="AD1041" s="29"/>
      <c r="AE1041" s="29"/>
      <c r="AJ1041"/>
      <c r="AK1041"/>
      <c r="AL1041"/>
      <c r="AM1041"/>
      <c r="AN1041"/>
      <c r="AO1041"/>
      <c r="AP1041"/>
      <c r="AQ1041"/>
      <c r="AR1041"/>
      <c r="AS1041"/>
      <c r="AT1041" s="4" t="str">
        <f t="shared" si="117"/>
        <v>运营费用</v>
      </c>
      <c r="AU1041" s="4" t="str">
        <f t="shared" si="113"/>
        <v>财富产品部</v>
      </c>
      <c r="AV1041" s="4" t="str">
        <f t="shared" si="114"/>
        <v>运营费用</v>
      </c>
      <c r="AW1041" s="4" t="str">
        <f>IFERROR(VLOOKUP(AV1041,[1]字段!A:B,2,0),"")</f>
        <v>运营费用</v>
      </c>
      <c r="AX1041" s="30" t="str">
        <f>IF(AW1041="人力费用",IF(E1041="","",VLOOKUP(E1041,[1]字段!D:E,2,0)),AW1041)</f>
        <v>运营费用</v>
      </c>
      <c r="AY1041" s="30">
        <f>IF(AT1041="","",VLOOKUP(AT1041,[1]字段!H:I,2,0))</f>
        <v>0</v>
      </c>
      <c r="AZ1041" s="31">
        <f t="shared" si="118"/>
        <v>0</v>
      </c>
      <c r="BA1041" s="31">
        <f t="shared" si="115"/>
        <v>0</v>
      </c>
      <c r="BB1041" s="31">
        <f t="shared" si="116"/>
        <v>0</v>
      </c>
      <c r="BC1041" s="31">
        <f t="shared" si="119"/>
        <v>0</v>
      </c>
    </row>
    <row r="1042" spans="1:55" ht="28.5" customHeight="1">
      <c r="A1042" s="32"/>
      <c r="B1042" s="32"/>
      <c r="C1042" s="43"/>
      <c r="D1042" s="43"/>
      <c r="E1042" s="39" t="s">
        <v>83</v>
      </c>
      <c r="F1042" s="39" t="s">
        <v>84</v>
      </c>
      <c r="G1042" s="29"/>
      <c r="H1042" s="29"/>
      <c r="I1042" s="29"/>
      <c r="J1042" s="29"/>
      <c r="K1042" s="29"/>
      <c r="L1042" s="29"/>
      <c r="M1042" s="29"/>
      <c r="N1042" s="29"/>
      <c r="O1042" s="29"/>
      <c r="P1042" s="29"/>
      <c r="Q1042" s="29"/>
      <c r="R1042" s="29"/>
      <c r="S1042" s="29"/>
      <c r="T1042" s="29"/>
      <c r="U1042" s="29"/>
      <c r="V1042" s="29"/>
      <c r="W1042" s="29"/>
      <c r="X1042" s="29"/>
      <c r="Y1042" s="29"/>
      <c r="Z1042" s="29"/>
      <c r="AA1042" s="29"/>
      <c r="AB1042" s="29"/>
      <c r="AC1042" s="29"/>
      <c r="AD1042" s="29"/>
      <c r="AE1042" s="29"/>
      <c r="AJ1042"/>
      <c r="AK1042"/>
      <c r="AL1042"/>
      <c r="AM1042"/>
      <c r="AN1042"/>
      <c r="AO1042"/>
      <c r="AP1042"/>
      <c r="AQ1042"/>
      <c r="AR1042"/>
      <c r="AS1042"/>
      <c r="AT1042" s="4" t="str">
        <f t="shared" si="117"/>
        <v>运营费用其他外包服务费</v>
      </c>
      <c r="AU1042" s="4" t="str">
        <f t="shared" si="113"/>
        <v>财富产品部</v>
      </c>
      <c r="AV1042" s="4" t="str">
        <f t="shared" si="114"/>
        <v>运营费用</v>
      </c>
      <c r="AW1042" s="4" t="str">
        <f>IFERROR(VLOOKUP(AV1042,[1]字段!A:B,2,0),"")</f>
        <v>运营费用</v>
      </c>
      <c r="AX1042" s="30" t="str">
        <f>IF(AW1042="人力费用",IF(E1042="","",VLOOKUP(E1042,[1]字段!D:E,2,0)),AW1042)</f>
        <v>运营费用</v>
      </c>
      <c r="AY1042" s="30" t="str">
        <f>IF(AT1042="","",VLOOKUP(AT1042,[1]字段!H:I,2,0))</f>
        <v>运营费用-外包服务费</v>
      </c>
      <c r="AZ1042" s="31">
        <f t="shared" si="118"/>
        <v>0</v>
      </c>
      <c r="BA1042" s="31">
        <f t="shared" si="115"/>
        <v>0</v>
      </c>
      <c r="BB1042" s="31">
        <f t="shared" si="116"/>
        <v>0</v>
      </c>
      <c r="BC1042" s="31">
        <f t="shared" si="119"/>
        <v>0</v>
      </c>
    </row>
    <row r="1043" spans="1:55" ht="28.5" customHeight="1">
      <c r="C1043" s="33" t="s">
        <v>65</v>
      </c>
      <c r="D1043" s="34" t="s">
        <v>66</v>
      </c>
      <c r="E1043" s="35"/>
      <c r="F1043" s="36"/>
      <c r="G1043" s="29"/>
      <c r="H1043" s="29"/>
      <c r="I1043" s="29"/>
      <c r="J1043" s="29"/>
      <c r="K1043" s="29"/>
      <c r="L1043" s="29"/>
      <c r="M1043" s="29"/>
      <c r="N1043" s="29"/>
      <c r="O1043" s="29"/>
      <c r="P1043" s="29"/>
      <c r="Q1043" s="29"/>
      <c r="R1043" s="29"/>
      <c r="S1043" s="29"/>
      <c r="T1043" s="29"/>
      <c r="U1043" s="29"/>
      <c r="V1043" s="29"/>
      <c r="W1043" s="29"/>
      <c r="X1043" s="29"/>
      <c r="Y1043" s="29"/>
      <c r="Z1043" s="29"/>
      <c r="AA1043" s="29"/>
      <c r="AB1043" s="29"/>
      <c r="AC1043" s="29"/>
      <c r="AD1043" s="29"/>
      <c r="AE1043" s="29"/>
      <c r="AJ1043"/>
      <c r="AK1043"/>
      <c r="AL1043"/>
      <c r="AM1043"/>
      <c r="AN1043"/>
      <c r="AO1043"/>
      <c r="AP1043"/>
      <c r="AQ1043"/>
      <c r="AR1043"/>
      <c r="AS1043"/>
      <c r="AT1043" s="4" t="str">
        <f t="shared" si="117"/>
        <v>IT费用</v>
      </c>
      <c r="AU1043" s="4" t="str">
        <f t="shared" si="113"/>
        <v>财富产品部</v>
      </c>
      <c r="AV1043" s="4" t="str">
        <f t="shared" si="114"/>
        <v>IT科技费用</v>
      </c>
      <c r="AW1043" s="4" t="str">
        <f>IFERROR(VLOOKUP(AV1043,[1]字段!A:B,2,0),"")</f>
        <v>IT费用</v>
      </c>
      <c r="AX1043" s="30" t="str">
        <f>IF(AW1043="人力费用",IF(E1043="","",VLOOKUP(E1043,[1]字段!D:E,2,0)),AW1043)</f>
        <v>IT费用</v>
      </c>
      <c r="AY1043" s="30">
        <f>IF(AT1043="","",VLOOKUP(AT1043,[1]字段!H:I,2,0))</f>
        <v>0</v>
      </c>
      <c r="AZ1043" s="31">
        <f t="shared" si="118"/>
        <v>0</v>
      </c>
      <c r="BA1043" s="31">
        <f t="shared" si="115"/>
        <v>0</v>
      </c>
      <c r="BB1043" s="31">
        <f t="shared" si="116"/>
        <v>0</v>
      </c>
      <c r="BC1043" s="31">
        <f t="shared" si="119"/>
        <v>0</v>
      </c>
    </row>
    <row r="1044" spans="1:55" ht="28.5" customHeight="1">
      <c r="A1044" s="32"/>
      <c r="B1044" s="32"/>
      <c r="C1044" s="43"/>
      <c r="D1044" s="43"/>
      <c r="E1044" s="39" t="s">
        <v>71</v>
      </c>
      <c r="F1044" s="39" t="s">
        <v>72</v>
      </c>
      <c r="G1044" s="29"/>
      <c r="H1044" s="29"/>
      <c r="I1044" s="29"/>
      <c r="J1044" s="29"/>
      <c r="K1044" s="29"/>
      <c r="L1044" s="29"/>
      <c r="M1044" s="29"/>
      <c r="N1044" s="29"/>
      <c r="O1044" s="29"/>
      <c r="P1044" s="29"/>
      <c r="Q1044" s="29"/>
      <c r="R1044" s="29"/>
      <c r="S1044" s="29"/>
      <c r="T1044" s="29"/>
      <c r="U1044" s="29"/>
      <c r="V1044" s="29"/>
      <c r="W1044" s="29"/>
      <c r="X1044" s="29"/>
      <c r="Y1044" s="29"/>
      <c r="Z1044" s="29"/>
      <c r="AA1044" s="29"/>
      <c r="AB1044" s="29"/>
      <c r="AC1044" s="29"/>
      <c r="AD1044" s="29"/>
      <c r="AE1044" s="29"/>
      <c r="AJ1044"/>
      <c r="AK1044"/>
      <c r="AL1044"/>
      <c r="AM1044"/>
      <c r="AN1044"/>
      <c r="AO1044"/>
      <c r="AP1044"/>
      <c r="AQ1044"/>
      <c r="AR1044"/>
      <c r="AS1044"/>
      <c r="AT1044" s="4" t="str">
        <f t="shared" si="117"/>
        <v>IT费用办公IT设备折旧费</v>
      </c>
      <c r="AU1044" s="4" t="str">
        <f t="shared" si="113"/>
        <v>财富产品部</v>
      </c>
      <c r="AV1044" s="4" t="str">
        <f t="shared" si="114"/>
        <v>IT科技费用</v>
      </c>
      <c r="AW1044" s="4" t="str">
        <f>IFERROR(VLOOKUP(AV1044,[1]字段!A:B,2,0),"")</f>
        <v>IT费用</v>
      </c>
      <c r="AX1044" s="30" t="str">
        <f>IF(AW1044="人力费用",IF(E1044="","",VLOOKUP(E1044,[1]字段!D:E,2,0)),AW1044)</f>
        <v>IT费用</v>
      </c>
      <c r="AY1044" s="30" t="str">
        <f>IF(AT1044="","",VLOOKUP(AT1044,[1]字段!H:I,2,0))</f>
        <v>IT费用</v>
      </c>
      <c r="AZ1044" s="31">
        <f t="shared" si="118"/>
        <v>0</v>
      </c>
      <c r="BA1044" s="31">
        <f t="shared" si="115"/>
        <v>0</v>
      </c>
      <c r="BB1044" s="31">
        <f t="shared" si="116"/>
        <v>0</v>
      </c>
      <c r="BC1044" s="31">
        <f t="shared" si="119"/>
        <v>0</v>
      </c>
    </row>
    <row r="1045" spans="1:55" ht="28.5" customHeight="1">
      <c r="C1045" s="33" t="s">
        <v>93</v>
      </c>
      <c r="D1045" s="34" t="s">
        <v>94</v>
      </c>
      <c r="E1045" s="35"/>
      <c r="F1045" s="36"/>
      <c r="G1045" s="29"/>
      <c r="H1045" s="29"/>
      <c r="I1045" s="29"/>
      <c r="J1045" s="29"/>
      <c r="K1045" s="29"/>
      <c r="L1045" s="29"/>
      <c r="M1045" s="29"/>
      <c r="N1045" s="29"/>
      <c r="O1045" s="29"/>
      <c r="P1045" s="29"/>
      <c r="Q1045" s="29"/>
      <c r="R1045" s="29"/>
      <c r="S1045" s="29"/>
      <c r="T1045" s="29"/>
      <c r="U1045" s="29"/>
      <c r="V1045" s="29"/>
      <c r="W1045" s="29"/>
      <c r="X1045" s="29"/>
      <c r="Y1045" s="29"/>
      <c r="Z1045" s="29"/>
      <c r="AA1045" s="29"/>
      <c r="AB1045" s="29"/>
      <c r="AC1045" s="29"/>
      <c r="AD1045" s="29"/>
      <c r="AE1045" s="29"/>
      <c r="AJ1045"/>
      <c r="AK1045"/>
      <c r="AL1045"/>
      <c r="AM1045"/>
      <c r="AN1045"/>
      <c r="AO1045"/>
      <c r="AP1045"/>
      <c r="AQ1045"/>
      <c r="AR1045"/>
      <c r="AS1045"/>
      <c r="AT1045" s="4" t="str">
        <f t="shared" si="117"/>
        <v>日常费用</v>
      </c>
      <c r="AU1045" s="4" t="str">
        <f t="shared" si="113"/>
        <v>财富产品部</v>
      </c>
      <c r="AV1045" s="4" t="str">
        <f t="shared" si="114"/>
        <v>日常费用</v>
      </c>
      <c r="AW1045" s="4" t="str">
        <f>IFERROR(VLOOKUP(AV1045,[1]字段!A:B,2,0),"")</f>
        <v>日常费用</v>
      </c>
      <c r="AX1045" s="30" t="str">
        <f>IF(AW1045="人力费用",IF(E1045="","",VLOOKUP(E1045,[1]字段!D:E,2,0)),AW1045)</f>
        <v>日常费用</v>
      </c>
      <c r="AY1045" s="30">
        <f>IF(AT1045="","",VLOOKUP(AT1045,[1]字段!H:I,2,0))</f>
        <v>0</v>
      </c>
      <c r="AZ1045" s="31">
        <f t="shared" si="118"/>
        <v>0</v>
      </c>
      <c r="BA1045" s="31">
        <f t="shared" si="115"/>
        <v>0</v>
      </c>
      <c r="BB1045" s="31">
        <f t="shared" si="116"/>
        <v>0</v>
      </c>
      <c r="BC1045" s="31">
        <f t="shared" si="119"/>
        <v>0</v>
      </c>
    </row>
    <row r="1046" spans="1:55" ht="28.5" customHeight="1">
      <c r="A1046" s="32"/>
      <c r="B1046" s="32"/>
      <c r="C1046" s="43"/>
      <c r="D1046" s="43"/>
      <c r="E1046" s="39" t="s">
        <v>77</v>
      </c>
      <c r="F1046" s="39" t="s">
        <v>78</v>
      </c>
      <c r="G1046" s="29"/>
      <c r="H1046" s="29"/>
      <c r="I1046" s="29"/>
      <c r="J1046" s="29"/>
      <c r="K1046" s="29"/>
      <c r="L1046" s="29"/>
      <c r="M1046" s="29"/>
      <c r="N1046" s="29"/>
      <c r="O1046" s="29"/>
      <c r="P1046" s="29"/>
      <c r="Q1046" s="29"/>
      <c r="R1046" s="29"/>
      <c r="S1046" s="29"/>
      <c r="T1046" s="29"/>
      <c r="U1046" s="29"/>
      <c r="V1046" s="29"/>
      <c r="W1046" s="29"/>
      <c r="X1046" s="29"/>
      <c r="Y1046" s="29"/>
      <c r="Z1046" s="29"/>
      <c r="AA1046" s="29"/>
      <c r="AB1046" s="29"/>
      <c r="AC1046" s="29"/>
      <c r="AD1046" s="29"/>
      <c r="AE1046" s="29"/>
      <c r="AJ1046"/>
      <c r="AK1046"/>
      <c r="AL1046"/>
      <c r="AM1046"/>
      <c r="AN1046"/>
      <c r="AO1046"/>
      <c r="AP1046"/>
      <c r="AQ1046"/>
      <c r="AR1046"/>
      <c r="AS1046"/>
      <c r="AT1046" s="4" t="str">
        <f t="shared" si="117"/>
        <v>日常费用咨询费</v>
      </c>
      <c r="AU1046" s="4" t="str">
        <f t="shared" si="113"/>
        <v>财富产品部</v>
      </c>
      <c r="AV1046" s="4" t="str">
        <f t="shared" si="114"/>
        <v>日常费用</v>
      </c>
      <c r="AW1046" s="4" t="str">
        <f>IFERROR(VLOOKUP(AV1046,[1]字段!A:B,2,0),"")</f>
        <v>日常费用</v>
      </c>
      <c r="AX1046" s="30" t="str">
        <f>IF(AW1046="人力费用",IF(E1046="","",VLOOKUP(E1046,[1]字段!D:E,2,0)),AW1046)</f>
        <v>日常费用</v>
      </c>
      <c r="AY1046" s="30" t="str">
        <f>IF(AT1046="","",VLOOKUP(AT1046,[1]字段!H:I,2,0))</f>
        <v>日常费用-咨询费</v>
      </c>
      <c r="AZ1046" s="31">
        <f t="shared" si="118"/>
        <v>0</v>
      </c>
      <c r="BA1046" s="31">
        <f t="shared" si="115"/>
        <v>0</v>
      </c>
      <c r="BB1046" s="31">
        <f t="shared" si="116"/>
        <v>0</v>
      </c>
      <c r="BC1046" s="31">
        <f t="shared" si="119"/>
        <v>0</v>
      </c>
    </row>
    <row r="1047" spans="1:55" ht="28.5" customHeight="1">
      <c r="A1047" s="32"/>
      <c r="B1047" s="32"/>
      <c r="C1047" s="32"/>
      <c r="D1047" s="40"/>
      <c r="E1047" s="39" t="s">
        <v>95</v>
      </c>
      <c r="F1047" s="39" t="s">
        <v>96</v>
      </c>
      <c r="G1047" s="29"/>
      <c r="H1047" s="29"/>
      <c r="I1047" s="29"/>
      <c r="J1047" s="29"/>
      <c r="K1047" s="29"/>
      <c r="L1047" s="29"/>
      <c r="M1047" s="29"/>
      <c r="N1047" s="29"/>
      <c r="O1047" s="29"/>
      <c r="P1047" s="29"/>
      <c r="Q1047" s="29"/>
      <c r="R1047" s="29"/>
      <c r="S1047" s="29"/>
      <c r="T1047" s="29"/>
      <c r="U1047" s="29"/>
      <c r="V1047" s="29"/>
      <c r="W1047" s="29"/>
      <c r="X1047" s="29"/>
      <c r="Y1047" s="29"/>
      <c r="Z1047" s="29"/>
      <c r="AA1047" s="29"/>
      <c r="AB1047" s="29"/>
      <c r="AC1047" s="29"/>
      <c r="AD1047" s="29"/>
      <c r="AE1047" s="29"/>
      <c r="AJ1047"/>
      <c r="AK1047"/>
      <c r="AL1047"/>
      <c r="AM1047"/>
      <c r="AN1047"/>
      <c r="AO1047"/>
      <c r="AP1047"/>
      <c r="AQ1047"/>
      <c r="AR1047"/>
      <c r="AS1047"/>
      <c r="AT1047" s="4" t="str">
        <f t="shared" si="117"/>
        <v>日常费用业务招待费</v>
      </c>
      <c r="AU1047" s="4" t="str">
        <f t="shared" si="113"/>
        <v>财富产品部</v>
      </c>
      <c r="AV1047" s="4" t="str">
        <f t="shared" si="114"/>
        <v>日常费用</v>
      </c>
      <c r="AW1047" s="4" t="str">
        <f>IFERROR(VLOOKUP(AV1047,[1]字段!A:B,2,0),"")</f>
        <v>日常费用</v>
      </c>
      <c r="AX1047" s="30" t="str">
        <f>IF(AW1047="人力费用",IF(E1047="","",VLOOKUP(E1047,[1]字段!D:E,2,0)),AW1047)</f>
        <v>日常费用</v>
      </c>
      <c r="AY1047" s="30" t="str">
        <f>IF(AT1047="","",VLOOKUP(AT1047,[1]字段!H:I,2,0))</f>
        <v>日常费用-其他</v>
      </c>
      <c r="AZ1047" s="31">
        <f t="shared" si="118"/>
        <v>0</v>
      </c>
      <c r="BA1047" s="31">
        <f t="shared" si="115"/>
        <v>0</v>
      </c>
      <c r="BB1047" s="31">
        <f t="shared" si="116"/>
        <v>0</v>
      </c>
      <c r="BC1047" s="31">
        <f t="shared" si="119"/>
        <v>0</v>
      </c>
    </row>
    <row r="1048" spans="1:55" ht="28.5" customHeight="1">
      <c r="A1048" s="32"/>
      <c r="B1048" s="32"/>
      <c r="C1048" s="32"/>
      <c r="D1048" s="40"/>
      <c r="E1048" s="39" t="s">
        <v>139</v>
      </c>
      <c r="F1048" s="39" t="s">
        <v>140</v>
      </c>
      <c r="G1048" s="29"/>
      <c r="H1048" s="29"/>
      <c r="I1048" s="29"/>
      <c r="J1048" s="29"/>
      <c r="K1048" s="29"/>
      <c r="L1048" s="29"/>
      <c r="M1048" s="29"/>
      <c r="N1048" s="29"/>
      <c r="O1048" s="29"/>
      <c r="P1048" s="29"/>
      <c r="Q1048" s="29"/>
      <c r="R1048" s="29"/>
      <c r="S1048" s="29"/>
      <c r="T1048" s="29"/>
      <c r="U1048" s="29"/>
      <c r="V1048" s="29"/>
      <c r="W1048" s="29"/>
      <c r="X1048" s="29"/>
      <c r="Y1048" s="29"/>
      <c r="Z1048" s="29"/>
      <c r="AA1048" s="29"/>
      <c r="AB1048" s="29"/>
      <c r="AC1048" s="29"/>
      <c r="AD1048" s="29"/>
      <c r="AE1048" s="29"/>
      <c r="AJ1048"/>
      <c r="AK1048"/>
      <c r="AL1048"/>
      <c r="AM1048"/>
      <c r="AN1048"/>
      <c r="AO1048"/>
      <c r="AP1048"/>
      <c r="AQ1048"/>
      <c r="AR1048"/>
      <c r="AS1048"/>
      <c r="AT1048" s="4" t="str">
        <f t="shared" si="117"/>
        <v>日常费用差旅费</v>
      </c>
      <c r="AU1048" s="4" t="str">
        <f t="shared" si="113"/>
        <v>财富产品部</v>
      </c>
      <c r="AV1048" s="4" t="str">
        <f t="shared" si="114"/>
        <v>日常费用</v>
      </c>
      <c r="AW1048" s="4" t="str">
        <f>IFERROR(VLOOKUP(AV1048,[1]字段!A:B,2,0),"")</f>
        <v>日常费用</v>
      </c>
      <c r="AX1048" s="30" t="str">
        <f>IF(AW1048="人力费用",IF(E1048="","",VLOOKUP(E1048,[1]字段!D:E,2,0)),AW1048)</f>
        <v>日常费用</v>
      </c>
      <c r="AY1048" s="30" t="str">
        <f>IF(AT1048="","",VLOOKUP(AT1048,[1]字段!H:I,2,0))</f>
        <v>日常费用-其他</v>
      </c>
      <c r="AZ1048" s="31">
        <f t="shared" si="118"/>
        <v>0</v>
      </c>
      <c r="BA1048" s="31">
        <f t="shared" si="115"/>
        <v>0</v>
      </c>
      <c r="BB1048" s="31">
        <f t="shared" si="116"/>
        <v>0</v>
      </c>
      <c r="BC1048" s="31">
        <f t="shared" si="119"/>
        <v>0</v>
      </c>
    </row>
    <row r="1049" spans="1:55" ht="28.5" customHeight="1">
      <c r="A1049" s="41"/>
      <c r="B1049" s="41"/>
      <c r="C1049" s="41"/>
      <c r="D1049" s="42"/>
      <c r="E1049" s="39" t="s">
        <v>104</v>
      </c>
      <c r="F1049" s="39" t="s">
        <v>105</v>
      </c>
      <c r="G1049" s="29"/>
      <c r="H1049" s="29"/>
      <c r="I1049" s="29"/>
      <c r="J1049" s="29"/>
      <c r="K1049" s="29"/>
      <c r="L1049" s="29"/>
      <c r="M1049" s="29"/>
      <c r="N1049" s="29"/>
      <c r="O1049" s="29"/>
      <c r="P1049" s="29"/>
      <c r="Q1049" s="29"/>
      <c r="R1049" s="29"/>
      <c r="S1049" s="29"/>
      <c r="T1049" s="29"/>
      <c r="U1049" s="29"/>
      <c r="V1049" s="29"/>
      <c r="W1049" s="29"/>
      <c r="X1049" s="29"/>
      <c r="Y1049" s="29"/>
      <c r="Z1049" s="29"/>
      <c r="AA1049" s="29"/>
      <c r="AB1049" s="29"/>
      <c r="AC1049" s="29"/>
      <c r="AD1049" s="29"/>
      <c r="AE1049" s="29"/>
      <c r="AJ1049"/>
      <c r="AK1049"/>
      <c r="AL1049"/>
      <c r="AM1049"/>
      <c r="AN1049"/>
      <c r="AO1049"/>
      <c r="AP1049"/>
      <c r="AQ1049"/>
      <c r="AR1049"/>
      <c r="AS1049"/>
      <c r="AT1049" s="4" t="str">
        <f t="shared" si="117"/>
        <v>日常费用会议费</v>
      </c>
      <c r="AU1049" s="4" t="str">
        <f t="shared" si="113"/>
        <v>财富产品部</v>
      </c>
      <c r="AV1049" s="4" t="str">
        <f t="shared" si="114"/>
        <v>日常费用</v>
      </c>
      <c r="AW1049" s="4" t="str">
        <f>IFERROR(VLOOKUP(AV1049,[1]字段!A:B,2,0),"")</f>
        <v>日常费用</v>
      </c>
      <c r="AX1049" s="30" t="str">
        <f>IF(AW1049="人力费用",IF(E1049="","",VLOOKUP(E1049,[1]字段!D:E,2,0)),AW1049)</f>
        <v>日常费用</v>
      </c>
      <c r="AY1049" s="30" t="str">
        <f>IF(AT1049="","",VLOOKUP(AT1049,[1]字段!H:I,2,0))</f>
        <v>日常费用-其他</v>
      </c>
      <c r="AZ1049" s="31">
        <f t="shared" si="118"/>
        <v>0</v>
      </c>
      <c r="BA1049" s="31">
        <f t="shared" si="115"/>
        <v>0</v>
      </c>
      <c r="BB1049" s="31">
        <f t="shared" si="116"/>
        <v>0</v>
      </c>
      <c r="BC1049" s="31">
        <f t="shared" si="119"/>
        <v>0</v>
      </c>
    </row>
    <row r="1050" spans="1:55" ht="28.5" customHeight="1">
      <c r="A1050" s="25"/>
      <c r="B1050" s="26" t="s">
        <v>208</v>
      </c>
      <c r="C1050" s="27"/>
      <c r="D1050" s="27"/>
      <c r="E1050" s="27"/>
      <c r="F1050" s="28"/>
      <c r="G1050" s="29"/>
      <c r="H1050" s="29"/>
      <c r="I1050" s="29"/>
      <c r="J1050" s="29"/>
      <c r="K1050" s="29"/>
      <c r="L1050" s="29"/>
      <c r="M1050" s="29"/>
      <c r="N1050" s="29"/>
      <c r="O1050" s="29"/>
      <c r="P1050" s="29"/>
      <c r="Q1050" s="29"/>
      <c r="R1050" s="29"/>
      <c r="S1050" s="29"/>
      <c r="T1050" s="29"/>
      <c r="U1050" s="29"/>
      <c r="V1050" s="29"/>
      <c r="W1050" s="29"/>
      <c r="X1050" s="29"/>
      <c r="Y1050" s="29"/>
      <c r="Z1050" s="29"/>
      <c r="AA1050" s="29"/>
      <c r="AB1050" s="29"/>
      <c r="AC1050" s="29"/>
      <c r="AD1050" s="29"/>
      <c r="AE1050" s="29"/>
      <c r="AJ1050"/>
      <c r="AK1050"/>
      <c r="AL1050"/>
      <c r="AM1050"/>
      <c r="AN1050"/>
      <c r="AO1050"/>
      <c r="AP1050"/>
      <c r="AQ1050"/>
      <c r="AR1050"/>
      <c r="AS1050"/>
      <c r="AT1050" s="4" t="str">
        <f t="shared" si="117"/>
        <v/>
      </c>
      <c r="AU1050" s="4" t="str">
        <f t="shared" si="113"/>
        <v>金融市场及同业部</v>
      </c>
      <c r="AV1050" s="4" t="str">
        <f t="shared" si="114"/>
        <v/>
      </c>
      <c r="AW1050" s="4" t="str">
        <f>IFERROR(VLOOKUP(AV1050,[1]字段!A:B,2,0),"")</f>
        <v/>
      </c>
      <c r="AX1050" s="30" t="str">
        <f>IF(AW1050="人力费用",IF(E1050="","",VLOOKUP(E1050,[1]字段!D:E,2,0)),AW1050)</f>
        <v/>
      </c>
      <c r="AY1050" s="30" t="str">
        <f>IF(AT1050="","",VLOOKUP(AT1050,[1]字段!H:I,2,0))</f>
        <v/>
      </c>
      <c r="AZ1050" s="31">
        <f t="shared" si="118"/>
        <v>0</v>
      </c>
      <c r="BA1050" s="31">
        <f t="shared" si="115"/>
        <v>0</v>
      </c>
      <c r="BB1050" s="31">
        <f t="shared" si="116"/>
        <v>0</v>
      </c>
      <c r="BC1050" s="31">
        <f t="shared" si="119"/>
        <v>0</v>
      </c>
    </row>
    <row r="1051" spans="1:55" ht="28.5" customHeight="1">
      <c r="A1051" s="32"/>
      <c r="B1051" s="32"/>
      <c r="C1051" s="33" t="s">
        <v>39</v>
      </c>
      <c r="D1051" s="34" t="s">
        <v>40</v>
      </c>
      <c r="E1051" s="35"/>
      <c r="F1051" s="36"/>
      <c r="G1051" s="29"/>
      <c r="H1051" s="29"/>
      <c r="I1051" s="29"/>
      <c r="J1051" s="29"/>
      <c r="K1051" s="29"/>
      <c r="L1051" s="29"/>
      <c r="M1051" s="29"/>
      <c r="N1051" s="29"/>
      <c r="O1051" s="29"/>
      <c r="P1051" s="29"/>
      <c r="Q1051" s="29"/>
      <c r="R1051" s="29"/>
      <c r="S1051" s="29"/>
      <c r="T1051" s="29"/>
      <c r="U1051" s="29"/>
      <c r="V1051" s="29"/>
      <c r="W1051" s="29"/>
      <c r="X1051" s="29"/>
      <c r="Y1051" s="29"/>
      <c r="Z1051" s="29"/>
      <c r="AA1051" s="29"/>
      <c r="AB1051" s="29"/>
      <c r="AC1051" s="29"/>
      <c r="AD1051" s="29"/>
      <c r="AE1051" s="29"/>
      <c r="AJ1051"/>
      <c r="AK1051"/>
      <c r="AL1051"/>
      <c r="AM1051"/>
      <c r="AN1051"/>
      <c r="AO1051"/>
      <c r="AP1051"/>
      <c r="AQ1051"/>
      <c r="AR1051"/>
      <c r="AS1051"/>
      <c r="AT1051" s="4" t="str">
        <f t="shared" si="117"/>
        <v/>
      </c>
      <c r="AU1051" s="4" t="str">
        <f t="shared" si="113"/>
        <v>金融市场及同业部</v>
      </c>
      <c r="AV1051" s="4" t="str">
        <f t="shared" si="114"/>
        <v>人力费用</v>
      </c>
      <c r="AW1051" s="4" t="str">
        <f>IFERROR(VLOOKUP(AV1051,[1]字段!A:B,2,0),"")</f>
        <v>人力费用</v>
      </c>
      <c r="AX1051" s="30" t="str">
        <f>IF(AW1051="人力费用",IF(E1051="","",VLOOKUP(E1051,[1]字段!D:E,2,0)),AW1051)</f>
        <v/>
      </c>
      <c r="AY1051" s="30" t="str">
        <f>IF(AT1051="","",VLOOKUP(AT1051,[1]字段!H:I,2,0))</f>
        <v/>
      </c>
      <c r="AZ1051" s="31">
        <f t="shared" si="118"/>
        <v>0</v>
      </c>
      <c r="BA1051" s="31">
        <f t="shared" si="115"/>
        <v>0</v>
      </c>
      <c r="BB1051" s="31">
        <f t="shared" si="116"/>
        <v>0</v>
      </c>
      <c r="BC1051" s="31">
        <f t="shared" si="119"/>
        <v>0</v>
      </c>
    </row>
    <row r="1052" spans="1:55" ht="28.5" customHeight="1">
      <c r="A1052" s="32"/>
      <c r="B1052" s="32"/>
      <c r="C1052" s="37"/>
      <c r="D1052" s="38"/>
      <c r="E1052" s="39" t="s">
        <v>41</v>
      </c>
      <c r="F1052" s="39" t="s">
        <v>42</v>
      </c>
      <c r="G1052" s="29"/>
      <c r="H1052" s="29"/>
      <c r="I1052" s="29"/>
      <c r="J1052" s="29"/>
      <c r="K1052" s="29"/>
      <c r="L1052" s="29"/>
      <c r="M1052" s="29"/>
      <c r="N1052" s="29"/>
      <c r="O1052" s="29"/>
      <c r="P1052" s="29"/>
      <c r="Q1052" s="29"/>
      <c r="R1052" s="29"/>
      <c r="S1052" s="29"/>
      <c r="T1052" s="29"/>
      <c r="U1052" s="29"/>
      <c r="V1052" s="29"/>
      <c r="W1052" s="29"/>
      <c r="X1052" s="29"/>
      <c r="Y1052" s="29"/>
      <c r="Z1052" s="29"/>
      <c r="AA1052" s="29"/>
      <c r="AB1052" s="29"/>
      <c r="AC1052" s="29"/>
      <c r="AD1052" s="29"/>
      <c r="AE1052" s="29"/>
      <c r="AJ1052"/>
      <c r="AK1052"/>
      <c r="AL1052"/>
      <c r="AM1052"/>
      <c r="AN1052"/>
      <c r="AO1052"/>
      <c r="AP1052"/>
      <c r="AQ1052"/>
      <c r="AR1052"/>
      <c r="AS1052"/>
      <c r="AT1052" s="4" t="str">
        <f t="shared" si="117"/>
        <v>1.0倍人力基础工资</v>
      </c>
      <c r="AU1052" s="4" t="str">
        <f t="shared" si="113"/>
        <v>金融市场及同业部</v>
      </c>
      <c r="AV1052" s="4" t="str">
        <f t="shared" si="114"/>
        <v>人力费用</v>
      </c>
      <c r="AW1052" s="4" t="str">
        <f>IFERROR(VLOOKUP(AV1052,[1]字段!A:B,2,0),"")</f>
        <v>人力费用</v>
      </c>
      <c r="AX1052" s="30" t="str">
        <f>IF(AW1052="人力费用",IF(E1052="","",VLOOKUP(E1052,[1]字段!D:E,2,0)),AW1052)</f>
        <v>1.0倍人力</v>
      </c>
      <c r="AY1052" s="30" t="str">
        <f>IF(AT1052="","",VLOOKUP(AT1052,[1]字段!H:I,2,0))</f>
        <v>1.0倍人力</v>
      </c>
      <c r="AZ1052" s="31">
        <f t="shared" si="118"/>
        <v>0</v>
      </c>
      <c r="BA1052" s="31">
        <f t="shared" si="115"/>
        <v>0</v>
      </c>
      <c r="BB1052" s="31">
        <f t="shared" si="116"/>
        <v>0</v>
      </c>
      <c r="BC1052" s="31">
        <f t="shared" si="119"/>
        <v>0</v>
      </c>
    </row>
    <row r="1053" spans="1:55" ht="28.5" customHeight="1">
      <c r="A1053" s="32"/>
      <c r="B1053" s="32"/>
      <c r="C1053" s="32"/>
      <c r="D1053" s="40"/>
      <c r="E1053" s="39">
        <v>5501010602</v>
      </c>
      <c r="F1053" s="39"/>
      <c r="G1053" s="29"/>
      <c r="H1053" s="29"/>
      <c r="I1053" s="29"/>
      <c r="J1053" s="29"/>
      <c r="K1053" s="29"/>
      <c r="L1053" s="29"/>
      <c r="M1053" s="29"/>
      <c r="N1053" s="29"/>
      <c r="O1053" s="29"/>
      <c r="P1053" s="29"/>
      <c r="Q1053" s="29"/>
      <c r="R1053" s="29"/>
      <c r="S1053" s="29"/>
      <c r="T1053" s="29"/>
      <c r="U1053" s="29"/>
      <c r="V1053" s="29"/>
      <c r="W1053" s="29"/>
      <c r="X1053" s="29"/>
      <c r="Y1053" s="29"/>
      <c r="Z1053" s="29"/>
      <c r="AA1053" s="29"/>
      <c r="AB1053" s="29"/>
      <c r="AC1053" s="29"/>
      <c r="AD1053" s="29"/>
      <c r="AE1053" s="29"/>
      <c r="AJ1053"/>
      <c r="AK1053"/>
      <c r="AL1053"/>
      <c r="AM1053"/>
      <c r="AN1053"/>
      <c r="AO1053"/>
      <c r="AP1053"/>
      <c r="AQ1053"/>
      <c r="AR1053"/>
      <c r="AS1053"/>
      <c r="AT1053" s="4" t="str">
        <f t="shared" si="117"/>
        <v>利润分享</v>
      </c>
      <c r="AU1053" s="4" t="str">
        <f t="shared" si="113"/>
        <v>金融市场及同业部</v>
      </c>
      <c r="AV1053" s="4" t="str">
        <f t="shared" si="114"/>
        <v>人力费用</v>
      </c>
      <c r="AW1053" s="4" t="str">
        <f>IFERROR(VLOOKUP(AV1053,[1]字段!A:B,2,0),"")</f>
        <v>人力费用</v>
      </c>
      <c r="AX1053" s="30" t="str">
        <f>IF(AW1053="人力费用",IF(E1053="","",VLOOKUP(E1053,[1]字段!D:E,2,0)),AW1053)</f>
        <v>利润分享</v>
      </c>
      <c r="AY1053" s="30" t="str">
        <f>IF(AT1053="","",VLOOKUP(AT1053,[1]字段!H:I,2,0))</f>
        <v>利润分享</v>
      </c>
      <c r="AZ1053" s="31">
        <f t="shared" si="118"/>
        <v>0</v>
      </c>
      <c r="BA1053" s="31">
        <f t="shared" si="115"/>
        <v>0</v>
      </c>
      <c r="BB1053" s="31">
        <f t="shared" si="116"/>
        <v>0</v>
      </c>
      <c r="BC1053" s="31">
        <f t="shared" si="119"/>
        <v>0</v>
      </c>
    </row>
    <row r="1054" spans="1:55" ht="28.5" customHeight="1">
      <c r="A1054" s="32"/>
      <c r="B1054" s="32"/>
      <c r="C1054" s="32"/>
      <c r="D1054" s="40"/>
      <c r="E1054" s="39">
        <v>5501010603</v>
      </c>
      <c r="F1054" s="39"/>
      <c r="G1054" s="29"/>
      <c r="H1054" s="29"/>
      <c r="I1054" s="29"/>
      <c r="J1054" s="29"/>
      <c r="K1054" s="29"/>
      <c r="L1054" s="29"/>
      <c r="M1054" s="29"/>
      <c r="N1054" s="29"/>
      <c r="O1054" s="29"/>
      <c r="P1054" s="29"/>
      <c r="Q1054" s="29"/>
      <c r="R1054" s="29"/>
      <c r="S1054" s="29"/>
      <c r="T1054" s="29"/>
      <c r="U1054" s="29"/>
      <c r="V1054" s="29"/>
      <c r="W1054" s="29"/>
      <c r="X1054" s="29"/>
      <c r="Y1054" s="29"/>
      <c r="Z1054" s="29"/>
      <c r="AA1054" s="29"/>
      <c r="AB1054" s="29"/>
      <c r="AC1054" s="29"/>
      <c r="AD1054" s="29"/>
      <c r="AE1054" s="29"/>
      <c r="AJ1054"/>
      <c r="AK1054"/>
      <c r="AL1054"/>
      <c r="AM1054"/>
      <c r="AN1054"/>
      <c r="AO1054"/>
      <c r="AP1054"/>
      <c r="AQ1054"/>
      <c r="AR1054"/>
      <c r="AS1054"/>
      <c r="AT1054" s="4" t="str">
        <f t="shared" si="117"/>
        <v>留任奖励</v>
      </c>
      <c r="AU1054" s="4" t="str">
        <f t="shared" si="113"/>
        <v>金融市场及同业部</v>
      </c>
      <c r="AV1054" s="4" t="str">
        <f t="shared" si="114"/>
        <v>人力费用</v>
      </c>
      <c r="AW1054" s="4" t="str">
        <f>IFERROR(VLOOKUP(AV1054,[1]字段!A:B,2,0),"")</f>
        <v>人力费用</v>
      </c>
      <c r="AX1054" s="30" t="str">
        <f>IF(AW1054="人力费用",IF(E1054="","",VLOOKUP(E1054,[1]字段!D:E,2,0)),AW1054)</f>
        <v>留任奖励</v>
      </c>
      <c r="AY1054" s="30" t="str">
        <f>IF(AT1054="","",VLOOKUP(AT1054,[1]字段!H:I,2,0))</f>
        <v>留任奖励</v>
      </c>
      <c r="AZ1054" s="31">
        <f t="shared" si="118"/>
        <v>0</v>
      </c>
      <c r="BA1054" s="31">
        <f t="shared" si="115"/>
        <v>0</v>
      </c>
      <c r="BB1054" s="31">
        <f t="shared" si="116"/>
        <v>0</v>
      </c>
      <c r="BC1054" s="31">
        <f t="shared" si="119"/>
        <v>0</v>
      </c>
    </row>
    <row r="1055" spans="1:55" ht="28.5" customHeight="1">
      <c r="A1055" s="32"/>
      <c r="B1055" s="32"/>
      <c r="C1055" s="32"/>
      <c r="D1055" s="40"/>
      <c r="E1055" s="39">
        <v>5501010604</v>
      </c>
      <c r="F1055" s="39"/>
      <c r="G1055" s="29"/>
      <c r="H1055" s="29"/>
      <c r="I1055" s="29"/>
      <c r="J1055" s="29"/>
      <c r="K1055" s="29"/>
      <c r="L1055" s="29"/>
      <c r="M1055" s="29"/>
      <c r="N1055" s="29"/>
      <c r="O1055" s="29"/>
      <c r="P1055" s="29"/>
      <c r="Q1055" s="29"/>
      <c r="R1055" s="29"/>
      <c r="S1055" s="29"/>
      <c r="T1055" s="29"/>
      <c r="U1055" s="29"/>
      <c r="V1055" s="29"/>
      <c r="W1055" s="29"/>
      <c r="X1055" s="29"/>
      <c r="Y1055" s="29"/>
      <c r="Z1055" s="29"/>
      <c r="AA1055" s="29"/>
      <c r="AB1055" s="29"/>
      <c r="AC1055" s="29"/>
      <c r="AD1055" s="29"/>
      <c r="AE1055" s="29"/>
      <c r="AJ1055"/>
      <c r="AK1055"/>
      <c r="AL1055"/>
      <c r="AM1055"/>
      <c r="AN1055"/>
      <c r="AO1055"/>
      <c r="AP1055"/>
      <c r="AQ1055"/>
      <c r="AR1055"/>
      <c r="AS1055"/>
      <c r="AT1055" s="4" t="str">
        <f t="shared" si="117"/>
        <v>1.0倍人力</v>
      </c>
      <c r="AU1055" s="4" t="str">
        <f t="shared" si="113"/>
        <v>金融市场及同业部</v>
      </c>
      <c r="AV1055" s="4" t="str">
        <f t="shared" si="114"/>
        <v>人力费用</v>
      </c>
      <c r="AW1055" s="4" t="str">
        <f>IFERROR(VLOOKUP(AV1055,[1]字段!A:B,2,0),"")</f>
        <v>人力费用</v>
      </c>
      <c r="AX1055" s="30" t="str">
        <f>IF(AW1055="人力费用",IF(E1055="","",VLOOKUP(E1055,[1]字段!D:E,2,0)),AW1055)</f>
        <v>1.0倍人力</v>
      </c>
      <c r="AY1055" s="30" t="str">
        <f>IF(AT1055="","",VLOOKUP(AT1055,[1]字段!H:I,2,0))</f>
        <v>1.0倍人力</v>
      </c>
      <c r="AZ1055" s="31">
        <f t="shared" si="118"/>
        <v>0</v>
      </c>
      <c r="BA1055" s="31">
        <f t="shared" si="115"/>
        <v>0</v>
      </c>
      <c r="BB1055" s="31">
        <f t="shared" si="116"/>
        <v>0</v>
      </c>
      <c r="BC1055" s="31">
        <f t="shared" si="119"/>
        <v>0</v>
      </c>
    </row>
    <row r="1056" spans="1:55" ht="28.5" customHeight="1">
      <c r="A1056" s="32"/>
      <c r="B1056" s="32"/>
      <c r="C1056" s="32"/>
      <c r="D1056" s="40"/>
      <c r="E1056" s="39" t="s">
        <v>43</v>
      </c>
      <c r="F1056" s="39" t="s">
        <v>44</v>
      </c>
      <c r="G1056" s="29"/>
      <c r="H1056" s="29"/>
      <c r="I1056" s="29"/>
      <c r="J1056" s="29"/>
      <c r="K1056" s="29"/>
      <c r="L1056" s="29"/>
      <c r="M1056" s="29"/>
      <c r="N1056" s="29"/>
      <c r="O1056" s="29"/>
      <c r="P1056" s="29"/>
      <c r="Q1056" s="29"/>
      <c r="R1056" s="29"/>
      <c r="S1056" s="29"/>
      <c r="T1056" s="29"/>
      <c r="U1056" s="29"/>
      <c r="V1056" s="29"/>
      <c r="W1056" s="29"/>
      <c r="X1056" s="29"/>
      <c r="Y1056" s="29"/>
      <c r="Z1056" s="29"/>
      <c r="AA1056" s="29"/>
      <c r="AB1056" s="29"/>
      <c r="AC1056" s="29"/>
      <c r="AD1056" s="29"/>
      <c r="AE1056" s="29"/>
      <c r="AJ1056"/>
      <c r="AK1056"/>
      <c r="AL1056"/>
      <c r="AM1056"/>
      <c r="AN1056"/>
      <c r="AO1056"/>
      <c r="AP1056"/>
      <c r="AQ1056"/>
      <c r="AR1056"/>
      <c r="AS1056"/>
      <c r="AT1056" s="4" t="str">
        <f t="shared" si="117"/>
        <v>1.0倍人力团队建设费</v>
      </c>
      <c r="AU1056" s="4" t="str">
        <f t="shared" si="113"/>
        <v>金融市场及同业部</v>
      </c>
      <c r="AV1056" s="4" t="str">
        <f t="shared" si="114"/>
        <v>人力费用</v>
      </c>
      <c r="AW1056" s="4" t="str">
        <f>IFERROR(VLOOKUP(AV1056,[1]字段!A:B,2,0),"")</f>
        <v>人力费用</v>
      </c>
      <c r="AX1056" s="30" t="str">
        <f>IF(AW1056="人力费用",IF(E1056="","",VLOOKUP(E1056,[1]字段!D:E,2,0)),AW1056)</f>
        <v>1.0倍人力</v>
      </c>
      <c r="AY1056" s="30" t="str">
        <f>IF(AT1056="","",VLOOKUP(AT1056,[1]字段!H:I,2,0))</f>
        <v>1.0倍人力</v>
      </c>
      <c r="AZ1056" s="31">
        <f t="shared" si="118"/>
        <v>0</v>
      </c>
      <c r="BA1056" s="31">
        <f t="shared" si="115"/>
        <v>0</v>
      </c>
      <c r="BB1056" s="31">
        <f t="shared" si="116"/>
        <v>0</v>
      </c>
      <c r="BC1056" s="31">
        <f t="shared" si="119"/>
        <v>0</v>
      </c>
    </row>
    <row r="1057" spans="1:55" ht="28.5" customHeight="1">
      <c r="A1057" s="32"/>
      <c r="B1057" s="32"/>
      <c r="C1057" s="32"/>
      <c r="D1057" s="40"/>
      <c r="E1057" s="39" t="s">
        <v>45</v>
      </c>
      <c r="F1057" s="39" t="s">
        <v>46</v>
      </c>
      <c r="G1057" s="29"/>
      <c r="H1057" s="29"/>
      <c r="I1057" s="29"/>
      <c r="J1057" s="29"/>
      <c r="K1057" s="29"/>
      <c r="L1057" s="29"/>
      <c r="M1057" s="29"/>
      <c r="N1057" s="29"/>
      <c r="O1057" s="29"/>
      <c r="P1057" s="29"/>
      <c r="Q1057" s="29"/>
      <c r="R1057" s="29"/>
      <c r="S1057" s="29"/>
      <c r="T1057" s="29"/>
      <c r="U1057" s="29"/>
      <c r="V1057" s="29"/>
      <c r="W1057" s="29"/>
      <c r="X1057" s="29"/>
      <c r="Y1057" s="29"/>
      <c r="Z1057" s="29"/>
      <c r="AA1057" s="29"/>
      <c r="AB1057" s="29"/>
      <c r="AC1057" s="29"/>
      <c r="AD1057" s="29"/>
      <c r="AE1057" s="29"/>
      <c r="AJ1057"/>
      <c r="AK1057"/>
      <c r="AL1057"/>
      <c r="AM1057"/>
      <c r="AN1057"/>
      <c r="AO1057"/>
      <c r="AP1057"/>
      <c r="AQ1057"/>
      <c r="AR1057"/>
      <c r="AS1057"/>
      <c r="AT1057" s="4" t="str">
        <f t="shared" si="117"/>
        <v>1.0倍人力其他职工福利费</v>
      </c>
      <c r="AU1057" s="4" t="str">
        <f t="shared" si="113"/>
        <v>金融市场及同业部</v>
      </c>
      <c r="AV1057" s="4" t="str">
        <f t="shared" si="114"/>
        <v>人力费用</v>
      </c>
      <c r="AW1057" s="4" t="str">
        <f>IFERROR(VLOOKUP(AV1057,[1]字段!A:B,2,0),"")</f>
        <v>人力费用</v>
      </c>
      <c r="AX1057" s="30" t="str">
        <f>IF(AW1057="人力费用",IF(E1057="","",VLOOKUP(E1057,[1]字段!D:E,2,0)),AW1057)</f>
        <v>1.0倍人力</v>
      </c>
      <c r="AY1057" s="30" t="str">
        <f>IF(AT1057="","",VLOOKUP(AT1057,[1]字段!H:I,2,0))</f>
        <v>1.0倍人力</v>
      </c>
      <c r="AZ1057" s="31">
        <f t="shared" si="118"/>
        <v>0</v>
      </c>
      <c r="BA1057" s="31">
        <f t="shared" si="115"/>
        <v>0</v>
      </c>
      <c r="BB1057" s="31">
        <f t="shared" si="116"/>
        <v>0</v>
      </c>
      <c r="BC1057" s="31">
        <f t="shared" si="119"/>
        <v>0</v>
      </c>
    </row>
    <row r="1058" spans="1:55" ht="28.5" customHeight="1">
      <c r="A1058" s="32"/>
      <c r="B1058" s="32"/>
      <c r="C1058" s="32"/>
      <c r="D1058" s="40"/>
      <c r="E1058" s="39" t="s">
        <v>47</v>
      </c>
      <c r="F1058" s="39" t="s">
        <v>48</v>
      </c>
      <c r="G1058" s="29"/>
      <c r="H1058" s="29"/>
      <c r="I1058" s="29"/>
      <c r="J1058" s="29"/>
      <c r="K1058" s="29"/>
      <c r="L1058" s="29"/>
      <c r="M1058" s="29"/>
      <c r="N1058" s="29"/>
      <c r="O1058" s="29"/>
      <c r="P1058" s="29"/>
      <c r="Q1058" s="29"/>
      <c r="R1058" s="29"/>
      <c r="S1058" s="29"/>
      <c r="T1058" s="29"/>
      <c r="U1058" s="29"/>
      <c r="V1058" s="29"/>
      <c r="W1058" s="29"/>
      <c r="X1058" s="29"/>
      <c r="Y1058" s="29"/>
      <c r="Z1058" s="29"/>
      <c r="AA1058" s="29"/>
      <c r="AB1058" s="29"/>
      <c r="AC1058" s="29"/>
      <c r="AD1058" s="29"/>
      <c r="AE1058" s="29"/>
      <c r="AJ1058"/>
      <c r="AK1058"/>
      <c r="AL1058"/>
      <c r="AM1058"/>
      <c r="AN1058"/>
      <c r="AO1058"/>
      <c r="AP1058"/>
      <c r="AQ1058"/>
      <c r="AR1058"/>
      <c r="AS1058"/>
      <c r="AT1058" s="4" t="str">
        <f t="shared" si="117"/>
        <v>1.0倍人力工会经费</v>
      </c>
      <c r="AU1058" s="4" t="str">
        <f t="shared" si="113"/>
        <v>金融市场及同业部</v>
      </c>
      <c r="AV1058" s="4" t="str">
        <f t="shared" si="114"/>
        <v>人力费用</v>
      </c>
      <c r="AW1058" s="4" t="str">
        <f>IFERROR(VLOOKUP(AV1058,[1]字段!A:B,2,0),"")</f>
        <v>人力费用</v>
      </c>
      <c r="AX1058" s="30" t="str">
        <f>IF(AW1058="人力费用",IF(E1058="","",VLOOKUP(E1058,[1]字段!D:E,2,0)),AW1058)</f>
        <v>1.0倍人力</v>
      </c>
      <c r="AY1058" s="30" t="str">
        <f>IF(AT1058="","",VLOOKUP(AT1058,[1]字段!H:I,2,0))</f>
        <v>1.0倍人力</v>
      </c>
      <c r="AZ1058" s="31">
        <f t="shared" si="118"/>
        <v>0</v>
      </c>
      <c r="BA1058" s="31">
        <f t="shared" si="115"/>
        <v>0</v>
      </c>
      <c r="BB1058" s="31">
        <f t="shared" si="116"/>
        <v>0</v>
      </c>
      <c r="BC1058" s="31">
        <f t="shared" si="119"/>
        <v>0</v>
      </c>
    </row>
    <row r="1059" spans="1:55" ht="28.5" customHeight="1">
      <c r="A1059" s="32"/>
      <c r="B1059" s="32"/>
      <c r="C1059" s="32"/>
      <c r="D1059" s="40"/>
      <c r="E1059" s="39" t="s">
        <v>49</v>
      </c>
      <c r="F1059" s="39" t="s">
        <v>50</v>
      </c>
      <c r="G1059" s="29"/>
      <c r="H1059" s="29"/>
      <c r="I1059" s="29"/>
      <c r="J1059" s="29"/>
      <c r="K1059" s="29"/>
      <c r="L1059" s="29"/>
      <c r="M1059" s="29"/>
      <c r="N1059" s="29"/>
      <c r="O1059" s="29"/>
      <c r="P1059" s="29"/>
      <c r="Q1059" s="29"/>
      <c r="R1059" s="29"/>
      <c r="S1059" s="29"/>
      <c r="T1059" s="29"/>
      <c r="U1059" s="29"/>
      <c r="V1059" s="29"/>
      <c r="W1059" s="29"/>
      <c r="X1059" s="29"/>
      <c r="Y1059" s="29"/>
      <c r="Z1059" s="29"/>
      <c r="AA1059" s="29"/>
      <c r="AB1059" s="29"/>
      <c r="AC1059" s="29"/>
      <c r="AD1059" s="29"/>
      <c r="AE1059" s="29"/>
      <c r="AJ1059"/>
      <c r="AK1059"/>
      <c r="AL1059"/>
      <c r="AM1059"/>
      <c r="AN1059"/>
      <c r="AO1059"/>
      <c r="AP1059"/>
      <c r="AQ1059"/>
      <c r="AR1059"/>
      <c r="AS1059"/>
      <c r="AT1059" s="4" t="str">
        <f t="shared" si="117"/>
        <v>1.0倍人力基本养老保险</v>
      </c>
      <c r="AU1059" s="4" t="str">
        <f t="shared" si="113"/>
        <v>金融市场及同业部</v>
      </c>
      <c r="AV1059" s="4" t="str">
        <f t="shared" si="114"/>
        <v>人力费用</v>
      </c>
      <c r="AW1059" s="4" t="str">
        <f>IFERROR(VLOOKUP(AV1059,[1]字段!A:B,2,0),"")</f>
        <v>人力费用</v>
      </c>
      <c r="AX1059" s="30" t="str">
        <f>IF(AW1059="人力费用",IF(E1059="","",VLOOKUP(E1059,[1]字段!D:E,2,0)),AW1059)</f>
        <v>1.0倍人力</v>
      </c>
      <c r="AY1059" s="30" t="str">
        <f>IF(AT1059="","",VLOOKUP(AT1059,[1]字段!H:I,2,0))</f>
        <v>1.0倍人力</v>
      </c>
      <c r="AZ1059" s="31">
        <f t="shared" si="118"/>
        <v>0</v>
      </c>
      <c r="BA1059" s="31">
        <f t="shared" si="115"/>
        <v>0</v>
      </c>
      <c r="BB1059" s="31">
        <f t="shared" si="116"/>
        <v>0</v>
      </c>
      <c r="BC1059" s="31">
        <f t="shared" si="119"/>
        <v>0</v>
      </c>
    </row>
    <row r="1060" spans="1:55" ht="28.5" customHeight="1">
      <c r="A1060" s="32"/>
      <c r="B1060" s="32"/>
      <c r="C1060" s="32"/>
      <c r="D1060" s="40"/>
      <c r="E1060" s="39" t="s">
        <v>51</v>
      </c>
      <c r="F1060" s="39" t="s">
        <v>52</v>
      </c>
      <c r="G1060" s="29"/>
      <c r="H1060" s="29"/>
      <c r="I1060" s="29"/>
      <c r="J1060" s="29"/>
      <c r="K1060" s="29"/>
      <c r="L1060" s="29"/>
      <c r="M1060" s="29"/>
      <c r="N1060" s="29"/>
      <c r="O1060" s="29"/>
      <c r="P1060" s="29"/>
      <c r="Q1060" s="29"/>
      <c r="R1060" s="29"/>
      <c r="S1060" s="29"/>
      <c r="T1060" s="29"/>
      <c r="U1060" s="29"/>
      <c r="V1060" s="29"/>
      <c r="W1060" s="29"/>
      <c r="X1060" s="29"/>
      <c r="Y1060" s="29"/>
      <c r="Z1060" s="29"/>
      <c r="AA1060" s="29"/>
      <c r="AB1060" s="29"/>
      <c r="AC1060" s="29"/>
      <c r="AD1060" s="29"/>
      <c r="AE1060" s="29"/>
      <c r="AJ1060"/>
      <c r="AK1060"/>
      <c r="AL1060"/>
      <c r="AM1060"/>
      <c r="AN1060"/>
      <c r="AO1060"/>
      <c r="AP1060"/>
      <c r="AQ1060"/>
      <c r="AR1060"/>
      <c r="AS1060"/>
      <c r="AT1060" s="4" t="str">
        <f t="shared" si="117"/>
        <v>1.0倍人力基本医疗保险</v>
      </c>
      <c r="AU1060" s="4" t="str">
        <f t="shared" si="113"/>
        <v>金融市场及同业部</v>
      </c>
      <c r="AV1060" s="4" t="str">
        <f t="shared" si="114"/>
        <v>人力费用</v>
      </c>
      <c r="AW1060" s="4" t="str">
        <f>IFERROR(VLOOKUP(AV1060,[1]字段!A:B,2,0),"")</f>
        <v>人力费用</v>
      </c>
      <c r="AX1060" s="30" t="str">
        <f>IF(AW1060="人力费用",IF(E1060="","",VLOOKUP(E1060,[1]字段!D:E,2,0)),AW1060)</f>
        <v>1.0倍人力</v>
      </c>
      <c r="AY1060" s="30" t="str">
        <f>IF(AT1060="","",VLOOKUP(AT1060,[1]字段!H:I,2,0))</f>
        <v>1.0倍人力</v>
      </c>
      <c r="AZ1060" s="31">
        <f t="shared" si="118"/>
        <v>0</v>
      </c>
      <c r="BA1060" s="31">
        <f t="shared" si="115"/>
        <v>0</v>
      </c>
      <c r="BB1060" s="31">
        <f t="shared" si="116"/>
        <v>0</v>
      </c>
      <c r="BC1060" s="31">
        <f t="shared" si="119"/>
        <v>0</v>
      </c>
    </row>
    <row r="1061" spans="1:55" ht="28.5" customHeight="1">
      <c r="A1061" s="32"/>
      <c r="B1061" s="32"/>
      <c r="C1061" s="32"/>
      <c r="D1061" s="40"/>
      <c r="E1061" s="39" t="s">
        <v>53</v>
      </c>
      <c r="F1061" s="39" t="s">
        <v>54</v>
      </c>
      <c r="G1061" s="29"/>
      <c r="H1061" s="29"/>
      <c r="I1061" s="29"/>
      <c r="J1061" s="29"/>
      <c r="K1061" s="29"/>
      <c r="L1061" s="29"/>
      <c r="M1061" s="29"/>
      <c r="N1061" s="29"/>
      <c r="O1061" s="29"/>
      <c r="P1061" s="29"/>
      <c r="Q1061" s="29"/>
      <c r="R1061" s="29"/>
      <c r="S1061" s="29"/>
      <c r="T1061" s="29"/>
      <c r="U1061" s="29"/>
      <c r="V1061" s="29"/>
      <c r="W1061" s="29"/>
      <c r="X1061" s="29"/>
      <c r="Y1061" s="29"/>
      <c r="Z1061" s="29"/>
      <c r="AA1061" s="29"/>
      <c r="AB1061" s="29"/>
      <c r="AC1061" s="29"/>
      <c r="AD1061" s="29"/>
      <c r="AE1061" s="29"/>
      <c r="AJ1061"/>
      <c r="AK1061"/>
      <c r="AL1061"/>
      <c r="AM1061"/>
      <c r="AN1061"/>
      <c r="AO1061"/>
      <c r="AP1061"/>
      <c r="AQ1061"/>
      <c r="AR1061"/>
      <c r="AS1061"/>
      <c r="AT1061" s="4" t="str">
        <f t="shared" si="117"/>
        <v>1.0倍人力工伤保险</v>
      </c>
      <c r="AU1061" s="4" t="str">
        <f t="shared" si="113"/>
        <v>金融市场及同业部</v>
      </c>
      <c r="AV1061" s="4" t="str">
        <f t="shared" si="114"/>
        <v>人力费用</v>
      </c>
      <c r="AW1061" s="4" t="str">
        <f>IFERROR(VLOOKUP(AV1061,[1]字段!A:B,2,0),"")</f>
        <v>人力费用</v>
      </c>
      <c r="AX1061" s="30" t="str">
        <f>IF(AW1061="人力费用",IF(E1061="","",VLOOKUP(E1061,[1]字段!D:E,2,0)),AW1061)</f>
        <v>1.0倍人力</v>
      </c>
      <c r="AY1061" s="30" t="str">
        <f>IF(AT1061="","",VLOOKUP(AT1061,[1]字段!H:I,2,0))</f>
        <v>1.0倍人力</v>
      </c>
      <c r="AZ1061" s="31">
        <f t="shared" si="118"/>
        <v>0</v>
      </c>
      <c r="BA1061" s="31">
        <f t="shared" si="115"/>
        <v>0</v>
      </c>
      <c r="BB1061" s="31">
        <f t="shared" si="116"/>
        <v>0</v>
      </c>
      <c r="BC1061" s="31">
        <f t="shared" si="119"/>
        <v>0</v>
      </c>
    </row>
    <row r="1062" spans="1:55" ht="28.5" customHeight="1">
      <c r="A1062" s="32"/>
      <c r="B1062" s="32"/>
      <c r="C1062" s="32"/>
      <c r="D1062" s="40"/>
      <c r="E1062" s="39" t="s">
        <v>55</v>
      </c>
      <c r="F1062" s="39" t="s">
        <v>56</v>
      </c>
      <c r="G1062" s="29"/>
      <c r="H1062" s="29"/>
      <c r="I1062" s="29"/>
      <c r="J1062" s="29"/>
      <c r="K1062" s="29"/>
      <c r="L1062" s="29"/>
      <c r="M1062" s="29"/>
      <c r="N1062" s="29"/>
      <c r="O1062" s="29"/>
      <c r="P1062" s="29"/>
      <c r="Q1062" s="29"/>
      <c r="R1062" s="29"/>
      <c r="S1062" s="29"/>
      <c r="T1062" s="29"/>
      <c r="U1062" s="29"/>
      <c r="V1062" s="29"/>
      <c r="W1062" s="29"/>
      <c r="X1062" s="29"/>
      <c r="Y1062" s="29"/>
      <c r="Z1062" s="29"/>
      <c r="AA1062" s="29"/>
      <c r="AB1062" s="29"/>
      <c r="AC1062" s="29"/>
      <c r="AD1062" s="29"/>
      <c r="AE1062" s="29"/>
      <c r="AJ1062"/>
      <c r="AK1062"/>
      <c r="AL1062"/>
      <c r="AM1062"/>
      <c r="AN1062"/>
      <c r="AO1062"/>
      <c r="AP1062"/>
      <c r="AQ1062"/>
      <c r="AR1062"/>
      <c r="AS1062"/>
      <c r="AT1062" s="4" t="str">
        <f t="shared" si="117"/>
        <v>1.0倍人力生育保险</v>
      </c>
      <c r="AU1062" s="4" t="str">
        <f t="shared" si="113"/>
        <v>金融市场及同业部</v>
      </c>
      <c r="AV1062" s="4" t="str">
        <f t="shared" si="114"/>
        <v>人力费用</v>
      </c>
      <c r="AW1062" s="4" t="str">
        <f>IFERROR(VLOOKUP(AV1062,[1]字段!A:B,2,0),"")</f>
        <v>人力费用</v>
      </c>
      <c r="AX1062" s="30" t="str">
        <f>IF(AW1062="人力费用",IF(E1062="","",VLOOKUP(E1062,[1]字段!D:E,2,0)),AW1062)</f>
        <v>1.0倍人力</v>
      </c>
      <c r="AY1062" s="30" t="str">
        <f>IF(AT1062="","",VLOOKUP(AT1062,[1]字段!H:I,2,0))</f>
        <v>1.0倍人力</v>
      </c>
      <c r="AZ1062" s="31">
        <f t="shared" si="118"/>
        <v>0</v>
      </c>
      <c r="BA1062" s="31">
        <f t="shared" si="115"/>
        <v>0</v>
      </c>
      <c r="BB1062" s="31">
        <f t="shared" si="116"/>
        <v>0</v>
      </c>
      <c r="BC1062" s="31">
        <f t="shared" si="119"/>
        <v>0</v>
      </c>
    </row>
    <row r="1063" spans="1:55" ht="28.5" customHeight="1">
      <c r="A1063" s="32"/>
      <c r="B1063" s="32"/>
      <c r="C1063" s="32"/>
      <c r="D1063" s="40"/>
      <c r="E1063" s="39" t="s">
        <v>57</v>
      </c>
      <c r="F1063" s="39" t="s">
        <v>58</v>
      </c>
      <c r="G1063" s="29"/>
      <c r="H1063" s="29"/>
      <c r="I1063" s="29"/>
      <c r="J1063" s="29"/>
      <c r="K1063" s="29"/>
      <c r="L1063" s="29"/>
      <c r="M1063" s="29"/>
      <c r="N1063" s="29"/>
      <c r="O1063" s="29"/>
      <c r="P1063" s="29"/>
      <c r="Q1063" s="29"/>
      <c r="R1063" s="29"/>
      <c r="S1063" s="29"/>
      <c r="T1063" s="29"/>
      <c r="U1063" s="29"/>
      <c r="V1063" s="29"/>
      <c r="W1063" s="29"/>
      <c r="X1063" s="29"/>
      <c r="Y1063" s="29"/>
      <c r="Z1063" s="29"/>
      <c r="AA1063" s="29"/>
      <c r="AB1063" s="29"/>
      <c r="AC1063" s="29"/>
      <c r="AD1063" s="29"/>
      <c r="AE1063" s="29"/>
      <c r="AJ1063"/>
      <c r="AK1063"/>
      <c r="AL1063"/>
      <c r="AM1063"/>
      <c r="AN1063"/>
      <c r="AO1063"/>
      <c r="AP1063"/>
      <c r="AQ1063"/>
      <c r="AR1063"/>
      <c r="AS1063"/>
      <c r="AT1063" s="4" t="str">
        <f t="shared" si="117"/>
        <v>1.0倍人力失业保险</v>
      </c>
      <c r="AU1063" s="4" t="str">
        <f t="shared" si="113"/>
        <v>金融市场及同业部</v>
      </c>
      <c r="AV1063" s="4" t="str">
        <f t="shared" si="114"/>
        <v>人力费用</v>
      </c>
      <c r="AW1063" s="4" t="str">
        <f>IFERROR(VLOOKUP(AV1063,[1]字段!A:B,2,0),"")</f>
        <v>人力费用</v>
      </c>
      <c r="AX1063" s="30" t="str">
        <f>IF(AW1063="人力费用",IF(E1063="","",VLOOKUP(E1063,[1]字段!D:E,2,0)),AW1063)</f>
        <v>1.0倍人力</v>
      </c>
      <c r="AY1063" s="30" t="str">
        <f>IF(AT1063="","",VLOOKUP(AT1063,[1]字段!H:I,2,0))</f>
        <v>1.0倍人力</v>
      </c>
      <c r="AZ1063" s="31">
        <f t="shared" si="118"/>
        <v>0</v>
      </c>
      <c r="BA1063" s="31">
        <f t="shared" si="115"/>
        <v>0</v>
      </c>
      <c r="BB1063" s="31">
        <f t="shared" si="116"/>
        <v>0</v>
      </c>
      <c r="BC1063" s="31">
        <f t="shared" si="119"/>
        <v>0</v>
      </c>
    </row>
    <row r="1064" spans="1:55" ht="28.5" customHeight="1">
      <c r="A1064" s="32"/>
      <c r="B1064" s="32"/>
      <c r="C1064" s="41"/>
      <c r="D1064" s="42"/>
      <c r="E1064" s="39" t="s">
        <v>59</v>
      </c>
      <c r="F1064" s="39" t="s">
        <v>60</v>
      </c>
      <c r="G1064" s="29"/>
      <c r="H1064" s="29"/>
      <c r="I1064" s="29"/>
      <c r="J1064" s="29"/>
      <c r="K1064" s="29"/>
      <c r="L1064" s="29"/>
      <c r="M1064" s="29"/>
      <c r="N1064" s="29"/>
      <c r="O1064" s="29"/>
      <c r="P1064" s="29"/>
      <c r="Q1064" s="29"/>
      <c r="R1064" s="29"/>
      <c r="S1064" s="29"/>
      <c r="T1064" s="29"/>
      <c r="U1064" s="29"/>
      <c r="V1064" s="29"/>
      <c r="W1064" s="29"/>
      <c r="X1064" s="29"/>
      <c r="Y1064" s="29"/>
      <c r="Z1064" s="29"/>
      <c r="AA1064" s="29"/>
      <c r="AB1064" s="29"/>
      <c r="AC1064" s="29"/>
      <c r="AD1064" s="29"/>
      <c r="AE1064" s="29"/>
      <c r="AJ1064"/>
      <c r="AK1064"/>
      <c r="AL1064"/>
      <c r="AM1064"/>
      <c r="AN1064"/>
      <c r="AO1064"/>
      <c r="AP1064"/>
      <c r="AQ1064"/>
      <c r="AR1064"/>
      <c r="AS1064"/>
      <c r="AT1064" s="4" t="str">
        <f t="shared" si="117"/>
        <v>1.0倍人力住房公积金</v>
      </c>
      <c r="AU1064" s="4" t="str">
        <f t="shared" si="113"/>
        <v>金融市场及同业部</v>
      </c>
      <c r="AV1064" s="4" t="str">
        <f t="shared" si="114"/>
        <v>人力费用</v>
      </c>
      <c r="AW1064" s="4" t="str">
        <f>IFERROR(VLOOKUP(AV1064,[1]字段!A:B,2,0),"")</f>
        <v>人力费用</v>
      </c>
      <c r="AX1064" s="30" t="str">
        <f>IF(AW1064="人力费用",IF(E1064="","",VLOOKUP(E1064,[1]字段!D:E,2,0)),AW1064)</f>
        <v>1.0倍人力</v>
      </c>
      <c r="AY1064" s="30" t="str">
        <f>IF(AT1064="","",VLOOKUP(AT1064,[1]字段!H:I,2,0))</f>
        <v>1.0倍人力</v>
      </c>
      <c r="AZ1064" s="31">
        <f t="shared" si="118"/>
        <v>0</v>
      </c>
      <c r="BA1064" s="31">
        <f t="shared" si="115"/>
        <v>0</v>
      </c>
      <c r="BB1064" s="31">
        <f t="shared" si="116"/>
        <v>0</v>
      </c>
      <c r="BC1064" s="31">
        <f t="shared" si="119"/>
        <v>0</v>
      </c>
    </row>
    <row r="1065" spans="1:55" ht="28.5" customHeight="1">
      <c r="C1065" s="33" t="s">
        <v>162</v>
      </c>
      <c r="D1065" s="34" t="s">
        <v>163</v>
      </c>
      <c r="E1065" s="35"/>
      <c r="F1065" s="36"/>
      <c r="G1065" s="29"/>
      <c r="H1065" s="29"/>
      <c r="I1065" s="29"/>
      <c r="J1065" s="29"/>
      <c r="K1065" s="29"/>
      <c r="L1065" s="29"/>
      <c r="M1065" s="29"/>
      <c r="N1065" s="29"/>
      <c r="O1065" s="29"/>
      <c r="P1065" s="29"/>
      <c r="Q1065" s="29"/>
      <c r="R1065" s="29"/>
      <c r="S1065" s="29"/>
      <c r="T1065" s="29"/>
      <c r="U1065" s="29"/>
      <c r="V1065" s="29"/>
      <c r="W1065" s="29"/>
      <c r="X1065" s="29"/>
      <c r="Y1065" s="29"/>
      <c r="Z1065" s="29"/>
      <c r="AA1065" s="29"/>
      <c r="AB1065" s="29"/>
      <c r="AC1065" s="29"/>
      <c r="AD1065" s="29"/>
      <c r="AE1065" s="29"/>
      <c r="AJ1065"/>
      <c r="AK1065"/>
      <c r="AL1065"/>
      <c r="AM1065"/>
      <c r="AN1065"/>
      <c r="AO1065"/>
      <c r="AP1065"/>
      <c r="AQ1065"/>
      <c r="AR1065"/>
      <c r="AS1065"/>
      <c r="AT1065" s="4" t="str">
        <f t="shared" si="117"/>
        <v>运营费用</v>
      </c>
      <c r="AU1065" s="4" t="str">
        <f t="shared" si="113"/>
        <v>金融市场及同业部</v>
      </c>
      <c r="AV1065" s="4" t="str">
        <f t="shared" si="114"/>
        <v>运营费用</v>
      </c>
      <c r="AW1065" s="4" t="str">
        <f>IFERROR(VLOOKUP(AV1065,[1]字段!A:B,2,0),"")</f>
        <v>运营费用</v>
      </c>
      <c r="AX1065" s="30" t="str">
        <f>IF(AW1065="人力费用",IF(E1065="","",VLOOKUP(E1065,[1]字段!D:E,2,0)),AW1065)</f>
        <v>运营费用</v>
      </c>
      <c r="AY1065" s="30">
        <f>IF(AT1065="","",VLOOKUP(AT1065,[1]字段!H:I,2,0))</f>
        <v>0</v>
      </c>
      <c r="AZ1065" s="31">
        <f t="shared" si="118"/>
        <v>0</v>
      </c>
      <c r="BA1065" s="31">
        <f t="shared" si="115"/>
        <v>0</v>
      </c>
      <c r="BB1065" s="31">
        <f t="shared" si="116"/>
        <v>0</v>
      </c>
      <c r="BC1065" s="31">
        <f t="shared" si="119"/>
        <v>0</v>
      </c>
    </row>
    <row r="1066" spans="1:55" ht="28.5" customHeight="1">
      <c r="A1066" s="32"/>
      <c r="B1066" s="32"/>
      <c r="C1066" s="37"/>
      <c r="D1066" s="38"/>
      <c r="E1066" s="39" t="s">
        <v>181</v>
      </c>
      <c r="F1066" s="39" t="s">
        <v>182</v>
      </c>
      <c r="G1066" s="29"/>
      <c r="H1066" s="29"/>
      <c r="I1066" s="29"/>
      <c r="J1066" s="29"/>
      <c r="K1066" s="29"/>
      <c r="L1066" s="29"/>
      <c r="M1066" s="29"/>
      <c r="N1066" s="29"/>
      <c r="O1066" s="29"/>
      <c r="P1066" s="29"/>
      <c r="Q1066" s="29"/>
      <c r="R1066" s="29"/>
      <c r="S1066" s="29"/>
      <c r="T1066" s="29"/>
      <c r="U1066" s="29"/>
      <c r="V1066" s="29"/>
      <c r="W1066" s="29"/>
      <c r="X1066" s="29"/>
      <c r="Y1066" s="29"/>
      <c r="Z1066" s="29"/>
      <c r="AA1066" s="29"/>
      <c r="AB1066" s="29"/>
      <c r="AC1066" s="29"/>
      <c r="AD1066" s="29"/>
      <c r="AE1066" s="29"/>
      <c r="AJ1066"/>
      <c r="AK1066"/>
      <c r="AL1066"/>
      <c r="AM1066"/>
      <c r="AN1066"/>
      <c r="AO1066"/>
      <c r="AP1066"/>
      <c r="AQ1066"/>
      <c r="AR1066"/>
      <c r="AS1066"/>
      <c r="AT1066" s="4" t="str">
        <f t="shared" si="117"/>
        <v>运营费用短信费</v>
      </c>
      <c r="AU1066" s="4" t="str">
        <f t="shared" si="113"/>
        <v>金融市场及同业部</v>
      </c>
      <c r="AV1066" s="4" t="str">
        <f t="shared" si="114"/>
        <v>运营费用</v>
      </c>
      <c r="AW1066" s="4" t="str">
        <f>IFERROR(VLOOKUP(AV1066,[1]字段!A:B,2,0),"")</f>
        <v>运营费用</v>
      </c>
      <c r="AX1066" s="30" t="str">
        <f>IF(AW1066="人力费用",IF(E1066="","",VLOOKUP(E1066,[1]字段!D:E,2,0)),AW1066)</f>
        <v>运营费用</v>
      </c>
      <c r="AY1066" s="30" t="str">
        <f>IF(AT1066="","",VLOOKUP(AT1066,[1]字段!H:I,2,0))</f>
        <v>运营费用-短信费</v>
      </c>
      <c r="AZ1066" s="31">
        <f t="shared" si="118"/>
        <v>0</v>
      </c>
      <c r="BA1066" s="31">
        <f t="shared" si="115"/>
        <v>0</v>
      </c>
      <c r="BB1066" s="31">
        <f t="shared" si="116"/>
        <v>0</v>
      </c>
      <c r="BC1066" s="31">
        <f t="shared" si="119"/>
        <v>0</v>
      </c>
    </row>
    <row r="1067" spans="1:55" ht="28.5" customHeight="1">
      <c r="A1067" s="32"/>
      <c r="B1067" s="32"/>
      <c r="C1067" s="41"/>
      <c r="D1067" s="42"/>
      <c r="E1067" s="39" t="s">
        <v>83</v>
      </c>
      <c r="F1067" s="39" t="s">
        <v>84</v>
      </c>
      <c r="G1067" s="29"/>
      <c r="H1067" s="29"/>
      <c r="I1067" s="29"/>
      <c r="J1067" s="29"/>
      <c r="K1067" s="29"/>
      <c r="L1067" s="29"/>
      <c r="M1067" s="29"/>
      <c r="N1067" s="29"/>
      <c r="O1067" s="29"/>
      <c r="P1067" s="29"/>
      <c r="Q1067" s="29"/>
      <c r="R1067" s="29"/>
      <c r="S1067" s="29"/>
      <c r="T1067" s="29"/>
      <c r="U1067" s="29"/>
      <c r="V1067" s="29"/>
      <c r="W1067" s="29"/>
      <c r="X1067" s="29"/>
      <c r="Y1067" s="29"/>
      <c r="Z1067" s="29"/>
      <c r="AA1067" s="29"/>
      <c r="AB1067" s="29"/>
      <c r="AC1067" s="29"/>
      <c r="AD1067" s="29"/>
      <c r="AE1067" s="29"/>
      <c r="AJ1067"/>
      <c r="AK1067"/>
      <c r="AL1067"/>
      <c r="AM1067"/>
      <c r="AN1067"/>
      <c r="AO1067"/>
      <c r="AP1067"/>
      <c r="AQ1067"/>
      <c r="AR1067"/>
      <c r="AS1067"/>
      <c r="AT1067" s="4" t="str">
        <f t="shared" si="117"/>
        <v>运营费用其他外包服务费</v>
      </c>
      <c r="AU1067" s="4" t="str">
        <f t="shared" si="113"/>
        <v>金融市场及同业部</v>
      </c>
      <c r="AV1067" s="4" t="str">
        <f t="shared" si="114"/>
        <v>运营费用</v>
      </c>
      <c r="AW1067" s="4" t="str">
        <f>IFERROR(VLOOKUP(AV1067,[1]字段!A:B,2,0),"")</f>
        <v>运营费用</v>
      </c>
      <c r="AX1067" s="30" t="str">
        <f>IF(AW1067="人力费用",IF(E1067="","",VLOOKUP(E1067,[1]字段!D:E,2,0)),AW1067)</f>
        <v>运营费用</v>
      </c>
      <c r="AY1067" s="30" t="str">
        <f>IF(AT1067="","",VLOOKUP(AT1067,[1]字段!H:I,2,0))</f>
        <v>运营费用-外包服务费</v>
      </c>
      <c r="AZ1067" s="31">
        <f t="shared" si="118"/>
        <v>0</v>
      </c>
      <c r="BA1067" s="31">
        <f t="shared" si="115"/>
        <v>0</v>
      </c>
      <c r="BB1067" s="31">
        <f t="shared" si="116"/>
        <v>0</v>
      </c>
      <c r="BC1067" s="31">
        <f t="shared" si="119"/>
        <v>0</v>
      </c>
    </row>
    <row r="1068" spans="1:55" ht="28.5" customHeight="1">
      <c r="C1068" s="33" t="s">
        <v>61</v>
      </c>
      <c r="D1068" s="34" t="s">
        <v>62</v>
      </c>
      <c r="E1068" s="35"/>
      <c r="F1068" s="36"/>
      <c r="G1068" s="29"/>
      <c r="H1068" s="29"/>
      <c r="I1068" s="29"/>
      <c r="J1068" s="29"/>
      <c r="K1068" s="29"/>
      <c r="L1068" s="29"/>
      <c r="M1068" s="29"/>
      <c r="N1068" s="29"/>
      <c r="O1068" s="29"/>
      <c r="P1068" s="29"/>
      <c r="Q1068" s="29"/>
      <c r="R1068" s="29"/>
      <c r="S1068" s="29"/>
      <c r="T1068" s="29"/>
      <c r="U1068" s="29"/>
      <c r="V1068" s="29"/>
      <c r="W1068" s="29"/>
      <c r="X1068" s="29"/>
      <c r="Y1068" s="29"/>
      <c r="Z1068" s="29"/>
      <c r="AA1068" s="29"/>
      <c r="AB1068" s="29"/>
      <c r="AC1068" s="29"/>
      <c r="AD1068" s="29"/>
      <c r="AE1068" s="29"/>
      <c r="AJ1068"/>
      <c r="AK1068"/>
      <c r="AL1068"/>
      <c r="AM1068"/>
      <c r="AN1068"/>
      <c r="AO1068"/>
      <c r="AP1068"/>
      <c r="AQ1068"/>
      <c r="AR1068"/>
      <c r="AS1068"/>
      <c r="AT1068" s="4" t="str">
        <f t="shared" si="117"/>
        <v>运营费用</v>
      </c>
      <c r="AU1068" s="4" t="str">
        <f t="shared" si="113"/>
        <v>金融市场及同业部</v>
      </c>
      <c r="AV1068" s="4" t="str">
        <f t="shared" si="114"/>
        <v>IT运营费用</v>
      </c>
      <c r="AW1068" s="4" t="str">
        <f>IFERROR(VLOOKUP(AV1068,[1]字段!A:B,2,0),"")</f>
        <v>运营费用</v>
      </c>
      <c r="AX1068" s="30" t="str">
        <f>IF(AW1068="人力费用",IF(E1068="","",VLOOKUP(E1068,[1]字段!D:E,2,0)),AW1068)</f>
        <v>运营费用</v>
      </c>
      <c r="AY1068" s="30">
        <f>IF(AT1068="","",VLOOKUP(AT1068,[1]字段!H:I,2,0))</f>
        <v>0</v>
      </c>
      <c r="AZ1068" s="31">
        <f t="shared" si="118"/>
        <v>0</v>
      </c>
      <c r="BA1068" s="31">
        <f t="shared" si="115"/>
        <v>0</v>
      </c>
      <c r="BB1068" s="31">
        <f t="shared" si="116"/>
        <v>0</v>
      </c>
      <c r="BC1068" s="31">
        <f t="shared" si="119"/>
        <v>0</v>
      </c>
    </row>
    <row r="1069" spans="1:55" ht="28.5" customHeight="1">
      <c r="A1069" s="32"/>
      <c r="B1069" s="32"/>
      <c r="C1069" s="43"/>
      <c r="D1069" s="43"/>
      <c r="E1069" s="39" t="s">
        <v>63</v>
      </c>
      <c r="F1069" s="39" t="s">
        <v>64</v>
      </c>
      <c r="G1069" s="29"/>
      <c r="H1069" s="29"/>
      <c r="I1069" s="29"/>
      <c r="J1069" s="29"/>
      <c r="K1069" s="29"/>
      <c r="L1069" s="29"/>
      <c r="M1069" s="29"/>
      <c r="N1069" s="29"/>
      <c r="O1069" s="29"/>
      <c r="P1069" s="29"/>
      <c r="Q1069" s="29"/>
      <c r="R1069" s="29"/>
      <c r="S1069" s="29"/>
      <c r="T1069" s="29"/>
      <c r="U1069" s="29"/>
      <c r="V1069" s="29"/>
      <c r="W1069" s="29"/>
      <c r="X1069" s="29"/>
      <c r="Y1069" s="29"/>
      <c r="Z1069" s="29"/>
      <c r="AA1069" s="29"/>
      <c r="AB1069" s="29"/>
      <c r="AC1069" s="29"/>
      <c r="AD1069" s="29"/>
      <c r="AE1069" s="29"/>
      <c r="AJ1069"/>
      <c r="AK1069"/>
      <c r="AL1069"/>
      <c r="AM1069"/>
      <c r="AN1069"/>
      <c r="AO1069"/>
      <c r="AP1069"/>
      <c r="AQ1069"/>
      <c r="AR1069"/>
      <c r="AS1069"/>
      <c r="AT1069" s="4" t="str">
        <f t="shared" si="117"/>
        <v>运营费用信息资料费</v>
      </c>
      <c r="AU1069" s="4" t="str">
        <f t="shared" si="113"/>
        <v>金融市场及同业部</v>
      </c>
      <c r="AV1069" s="4" t="str">
        <f t="shared" si="114"/>
        <v>IT运营费用</v>
      </c>
      <c r="AW1069" s="4" t="str">
        <f>IFERROR(VLOOKUP(AV1069,[1]字段!A:B,2,0),"")</f>
        <v>运营费用</v>
      </c>
      <c r="AX1069" s="30" t="str">
        <f>IF(AW1069="人力费用",IF(E1069="","",VLOOKUP(E1069,[1]字段!D:E,2,0)),AW1069)</f>
        <v>运营费用</v>
      </c>
      <c r="AY1069" s="30" t="str">
        <f>IF(AT1069="","",VLOOKUP(AT1069,[1]字段!H:I,2,0))</f>
        <v>运营费用-运营其他</v>
      </c>
      <c r="AZ1069" s="31">
        <f t="shared" si="118"/>
        <v>0</v>
      </c>
      <c r="BA1069" s="31">
        <f t="shared" si="115"/>
        <v>0</v>
      </c>
      <c r="BB1069" s="31">
        <f t="shared" si="116"/>
        <v>0</v>
      </c>
      <c r="BC1069" s="31">
        <f t="shared" si="119"/>
        <v>0</v>
      </c>
    </row>
    <row r="1070" spans="1:55" ht="28.5" customHeight="1">
      <c r="C1070" s="33" t="s">
        <v>65</v>
      </c>
      <c r="D1070" s="34" t="s">
        <v>66</v>
      </c>
      <c r="E1070" s="35"/>
      <c r="F1070" s="36"/>
      <c r="G1070" s="29"/>
      <c r="H1070" s="29"/>
      <c r="I1070" s="29"/>
      <c r="J1070" s="29"/>
      <c r="K1070" s="29"/>
      <c r="L1070" s="29"/>
      <c r="M1070" s="29"/>
      <c r="N1070" s="29"/>
      <c r="O1070" s="29"/>
      <c r="P1070" s="29"/>
      <c r="Q1070" s="29"/>
      <c r="R1070" s="29"/>
      <c r="S1070" s="29"/>
      <c r="T1070" s="29"/>
      <c r="U1070" s="29"/>
      <c r="V1070" s="29"/>
      <c r="W1070" s="29"/>
      <c r="X1070" s="29"/>
      <c r="Y1070" s="29"/>
      <c r="Z1070" s="29"/>
      <c r="AA1070" s="29"/>
      <c r="AB1070" s="29"/>
      <c r="AC1070" s="29"/>
      <c r="AD1070" s="29"/>
      <c r="AE1070" s="29"/>
      <c r="AJ1070"/>
      <c r="AK1070"/>
      <c r="AL1070"/>
      <c r="AM1070"/>
      <c r="AN1070"/>
      <c r="AO1070"/>
      <c r="AP1070"/>
      <c r="AQ1070"/>
      <c r="AR1070"/>
      <c r="AS1070"/>
      <c r="AT1070" s="4" t="str">
        <f t="shared" si="117"/>
        <v>IT费用</v>
      </c>
      <c r="AU1070" s="4" t="str">
        <f t="shared" si="113"/>
        <v>金融市场及同业部</v>
      </c>
      <c r="AV1070" s="4" t="str">
        <f t="shared" si="114"/>
        <v>IT科技费用</v>
      </c>
      <c r="AW1070" s="4" t="str">
        <f>IFERROR(VLOOKUP(AV1070,[1]字段!A:B,2,0),"")</f>
        <v>IT费用</v>
      </c>
      <c r="AX1070" s="30" t="str">
        <f>IF(AW1070="人力费用",IF(E1070="","",VLOOKUP(E1070,[1]字段!D:E,2,0)),AW1070)</f>
        <v>IT费用</v>
      </c>
      <c r="AY1070" s="30">
        <f>IF(AT1070="","",VLOOKUP(AT1070,[1]字段!H:I,2,0))</f>
        <v>0</v>
      </c>
      <c r="AZ1070" s="31">
        <f t="shared" si="118"/>
        <v>0</v>
      </c>
      <c r="BA1070" s="31">
        <f t="shared" si="115"/>
        <v>0</v>
      </c>
      <c r="BB1070" s="31">
        <f t="shared" si="116"/>
        <v>0</v>
      </c>
      <c r="BC1070" s="31">
        <f t="shared" si="119"/>
        <v>0</v>
      </c>
    </row>
    <row r="1071" spans="1:55" ht="28.5" customHeight="1">
      <c r="A1071" s="32"/>
      <c r="B1071" s="32"/>
      <c r="C1071" s="37"/>
      <c r="D1071" s="38"/>
      <c r="E1071" s="39" t="s">
        <v>67</v>
      </c>
      <c r="F1071" s="39" t="s">
        <v>68</v>
      </c>
      <c r="G1071" s="29"/>
      <c r="H1071" s="29"/>
      <c r="I1071" s="29"/>
      <c r="J1071" s="29"/>
      <c r="K1071" s="29"/>
      <c r="L1071" s="29"/>
      <c r="M1071" s="29"/>
      <c r="N1071" s="29"/>
      <c r="O1071" s="29"/>
      <c r="P1071" s="29"/>
      <c r="Q1071" s="29"/>
      <c r="R1071" s="29"/>
      <c r="S1071" s="29"/>
      <c r="T1071" s="29"/>
      <c r="U1071" s="29"/>
      <c r="V1071" s="29"/>
      <c r="W1071" s="29"/>
      <c r="X1071" s="29"/>
      <c r="Y1071" s="29"/>
      <c r="Z1071" s="29"/>
      <c r="AA1071" s="29"/>
      <c r="AB1071" s="29"/>
      <c r="AC1071" s="29"/>
      <c r="AD1071" s="29"/>
      <c r="AE1071" s="29"/>
      <c r="AJ1071"/>
      <c r="AK1071"/>
      <c r="AL1071"/>
      <c r="AM1071"/>
      <c r="AN1071"/>
      <c r="AO1071"/>
      <c r="AP1071"/>
      <c r="AQ1071"/>
      <c r="AR1071"/>
      <c r="AS1071"/>
      <c r="AT1071" s="4" t="str">
        <f t="shared" si="117"/>
        <v>IT费用一般运营设备折旧费</v>
      </c>
      <c r="AU1071" s="4" t="str">
        <f t="shared" si="113"/>
        <v>金融市场及同业部</v>
      </c>
      <c r="AV1071" s="4" t="str">
        <f t="shared" si="114"/>
        <v>IT科技费用</v>
      </c>
      <c r="AW1071" s="4" t="str">
        <f>IFERROR(VLOOKUP(AV1071,[1]字段!A:B,2,0),"")</f>
        <v>IT费用</v>
      </c>
      <c r="AX1071" s="30" t="str">
        <f>IF(AW1071="人力费用",IF(E1071="","",VLOOKUP(E1071,[1]字段!D:E,2,0)),AW1071)</f>
        <v>IT费用</v>
      </c>
      <c r="AY1071" s="30" t="str">
        <f>IF(AT1071="","",VLOOKUP(AT1071,[1]字段!H:I,2,0))</f>
        <v>IT费用</v>
      </c>
      <c r="AZ1071" s="31">
        <f t="shared" si="118"/>
        <v>0</v>
      </c>
      <c r="BA1071" s="31">
        <f t="shared" si="115"/>
        <v>0</v>
      </c>
      <c r="BB1071" s="31">
        <f t="shared" si="116"/>
        <v>0</v>
      </c>
      <c r="BC1071" s="31">
        <f t="shared" si="119"/>
        <v>0</v>
      </c>
    </row>
    <row r="1072" spans="1:55" ht="28.5" customHeight="1">
      <c r="A1072" s="32"/>
      <c r="B1072" s="32"/>
      <c r="C1072" s="32"/>
      <c r="D1072" s="40"/>
      <c r="E1072" s="39" t="s">
        <v>69</v>
      </c>
      <c r="F1072" s="39" t="s">
        <v>70</v>
      </c>
      <c r="G1072" s="29"/>
      <c r="H1072" s="29"/>
      <c r="I1072" s="29"/>
      <c r="J1072" s="29"/>
      <c r="K1072" s="29"/>
      <c r="L1072" s="29"/>
      <c r="M1072" s="29"/>
      <c r="N1072" s="29"/>
      <c r="O1072" s="29"/>
      <c r="P1072" s="29"/>
      <c r="Q1072" s="29"/>
      <c r="R1072" s="29"/>
      <c r="S1072" s="29"/>
      <c r="T1072" s="29"/>
      <c r="U1072" s="29"/>
      <c r="V1072" s="29"/>
      <c r="W1072" s="29"/>
      <c r="X1072" s="29"/>
      <c r="Y1072" s="29"/>
      <c r="Z1072" s="29"/>
      <c r="AA1072" s="29"/>
      <c r="AB1072" s="29"/>
      <c r="AC1072" s="29"/>
      <c r="AD1072" s="29"/>
      <c r="AE1072" s="29"/>
      <c r="AJ1072"/>
      <c r="AK1072"/>
      <c r="AL1072"/>
      <c r="AM1072"/>
      <c r="AN1072"/>
      <c r="AO1072"/>
      <c r="AP1072"/>
      <c r="AQ1072"/>
      <c r="AR1072"/>
      <c r="AS1072"/>
      <c r="AT1072" s="4" t="str">
        <f t="shared" si="117"/>
        <v>IT费用移动终端折旧费</v>
      </c>
      <c r="AU1072" s="4" t="str">
        <f t="shared" si="113"/>
        <v>金融市场及同业部</v>
      </c>
      <c r="AV1072" s="4" t="str">
        <f t="shared" si="114"/>
        <v>IT科技费用</v>
      </c>
      <c r="AW1072" s="4" t="str">
        <f>IFERROR(VLOOKUP(AV1072,[1]字段!A:B,2,0),"")</f>
        <v>IT费用</v>
      </c>
      <c r="AX1072" s="30" t="str">
        <f>IF(AW1072="人力费用",IF(E1072="","",VLOOKUP(E1072,[1]字段!D:E,2,0)),AW1072)</f>
        <v>IT费用</v>
      </c>
      <c r="AY1072" s="30" t="str">
        <f>IF(AT1072="","",VLOOKUP(AT1072,[1]字段!H:I,2,0))</f>
        <v>IT费用</v>
      </c>
      <c r="AZ1072" s="31">
        <f t="shared" si="118"/>
        <v>0</v>
      </c>
      <c r="BA1072" s="31">
        <f t="shared" si="115"/>
        <v>0</v>
      </c>
      <c r="BB1072" s="31">
        <f t="shared" si="116"/>
        <v>0</v>
      </c>
      <c r="BC1072" s="31">
        <f t="shared" si="119"/>
        <v>0</v>
      </c>
    </row>
    <row r="1073" spans="1:55" ht="28.5" customHeight="1">
      <c r="A1073" s="32"/>
      <c r="B1073" s="32"/>
      <c r="C1073" s="32"/>
      <c r="D1073" s="40"/>
      <c r="E1073" s="39" t="s">
        <v>71</v>
      </c>
      <c r="F1073" s="39" t="s">
        <v>72</v>
      </c>
      <c r="G1073" s="29"/>
      <c r="H1073" s="29"/>
      <c r="I1073" s="29"/>
      <c r="J1073" s="29"/>
      <c r="K1073" s="29"/>
      <c r="L1073" s="29"/>
      <c r="M1073" s="29"/>
      <c r="N1073" s="29"/>
      <c r="O1073" s="29"/>
      <c r="P1073" s="29"/>
      <c r="Q1073" s="29"/>
      <c r="R1073" s="29"/>
      <c r="S1073" s="29"/>
      <c r="T1073" s="29"/>
      <c r="U1073" s="29"/>
      <c r="V1073" s="29"/>
      <c r="W1073" s="29"/>
      <c r="X1073" s="29"/>
      <c r="Y1073" s="29"/>
      <c r="Z1073" s="29"/>
      <c r="AA1073" s="29"/>
      <c r="AB1073" s="29"/>
      <c r="AC1073" s="29"/>
      <c r="AD1073" s="29"/>
      <c r="AE1073" s="29"/>
      <c r="AJ1073"/>
      <c r="AK1073"/>
      <c r="AL1073"/>
      <c r="AM1073"/>
      <c r="AN1073"/>
      <c r="AO1073"/>
      <c r="AP1073"/>
      <c r="AQ1073"/>
      <c r="AR1073"/>
      <c r="AS1073"/>
      <c r="AT1073" s="4" t="str">
        <f t="shared" si="117"/>
        <v>IT费用办公IT设备折旧费</v>
      </c>
      <c r="AU1073" s="4" t="str">
        <f t="shared" si="113"/>
        <v>金融市场及同业部</v>
      </c>
      <c r="AV1073" s="4" t="str">
        <f t="shared" si="114"/>
        <v>IT科技费用</v>
      </c>
      <c r="AW1073" s="4" t="str">
        <f>IFERROR(VLOOKUP(AV1073,[1]字段!A:B,2,0),"")</f>
        <v>IT费用</v>
      </c>
      <c r="AX1073" s="30" t="str">
        <f>IF(AW1073="人力费用",IF(E1073="","",VLOOKUP(E1073,[1]字段!D:E,2,0)),AW1073)</f>
        <v>IT费用</v>
      </c>
      <c r="AY1073" s="30" t="str">
        <f>IF(AT1073="","",VLOOKUP(AT1073,[1]字段!H:I,2,0))</f>
        <v>IT费用</v>
      </c>
      <c r="AZ1073" s="31">
        <f t="shared" si="118"/>
        <v>0</v>
      </c>
      <c r="BA1073" s="31">
        <f t="shared" si="115"/>
        <v>0</v>
      </c>
      <c r="BB1073" s="31">
        <f t="shared" si="116"/>
        <v>0</v>
      </c>
      <c r="BC1073" s="31">
        <f t="shared" si="119"/>
        <v>0</v>
      </c>
    </row>
    <row r="1074" spans="1:55" ht="28.5" customHeight="1">
      <c r="A1074" s="32"/>
      <c r="B1074" s="32"/>
      <c r="C1074" s="32"/>
      <c r="D1074" s="40"/>
      <c r="E1074" s="39" t="s">
        <v>73</v>
      </c>
      <c r="F1074" s="39" t="s">
        <v>74</v>
      </c>
      <c r="G1074" s="29"/>
      <c r="H1074" s="29"/>
      <c r="I1074" s="29"/>
      <c r="J1074" s="29"/>
      <c r="K1074" s="29"/>
      <c r="L1074" s="29"/>
      <c r="M1074" s="29"/>
      <c r="N1074" s="29"/>
      <c r="O1074" s="29"/>
      <c r="P1074" s="29"/>
      <c r="Q1074" s="29"/>
      <c r="R1074" s="29"/>
      <c r="S1074" s="29"/>
      <c r="T1074" s="29"/>
      <c r="U1074" s="29"/>
      <c r="V1074" s="29"/>
      <c r="W1074" s="29"/>
      <c r="X1074" s="29"/>
      <c r="Y1074" s="29"/>
      <c r="Z1074" s="29"/>
      <c r="AA1074" s="29"/>
      <c r="AB1074" s="29"/>
      <c r="AC1074" s="29"/>
      <c r="AD1074" s="29"/>
      <c r="AE1074" s="29"/>
      <c r="AJ1074"/>
      <c r="AK1074"/>
      <c r="AL1074"/>
      <c r="AM1074"/>
      <c r="AN1074"/>
      <c r="AO1074"/>
      <c r="AP1074"/>
      <c r="AQ1074"/>
      <c r="AR1074"/>
      <c r="AS1074"/>
      <c r="AT1074" s="4" t="str">
        <f t="shared" si="117"/>
        <v>IT费用计算机软件摊销</v>
      </c>
      <c r="AU1074" s="4" t="str">
        <f t="shared" si="113"/>
        <v>金融市场及同业部</v>
      </c>
      <c r="AV1074" s="4" t="str">
        <f t="shared" si="114"/>
        <v>IT科技费用</v>
      </c>
      <c r="AW1074" s="4" t="str">
        <f>IFERROR(VLOOKUP(AV1074,[1]字段!A:B,2,0),"")</f>
        <v>IT费用</v>
      </c>
      <c r="AX1074" s="30" t="str">
        <f>IF(AW1074="人力费用",IF(E1074="","",VLOOKUP(E1074,[1]字段!D:E,2,0)),AW1074)</f>
        <v>IT费用</v>
      </c>
      <c r="AY1074" s="30" t="str">
        <f>IF(AT1074="","",VLOOKUP(AT1074,[1]字段!H:I,2,0))</f>
        <v>IT费用</v>
      </c>
      <c r="AZ1074" s="31">
        <f t="shared" si="118"/>
        <v>0</v>
      </c>
      <c r="BA1074" s="31">
        <f t="shared" si="115"/>
        <v>0</v>
      </c>
      <c r="BB1074" s="31">
        <f t="shared" si="116"/>
        <v>0</v>
      </c>
      <c r="BC1074" s="31">
        <f t="shared" si="119"/>
        <v>0</v>
      </c>
    </row>
    <row r="1075" spans="1:55" ht="28.5" customHeight="1">
      <c r="A1075" s="32"/>
      <c r="B1075" s="32"/>
      <c r="C1075" s="32"/>
      <c r="D1075" s="40"/>
      <c r="E1075" s="39" t="s">
        <v>75</v>
      </c>
      <c r="F1075" s="39" t="s">
        <v>76</v>
      </c>
      <c r="G1075" s="29"/>
      <c r="H1075" s="29"/>
      <c r="I1075" s="29"/>
      <c r="J1075" s="29"/>
      <c r="K1075" s="29"/>
      <c r="L1075" s="29"/>
      <c r="M1075" s="29"/>
      <c r="N1075" s="29"/>
      <c r="O1075" s="29"/>
      <c r="P1075" s="29"/>
      <c r="Q1075" s="29"/>
      <c r="R1075" s="29"/>
      <c r="S1075" s="29"/>
      <c r="T1075" s="29"/>
      <c r="U1075" s="29"/>
      <c r="V1075" s="29"/>
      <c r="W1075" s="29"/>
      <c r="X1075" s="29"/>
      <c r="Y1075" s="29"/>
      <c r="Z1075" s="29"/>
      <c r="AA1075" s="29"/>
      <c r="AB1075" s="29"/>
      <c r="AC1075" s="29"/>
      <c r="AD1075" s="29"/>
      <c r="AE1075" s="29"/>
      <c r="AJ1075"/>
      <c r="AK1075"/>
      <c r="AL1075"/>
      <c r="AM1075"/>
      <c r="AN1075"/>
      <c r="AO1075"/>
      <c r="AP1075"/>
      <c r="AQ1075"/>
      <c r="AR1075"/>
      <c r="AS1075"/>
      <c r="AT1075" s="4" t="str">
        <f t="shared" si="117"/>
        <v>IT费用数据资源摊销</v>
      </c>
      <c r="AU1075" s="4" t="str">
        <f t="shared" si="113"/>
        <v>金融市场及同业部</v>
      </c>
      <c r="AV1075" s="4" t="str">
        <f t="shared" si="114"/>
        <v>IT科技费用</v>
      </c>
      <c r="AW1075" s="4" t="str">
        <f>IFERROR(VLOOKUP(AV1075,[1]字段!A:B,2,0),"")</f>
        <v>IT费用</v>
      </c>
      <c r="AX1075" s="30" t="str">
        <f>IF(AW1075="人力费用",IF(E1075="","",VLOOKUP(E1075,[1]字段!D:E,2,0)),AW1075)</f>
        <v>IT费用</v>
      </c>
      <c r="AY1075" s="30" t="str">
        <f>IF(AT1075="","",VLOOKUP(AT1075,[1]字段!H:I,2,0))</f>
        <v>IT费用</v>
      </c>
      <c r="AZ1075" s="31">
        <f t="shared" si="118"/>
        <v>0</v>
      </c>
      <c r="BA1075" s="31">
        <f t="shared" si="115"/>
        <v>0</v>
      </c>
      <c r="BB1075" s="31">
        <f t="shared" si="116"/>
        <v>0</v>
      </c>
      <c r="BC1075" s="31">
        <f t="shared" si="119"/>
        <v>0</v>
      </c>
    </row>
    <row r="1076" spans="1:55" ht="28.5" customHeight="1">
      <c r="A1076" s="32"/>
      <c r="B1076" s="32"/>
      <c r="C1076" s="32"/>
      <c r="D1076" s="40"/>
      <c r="E1076" s="39" t="s">
        <v>77</v>
      </c>
      <c r="F1076" s="39" t="s">
        <v>78</v>
      </c>
      <c r="G1076" s="29"/>
      <c r="H1076" s="29"/>
      <c r="I1076" s="29"/>
      <c r="J1076" s="29"/>
      <c r="K1076" s="29"/>
      <c r="L1076" s="29"/>
      <c r="M1076" s="29"/>
      <c r="N1076" s="29"/>
      <c r="O1076" s="29"/>
      <c r="P1076" s="29"/>
      <c r="Q1076" s="29"/>
      <c r="R1076" s="29"/>
      <c r="S1076" s="29"/>
      <c r="T1076" s="29"/>
      <c r="U1076" s="29"/>
      <c r="V1076" s="29"/>
      <c r="W1076" s="29"/>
      <c r="X1076" s="29"/>
      <c r="Y1076" s="29"/>
      <c r="Z1076" s="29"/>
      <c r="AA1076" s="29"/>
      <c r="AB1076" s="29"/>
      <c r="AC1076" s="29"/>
      <c r="AD1076" s="29"/>
      <c r="AE1076" s="29"/>
      <c r="AJ1076"/>
      <c r="AK1076"/>
      <c r="AL1076"/>
      <c r="AM1076"/>
      <c r="AN1076"/>
      <c r="AO1076"/>
      <c r="AP1076"/>
      <c r="AQ1076"/>
      <c r="AR1076"/>
      <c r="AS1076"/>
      <c r="AT1076" s="4" t="str">
        <f t="shared" si="117"/>
        <v>IT费用咨询费</v>
      </c>
      <c r="AU1076" s="4" t="str">
        <f t="shared" si="113"/>
        <v>金融市场及同业部</v>
      </c>
      <c r="AV1076" s="4" t="str">
        <f t="shared" si="114"/>
        <v>IT科技费用</v>
      </c>
      <c r="AW1076" s="4" t="str">
        <f>IFERROR(VLOOKUP(AV1076,[1]字段!A:B,2,0),"")</f>
        <v>IT费用</v>
      </c>
      <c r="AX1076" s="30" t="str">
        <f>IF(AW1076="人力费用",IF(E1076="","",VLOOKUP(E1076,[1]字段!D:E,2,0)),AW1076)</f>
        <v>IT费用</v>
      </c>
      <c r="AY1076" s="30" t="str">
        <f>IF(AT1076="","",VLOOKUP(AT1076,[1]字段!H:I,2,0))</f>
        <v>IT费用</v>
      </c>
      <c r="AZ1076" s="31">
        <f t="shared" si="118"/>
        <v>0</v>
      </c>
      <c r="BA1076" s="31">
        <f t="shared" si="115"/>
        <v>0</v>
      </c>
      <c r="BB1076" s="31">
        <f t="shared" si="116"/>
        <v>0</v>
      </c>
      <c r="BC1076" s="31">
        <f t="shared" si="119"/>
        <v>0</v>
      </c>
    </row>
    <row r="1077" spans="1:55" ht="28.5" customHeight="1">
      <c r="A1077" s="32"/>
      <c r="B1077" s="32"/>
      <c r="C1077" s="32"/>
      <c r="D1077" s="40"/>
      <c r="E1077" s="39" t="s">
        <v>79</v>
      </c>
      <c r="F1077" s="39" t="s">
        <v>80</v>
      </c>
      <c r="G1077" s="29"/>
      <c r="H1077" s="29"/>
      <c r="I1077" s="29"/>
      <c r="J1077" s="29"/>
      <c r="K1077" s="29"/>
      <c r="L1077" s="29"/>
      <c r="M1077" s="29"/>
      <c r="N1077" s="29"/>
      <c r="O1077" s="29"/>
      <c r="P1077" s="29"/>
      <c r="Q1077" s="29"/>
      <c r="R1077" s="29"/>
      <c r="S1077" s="29"/>
      <c r="T1077" s="29"/>
      <c r="U1077" s="29"/>
      <c r="V1077" s="29"/>
      <c r="W1077" s="29"/>
      <c r="X1077" s="29"/>
      <c r="Y1077" s="29"/>
      <c r="Z1077" s="29"/>
      <c r="AA1077" s="29"/>
      <c r="AB1077" s="29"/>
      <c r="AC1077" s="29"/>
      <c r="AD1077" s="29"/>
      <c r="AE1077" s="29"/>
      <c r="AJ1077"/>
      <c r="AK1077"/>
      <c r="AL1077"/>
      <c r="AM1077"/>
      <c r="AN1077"/>
      <c r="AO1077"/>
      <c r="AP1077"/>
      <c r="AQ1077"/>
      <c r="AR1077"/>
      <c r="AS1077"/>
      <c r="AT1077" s="4" t="str">
        <f t="shared" si="117"/>
        <v>IT费用网络通讯费 </v>
      </c>
      <c r="AU1077" s="4" t="str">
        <f t="shared" si="113"/>
        <v>金融市场及同业部</v>
      </c>
      <c r="AV1077" s="4" t="str">
        <f t="shared" si="114"/>
        <v>IT科技费用</v>
      </c>
      <c r="AW1077" s="4" t="str">
        <f>IFERROR(VLOOKUP(AV1077,[1]字段!A:B,2,0),"")</f>
        <v>IT费用</v>
      </c>
      <c r="AX1077" s="30" t="str">
        <f>IF(AW1077="人力费用",IF(E1077="","",VLOOKUP(E1077,[1]字段!D:E,2,0)),AW1077)</f>
        <v>IT费用</v>
      </c>
      <c r="AY1077" s="30" t="str">
        <f>IF(AT1077="","",VLOOKUP(AT1077,[1]字段!H:I,2,0))</f>
        <v>IT费用</v>
      </c>
      <c r="AZ1077" s="31">
        <f t="shared" si="118"/>
        <v>0</v>
      </c>
      <c r="BA1077" s="31">
        <f t="shared" si="115"/>
        <v>0</v>
      </c>
      <c r="BB1077" s="31">
        <f t="shared" si="116"/>
        <v>0</v>
      </c>
      <c r="BC1077" s="31">
        <f t="shared" si="119"/>
        <v>0</v>
      </c>
    </row>
    <row r="1078" spans="1:55" ht="28.5" customHeight="1">
      <c r="A1078" s="32"/>
      <c r="B1078" s="32"/>
      <c r="C1078" s="32"/>
      <c r="D1078" s="40"/>
      <c r="E1078" s="39" t="s">
        <v>81</v>
      </c>
      <c r="F1078" s="39" t="s">
        <v>82</v>
      </c>
      <c r="G1078" s="29"/>
      <c r="H1078" s="29"/>
      <c r="I1078" s="29"/>
      <c r="J1078" s="29"/>
      <c r="K1078" s="29"/>
      <c r="L1078" s="29"/>
      <c r="M1078" s="29"/>
      <c r="N1078" s="29"/>
      <c r="O1078" s="29"/>
      <c r="P1078" s="29"/>
      <c r="Q1078" s="29"/>
      <c r="R1078" s="29"/>
      <c r="S1078" s="29"/>
      <c r="T1078" s="29"/>
      <c r="U1078" s="29"/>
      <c r="V1078" s="29"/>
      <c r="W1078" s="29"/>
      <c r="X1078" s="29"/>
      <c r="Y1078" s="29"/>
      <c r="Z1078" s="29"/>
      <c r="AA1078" s="29"/>
      <c r="AB1078" s="29"/>
      <c r="AC1078" s="29"/>
      <c r="AD1078" s="29"/>
      <c r="AE1078" s="29"/>
      <c r="AJ1078"/>
      <c r="AK1078"/>
      <c r="AL1078"/>
      <c r="AM1078"/>
      <c r="AN1078"/>
      <c r="AO1078"/>
      <c r="AP1078"/>
      <c r="AQ1078"/>
      <c r="AR1078"/>
      <c r="AS1078"/>
      <c r="AT1078" s="4" t="str">
        <f t="shared" si="117"/>
        <v>IT费用电子设备运转费 </v>
      </c>
      <c r="AU1078" s="4" t="str">
        <f t="shared" si="113"/>
        <v>金融市场及同业部</v>
      </c>
      <c r="AV1078" s="4" t="str">
        <f t="shared" si="114"/>
        <v>IT科技费用</v>
      </c>
      <c r="AW1078" s="4" t="str">
        <f>IFERROR(VLOOKUP(AV1078,[1]字段!A:B,2,0),"")</f>
        <v>IT费用</v>
      </c>
      <c r="AX1078" s="30" t="str">
        <f>IF(AW1078="人力费用",IF(E1078="","",VLOOKUP(E1078,[1]字段!D:E,2,0)),AW1078)</f>
        <v>IT费用</v>
      </c>
      <c r="AY1078" s="30" t="str">
        <f>IF(AT1078="","",VLOOKUP(AT1078,[1]字段!H:I,2,0))</f>
        <v>IT费用</v>
      </c>
      <c r="AZ1078" s="31">
        <f t="shared" si="118"/>
        <v>0</v>
      </c>
      <c r="BA1078" s="31">
        <f t="shared" si="115"/>
        <v>0</v>
      </c>
      <c r="BB1078" s="31">
        <f t="shared" si="116"/>
        <v>0</v>
      </c>
      <c r="BC1078" s="31">
        <f t="shared" si="119"/>
        <v>0</v>
      </c>
    </row>
    <row r="1079" spans="1:55" ht="28.5" customHeight="1">
      <c r="A1079" s="32"/>
      <c r="B1079" s="32"/>
      <c r="C1079" s="41"/>
      <c r="D1079" s="42"/>
      <c r="E1079" s="39" t="s">
        <v>83</v>
      </c>
      <c r="F1079" s="39" t="s">
        <v>84</v>
      </c>
      <c r="G1079" s="29"/>
      <c r="H1079" s="29"/>
      <c r="I1079" s="29"/>
      <c r="J1079" s="29"/>
      <c r="K1079" s="29"/>
      <c r="L1079" s="29"/>
      <c r="M1079" s="29"/>
      <c r="N1079" s="29"/>
      <c r="O1079" s="29"/>
      <c r="P1079" s="29"/>
      <c r="Q1079" s="29"/>
      <c r="R1079" s="29"/>
      <c r="S1079" s="29"/>
      <c r="T1079" s="29"/>
      <c r="U1079" s="29"/>
      <c r="V1079" s="29"/>
      <c r="W1079" s="29"/>
      <c r="X1079" s="29"/>
      <c r="Y1079" s="29"/>
      <c r="Z1079" s="29"/>
      <c r="AA1079" s="29"/>
      <c r="AB1079" s="29"/>
      <c r="AC1079" s="29"/>
      <c r="AD1079" s="29"/>
      <c r="AE1079" s="29"/>
      <c r="AJ1079"/>
      <c r="AK1079"/>
      <c r="AL1079"/>
      <c r="AM1079"/>
      <c r="AN1079"/>
      <c r="AO1079"/>
      <c r="AP1079"/>
      <c r="AQ1079"/>
      <c r="AR1079"/>
      <c r="AS1079"/>
      <c r="AT1079" s="4" t="str">
        <f t="shared" si="117"/>
        <v>IT费用其他外包服务费</v>
      </c>
      <c r="AU1079" s="4" t="str">
        <f t="shared" si="113"/>
        <v>金融市场及同业部</v>
      </c>
      <c r="AV1079" s="4" t="str">
        <f t="shared" si="114"/>
        <v>IT科技费用</v>
      </c>
      <c r="AW1079" s="4" t="str">
        <f>IFERROR(VLOOKUP(AV1079,[1]字段!A:B,2,0),"")</f>
        <v>IT费用</v>
      </c>
      <c r="AX1079" s="30" t="str">
        <f>IF(AW1079="人力费用",IF(E1079="","",VLOOKUP(E1079,[1]字段!D:E,2,0)),AW1079)</f>
        <v>IT费用</v>
      </c>
      <c r="AY1079" s="30" t="str">
        <f>IF(AT1079="","",VLOOKUP(AT1079,[1]字段!H:I,2,0))</f>
        <v>IT费用</v>
      </c>
      <c r="AZ1079" s="31">
        <f t="shared" si="118"/>
        <v>0</v>
      </c>
      <c r="BA1079" s="31">
        <f t="shared" si="115"/>
        <v>0</v>
      </c>
      <c r="BB1079" s="31">
        <f t="shared" si="116"/>
        <v>0</v>
      </c>
      <c r="BC1079" s="31">
        <f t="shared" si="119"/>
        <v>0</v>
      </c>
    </row>
    <row r="1080" spans="1:55" ht="28.5" customHeight="1">
      <c r="C1080" s="33" t="s">
        <v>85</v>
      </c>
      <c r="D1080" s="34" t="s">
        <v>86</v>
      </c>
      <c r="E1080" s="35"/>
      <c r="F1080" s="36"/>
      <c r="G1080" s="29"/>
      <c r="H1080" s="29"/>
      <c r="I1080" s="29"/>
      <c r="J1080" s="29"/>
      <c r="K1080" s="29"/>
      <c r="L1080" s="29"/>
      <c r="M1080" s="29"/>
      <c r="N1080" s="29"/>
      <c r="O1080" s="29"/>
      <c r="P1080" s="29"/>
      <c r="Q1080" s="29"/>
      <c r="R1080" s="29"/>
      <c r="S1080" s="29"/>
      <c r="T1080" s="29"/>
      <c r="U1080" s="29"/>
      <c r="V1080" s="29"/>
      <c r="W1080" s="29"/>
      <c r="X1080" s="29"/>
      <c r="Y1080" s="29"/>
      <c r="Z1080" s="29"/>
      <c r="AA1080" s="29"/>
      <c r="AB1080" s="29"/>
      <c r="AC1080" s="29"/>
      <c r="AD1080" s="29"/>
      <c r="AE1080" s="29"/>
      <c r="AJ1080"/>
      <c r="AK1080"/>
      <c r="AL1080"/>
      <c r="AM1080"/>
      <c r="AN1080"/>
      <c r="AO1080"/>
      <c r="AP1080"/>
      <c r="AQ1080"/>
      <c r="AR1080"/>
      <c r="AS1080"/>
      <c r="AT1080" s="4" t="str">
        <f t="shared" si="117"/>
        <v>日常费用</v>
      </c>
      <c r="AU1080" s="4" t="str">
        <f t="shared" si="113"/>
        <v>金融市场及同业部</v>
      </c>
      <c r="AV1080" s="4" t="str">
        <f t="shared" si="114"/>
        <v>IT日常费用</v>
      </c>
      <c r="AW1080" s="4" t="str">
        <f>IFERROR(VLOOKUP(AV1080,[1]字段!A:B,2,0),"")</f>
        <v>日常费用</v>
      </c>
      <c r="AX1080" s="30" t="str">
        <f>IF(AW1080="人力费用",IF(E1080="","",VLOOKUP(E1080,[1]字段!D:E,2,0)),AW1080)</f>
        <v>日常费用</v>
      </c>
      <c r="AY1080" s="30">
        <f>IF(AT1080="","",VLOOKUP(AT1080,[1]字段!H:I,2,0))</f>
        <v>0</v>
      </c>
      <c r="AZ1080" s="31">
        <f t="shared" si="118"/>
        <v>0</v>
      </c>
      <c r="BA1080" s="31">
        <f t="shared" si="115"/>
        <v>0</v>
      </c>
      <c r="BB1080" s="31">
        <f t="shared" si="116"/>
        <v>0</v>
      </c>
      <c r="BC1080" s="31">
        <f t="shared" si="119"/>
        <v>0</v>
      </c>
    </row>
    <row r="1081" spans="1:55" ht="28.5" customHeight="1">
      <c r="A1081" s="32"/>
      <c r="B1081" s="32"/>
      <c r="C1081" s="37"/>
      <c r="D1081" s="38"/>
      <c r="E1081" s="39" t="s">
        <v>87</v>
      </c>
      <c r="F1081" s="39" t="s">
        <v>88</v>
      </c>
      <c r="G1081" s="29"/>
      <c r="H1081" s="29"/>
      <c r="I1081" s="29"/>
      <c r="J1081" s="29"/>
      <c r="K1081" s="29"/>
      <c r="L1081" s="29"/>
      <c r="M1081" s="29"/>
      <c r="N1081" s="29"/>
      <c r="O1081" s="29"/>
      <c r="P1081" s="29"/>
      <c r="Q1081" s="29"/>
      <c r="R1081" s="29"/>
      <c r="S1081" s="29"/>
      <c r="T1081" s="29"/>
      <c r="U1081" s="29"/>
      <c r="V1081" s="29"/>
      <c r="W1081" s="29"/>
      <c r="X1081" s="29"/>
      <c r="Y1081" s="29"/>
      <c r="Z1081" s="29"/>
      <c r="AA1081" s="29"/>
      <c r="AB1081" s="29"/>
      <c r="AC1081" s="29"/>
      <c r="AD1081" s="29"/>
      <c r="AE1081" s="29"/>
      <c r="AJ1081"/>
      <c r="AK1081"/>
      <c r="AL1081"/>
      <c r="AM1081"/>
      <c r="AN1081"/>
      <c r="AO1081"/>
      <c r="AP1081"/>
      <c r="AQ1081"/>
      <c r="AR1081"/>
      <c r="AS1081"/>
      <c r="AT1081" s="4" t="str">
        <f t="shared" si="117"/>
        <v>日常费用办公OA设备折旧费</v>
      </c>
      <c r="AU1081" s="4" t="str">
        <f t="shared" si="113"/>
        <v>金融市场及同业部</v>
      </c>
      <c r="AV1081" s="4" t="str">
        <f t="shared" si="114"/>
        <v>IT日常费用</v>
      </c>
      <c r="AW1081" s="4" t="str">
        <f>IFERROR(VLOOKUP(AV1081,[1]字段!A:B,2,0),"")</f>
        <v>日常费用</v>
      </c>
      <c r="AX1081" s="30" t="str">
        <f>IF(AW1081="人力费用",IF(E1081="","",VLOOKUP(E1081,[1]字段!D:E,2,0)),AW1081)</f>
        <v>日常费用</v>
      </c>
      <c r="AY1081" s="30" t="str">
        <f>IF(AT1081="","",VLOOKUP(AT1081,[1]字段!H:I,2,0))</f>
        <v>日常费用-其他</v>
      </c>
      <c r="AZ1081" s="31">
        <f t="shared" si="118"/>
        <v>0</v>
      </c>
      <c r="BA1081" s="31">
        <f t="shared" si="115"/>
        <v>0</v>
      </c>
      <c r="BB1081" s="31">
        <f t="shared" si="116"/>
        <v>0</v>
      </c>
      <c r="BC1081" s="31">
        <f t="shared" si="119"/>
        <v>0</v>
      </c>
    </row>
    <row r="1082" spans="1:55" ht="28.5" customHeight="1">
      <c r="A1082" s="32"/>
      <c r="B1082" s="32"/>
      <c r="C1082" s="41"/>
      <c r="D1082" s="42"/>
      <c r="E1082" s="39" t="s">
        <v>89</v>
      </c>
      <c r="F1082" s="39" t="s">
        <v>90</v>
      </c>
      <c r="G1082" s="29"/>
      <c r="H1082" s="29"/>
      <c r="I1082" s="29"/>
      <c r="J1082" s="29"/>
      <c r="K1082" s="29"/>
      <c r="L1082" s="29"/>
      <c r="M1082" s="29"/>
      <c r="N1082" s="29"/>
      <c r="O1082" s="29"/>
      <c r="P1082" s="29"/>
      <c r="Q1082" s="29"/>
      <c r="R1082" s="29"/>
      <c r="S1082" s="29"/>
      <c r="T1082" s="29"/>
      <c r="U1082" s="29"/>
      <c r="V1082" s="29"/>
      <c r="W1082" s="29"/>
      <c r="X1082" s="29"/>
      <c r="Y1082" s="29"/>
      <c r="Z1082" s="29"/>
      <c r="AA1082" s="29"/>
      <c r="AB1082" s="29"/>
      <c r="AC1082" s="29"/>
      <c r="AD1082" s="29"/>
      <c r="AE1082" s="29"/>
      <c r="AJ1082"/>
      <c r="AK1082"/>
      <c r="AL1082"/>
      <c r="AM1082"/>
      <c r="AN1082"/>
      <c r="AO1082"/>
      <c r="AP1082"/>
      <c r="AQ1082"/>
      <c r="AR1082"/>
      <c r="AS1082"/>
      <c r="AT1082" s="4" t="str">
        <f t="shared" si="117"/>
        <v>日常费用办公家具折旧费</v>
      </c>
      <c r="AU1082" s="4" t="str">
        <f t="shared" si="113"/>
        <v>金融市场及同业部</v>
      </c>
      <c r="AV1082" s="4" t="str">
        <f t="shared" si="114"/>
        <v>IT日常费用</v>
      </c>
      <c r="AW1082" s="4" t="str">
        <f>IFERROR(VLOOKUP(AV1082,[1]字段!A:B,2,0),"")</f>
        <v>日常费用</v>
      </c>
      <c r="AX1082" s="30" t="str">
        <f>IF(AW1082="人力费用",IF(E1082="","",VLOOKUP(E1082,[1]字段!D:E,2,0)),AW1082)</f>
        <v>日常费用</v>
      </c>
      <c r="AY1082" s="30" t="str">
        <f>IF(AT1082="","",VLOOKUP(AT1082,[1]字段!H:I,2,0))</f>
        <v>日常费用-其他</v>
      </c>
      <c r="AZ1082" s="31">
        <f t="shared" si="118"/>
        <v>0</v>
      </c>
      <c r="BA1082" s="31">
        <f t="shared" si="115"/>
        <v>0</v>
      </c>
      <c r="BB1082" s="31">
        <f t="shared" si="116"/>
        <v>0</v>
      </c>
      <c r="BC1082" s="31">
        <f t="shared" si="119"/>
        <v>0</v>
      </c>
    </row>
    <row r="1083" spans="1:55" ht="28.5" customHeight="1">
      <c r="C1083" s="33" t="s">
        <v>93</v>
      </c>
      <c r="D1083" s="34" t="s">
        <v>94</v>
      </c>
      <c r="E1083" s="35"/>
      <c r="F1083" s="36"/>
      <c r="G1083" s="29"/>
      <c r="H1083" s="29"/>
      <c r="I1083" s="29"/>
      <c r="J1083" s="29"/>
      <c r="K1083" s="29"/>
      <c r="L1083" s="29"/>
      <c r="M1083" s="29"/>
      <c r="N1083" s="29"/>
      <c r="O1083" s="29"/>
      <c r="P1083" s="29"/>
      <c r="Q1083" s="29"/>
      <c r="R1083" s="29"/>
      <c r="S1083" s="29"/>
      <c r="T1083" s="29"/>
      <c r="U1083" s="29"/>
      <c r="V1083" s="29"/>
      <c r="W1083" s="29"/>
      <c r="X1083" s="29"/>
      <c r="Y1083" s="29"/>
      <c r="Z1083" s="29"/>
      <c r="AA1083" s="29"/>
      <c r="AB1083" s="29"/>
      <c r="AC1083" s="29"/>
      <c r="AD1083" s="29"/>
      <c r="AE1083" s="29"/>
      <c r="AJ1083"/>
      <c r="AK1083"/>
      <c r="AL1083"/>
      <c r="AM1083"/>
      <c r="AN1083"/>
      <c r="AO1083"/>
      <c r="AP1083"/>
      <c r="AQ1083"/>
      <c r="AR1083"/>
      <c r="AS1083"/>
      <c r="AT1083" s="4" t="str">
        <f t="shared" si="117"/>
        <v>日常费用</v>
      </c>
      <c r="AU1083" s="4" t="str">
        <f t="shared" si="113"/>
        <v>金融市场及同业部</v>
      </c>
      <c r="AV1083" s="4" t="str">
        <f t="shared" si="114"/>
        <v>日常费用</v>
      </c>
      <c r="AW1083" s="4" t="str">
        <f>IFERROR(VLOOKUP(AV1083,[1]字段!A:B,2,0),"")</f>
        <v>日常费用</v>
      </c>
      <c r="AX1083" s="30" t="str">
        <f>IF(AW1083="人力费用",IF(E1083="","",VLOOKUP(E1083,[1]字段!D:E,2,0)),AW1083)</f>
        <v>日常费用</v>
      </c>
      <c r="AY1083" s="30">
        <f>IF(AT1083="","",VLOOKUP(AT1083,[1]字段!H:I,2,0))</f>
        <v>0</v>
      </c>
      <c r="AZ1083" s="31">
        <f t="shared" si="118"/>
        <v>0</v>
      </c>
      <c r="BA1083" s="31">
        <f t="shared" si="115"/>
        <v>0</v>
      </c>
      <c r="BB1083" s="31">
        <f t="shared" si="116"/>
        <v>0</v>
      </c>
      <c r="BC1083" s="31">
        <f t="shared" si="119"/>
        <v>0</v>
      </c>
    </row>
    <row r="1084" spans="1:55" ht="28.5" customHeight="1">
      <c r="A1084" s="32"/>
      <c r="B1084" s="32"/>
      <c r="C1084" s="37"/>
      <c r="D1084" s="38"/>
      <c r="E1084" s="39" t="s">
        <v>77</v>
      </c>
      <c r="F1084" s="39" t="s">
        <v>78</v>
      </c>
      <c r="G1084" s="29"/>
      <c r="H1084" s="29"/>
      <c r="I1084" s="29"/>
      <c r="J1084" s="29"/>
      <c r="K1084" s="29"/>
      <c r="L1084" s="29"/>
      <c r="M1084" s="29"/>
      <c r="N1084" s="29"/>
      <c r="O1084" s="29"/>
      <c r="P1084" s="29"/>
      <c r="Q1084" s="29"/>
      <c r="R1084" s="29"/>
      <c r="S1084" s="29"/>
      <c r="T1084" s="29"/>
      <c r="U1084" s="29"/>
      <c r="V1084" s="29"/>
      <c r="W1084" s="29"/>
      <c r="X1084" s="29"/>
      <c r="Y1084" s="29"/>
      <c r="Z1084" s="29"/>
      <c r="AA1084" s="29"/>
      <c r="AB1084" s="29"/>
      <c r="AC1084" s="29"/>
      <c r="AD1084" s="29"/>
      <c r="AE1084" s="29"/>
      <c r="AJ1084"/>
      <c r="AK1084"/>
      <c r="AL1084"/>
      <c r="AM1084"/>
      <c r="AN1084"/>
      <c r="AO1084"/>
      <c r="AP1084"/>
      <c r="AQ1084"/>
      <c r="AR1084"/>
      <c r="AS1084"/>
      <c r="AT1084" s="4" t="str">
        <f t="shared" si="117"/>
        <v>日常费用咨询费</v>
      </c>
      <c r="AU1084" s="4" t="str">
        <f t="shared" si="113"/>
        <v>金融市场及同业部</v>
      </c>
      <c r="AV1084" s="4" t="str">
        <f t="shared" si="114"/>
        <v>日常费用</v>
      </c>
      <c r="AW1084" s="4" t="str">
        <f>IFERROR(VLOOKUP(AV1084,[1]字段!A:B,2,0),"")</f>
        <v>日常费用</v>
      </c>
      <c r="AX1084" s="30" t="str">
        <f>IF(AW1084="人力费用",IF(E1084="","",VLOOKUP(E1084,[1]字段!D:E,2,0)),AW1084)</f>
        <v>日常费用</v>
      </c>
      <c r="AY1084" s="30" t="str">
        <f>IF(AT1084="","",VLOOKUP(AT1084,[1]字段!H:I,2,0))</f>
        <v>日常费用-咨询费</v>
      </c>
      <c r="AZ1084" s="31">
        <f t="shared" si="118"/>
        <v>0</v>
      </c>
      <c r="BA1084" s="31">
        <f t="shared" si="115"/>
        <v>0</v>
      </c>
      <c r="BB1084" s="31">
        <f t="shared" si="116"/>
        <v>0</v>
      </c>
      <c r="BC1084" s="31">
        <f t="shared" si="119"/>
        <v>0</v>
      </c>
    </row>
    <row r="1085" spans="1:55" ht="28.5" customHeight="1">
      <c r="A1085" s="32"/>
      <c r="B1085" s="32"/>
      <c r="C1085" s="32"/>
      <c r="D1085" s="40"/>
      <c r="E1085" s="39" t="s">
        <v>95</v>
      </c>
      <c r="F1085" s="39" t="s">
        <v>96</v>
      </c>
      <c r="G1085" s="29"/>
      <c r="H1085" s="29"/>
      <c r="I1085" s="29"/>
      <c r="J1085" s="29"/>
      <c r="K1085" s="29"/>
      <c r="L1085" s="29"/>
      <c r="M1085" s="29"/>
      <c r="N1085" s="29"/>
      <c r="O1085" s="29"/>
      <c r="P1085" s="29"/>
      <c r="Q1085" s="29"/>
      <c r="R1085" s="29"/>
      <c r="S1085" s="29"/>
      <c r="T1085" s="29"/>
      <c r="U1085" s="29"/>
      <c r="V1085" s="29"/>
      <c r="W1085" s="29"/>
      <c r="X1085" s="29"/>
      <c r="Y1085" s="29"/>
      <c r="Z1085" s="29"/>
      <c r="AA1085" s="29"/>
      <c r="AB1085" s="29"/>
      <c r="AC1085" s="29"/>
      <c r="AD1085" s="29"/>
      <c r="AE1085" s="29"/>
      <c r="AJ1085"/>
      <c r="AK1085"/>
      <c r="AL1085"/>
      <c r="AM1085"/>
      <c r="AN1085"/>
      <c r="AO1085"/>
      <c r="AP1085"/>
      <c r="AQ1085"/>
      <c r="AR1085"/>
      <c r="AS1085"/>
      <c r="AT1085" s="4" t="str">
        <f t="shared" si="117"/>
        <v>日常费用业务招待费</v>
      </c>
      <c r="AU1085" s="4" t="str">
        <f t="shared" si="113"/>
        <v>金融市场及同业部</v>
      </c>
      <c r="AV1085" s="4" t="str">
        <f t="shared" si="114"/>
        <v>日常费用</v>
      </c>
      <c r="AW1085" s="4" t="str">
        <f>IFERROR(VLOOKUP(AV1085,[1]字段!A:B,2,0),"")</f>
        <v>日常费用</v>
      </c>
      <c r="AX1085" s="30" t="str">
        <f>IF(AW1085="人力费用",IF(E1085="","",VLOOKUP(E1085,[1]字段!D:E,2,0)),AW1085)</f>
        <v>日常费用</v>
      </c>
      <c r="AY1085" s="30" t="str">
        <f>IF(AT1085="","",VLOOKUP(AT1085,[1]字段!H:I,2,0))</f>
        <v>日常费用-其他</v>
      </c>
      <c r="AZ1085" s="31">
        <f t="shared" si="118"/>
        <v>0</v>
      </c>
      <c r="BA1085" s="31">
        <f t="shared" si="115"/>
        <v>0</v>
      </c>
      <c r="BB1085" s="31">
        <f t="shared" si="116"/>
        <v>0</v>
      </c>
      <c r="BC1085" s="31">
        <f t="shared" si="119"/>
        <v>0</v>
      </c>
    </row>
    <row r="1086" spans="1:55" ht="28.5" customHeight="1">
      <c r="A1086" s="41"/>
      <c r="B1086" s="41"/>
      <c r="C1086" s="41"/>
      <c r="D1086" s="42"/>
      <c r="E1086" s="39" t="s">
        <v>139</v>
      </c>
      <c r="F1086" s="39" t="s">
        <v>140</v>
      </c>
      <c r="G1086" s="29"/>
      <c r="H1086" s="29"/>
      <c r="I1086" s="29"/>
      <c r="J1086" s="29"/>
      <c r="K1086" s="29"/>
      <c r="L1086" s="29"/>
      <c r="M1086" s="29"/>
      <c r="N1086" s="29"/>
      <c r="O1086" s="29"/>
      <c r="P1086" s="29"/>
      <c r="Q1086" s="29"/>
      <c r="R1086" s="29"/>
      <c r="S1086" s="29"/>
      <c r="T1086" s="29"/>
      <c r="U1086" s="29"/>
      <c r="V1086" s="29"/>
      <c r="W1086" s="29"/>
      <c r="X1086" s="29"/>
      <c r="Y1086" s="29"/>
      <c r="Z1086" s="29"/>
      <c r="AA1086" s="29"/>
      <c r="AB1086" s="29"/>
      <c r="AC1086" s="29"/>
      <c r="AD1086" s="29"/>
      <c r="AE1086" s="29"/>
      <c r="AJ1086"/>
      <c r="AK1086"/>
      <c r="AL1086"/>
      <c r="AM1086"/>
      <c r="AN1086"/>
      <c r="AO1086"/>
      <c r="AP1086"/>
      <c r="AQ1086"/>
      <c r="AR1086"/>
      <c r="AS1086"/>
      <c r="AT1086" s="4" t="str">
        <f t="shared" si="117"/>
        <v>日常费用差旅费</v>
      </c>
      <c r="AU1086" s="4" t="str">
        <f t="shared" si="113"/>
        <v>金融市场及同业部</v>
      </c>
      <c r="AV1086" s="4" t="str">
        <f t="shared" si="114"/>
        <v>日常费用</v>
      </c>
      <c r="AW1086" s="4" t="str">
        <f>IFERROR(VLOOKUP(AV1086,[1]字段!A:B,2,0),"")</f>
        <v>日常费用</v>
      </c>
      <c r="AX1086" s="30" t="str">
        <f>IF(AW1086="人力费用",IF(E1086="","",VLOOKUP(E1086,[1]字段!D:E,2,0)),AW1086)</f>
        <v>日常费用</v>
      </c>
      <c r="AY1086" s="30" t="str">
        <f>IF(AT1086="","",VLOOKUP(AT1086,[1]字段!H:I,2,0))</f>
        <v>日常费用-其他</v>
      </c>
      <c r="AZ1086" s="31">
        <f t="shared" si="118"/>
        <v>0</v>
      </c>
      <c r="BA1086" s="31">
        <f t="shared" si="115"/>
        <v>0</v>
      </c>
      <c r="BB1086" s="31">
        <f t="shared" si="116"/>
        <v>0</v>
      </c>
      <c r="BC1086" s="31">
        <f t="shared" si="119"/>
        <v>0</v>
      </c>
    </row>
    <row r="1087" spans="1:55" ht="28.5" customHeight="1">
      <c r="A1087" s="25"/>
      <c r="B1087" s="26" t="s">
        <v>209</v>
      </c>
      <c r="C1087" s="27"/>
      <c r="D1087" s="27"/>
      <c r="E1087" s="27"/>
      <c r="F1087" s="28"/>
      <c r="G1087" s="29"/>
      <c r="H1087" s="29"/>
      <c r="I1087" s="29"/>
      <c r="J1087" s="29"/>
      <c r="K1087" s="29"/>
      <c r="L1087" s="29"/>
      <c r="M1087" s="29"/>
      <c r="N1087" s="29"/>
      <c r="O1087" s="29"/>
      <c r="P1087" s="29"/>
      <c r="Q1087" s="29"/>
      <c r="R1087" s="29"/>
      <c r="S1087" s="29"/>
      <c r="T1087" s="29"/>
      <c r="U1087" s="29"/>
      <c r="V1087" s="29"/>
      <c r="W1087" s="29"/>
      <c r="X1087" s="29"/>
      <c r="Y1087" s="29"/>
      <c r="Z1087" s="29"/>
      <c r="AA1087" s="29"/>
      <c r="AB1087" s="29"/>
      <c r="AC1087" s="29"/>
      <c r="AD1087" s="29"/>
      <c r="AE1087" s="29"/>
      <c r="AJ1087"/>
      <c r="AK1087"/>
      <c r="AL1087"/>
      <c r="AM1087"/>
      <c r="AN1087"/>
      <c r="AO1087"/>
      <c r="AP1087"/>
      <c r="AQ1087"/>
      <c r="AR1087"/>
      <c r="AS1087"/>
      <c r="AT1087" s="4" t="str">
        <f t="shared" si="117"/>
        <v/>
      </c>
      <c r="AU1087" s="4" t="str">
        <f t="shared" si="113"/>
        <v>科技业务</v>
      </c>
      <c r="AV1087" s="4" t="str">
        <f t="shared" si="114"/>
        <v/>
      </c>
      <c r="AW1087" s="4" t="str">
        <f>IFERROR(VLOOKUP(AV1087,[1]字段!A:B,2,0),"")</f>
        <v/>
      </c>
      <c r="AX1087" s="30" t="str">
        <f>IF(AW1087="人力费用",IF(E1087="","",VLOOKUP(E1087,[1]字段!D:E,2,0)),AW1087)</f>
        <v/>
      </c>
      <c r="AY1087" s="30" t="str">
        <f>IF(AT1087="","",VLOOKUP(AT1087,[1]字段!H:I,2,0))</f>
        <v/>
      </c>
      <c r="AZ1087" s="31">
        <f t="shared" si="118"/>
        <v>0</v>
      </c>
      <c r="BA1087" s="31">
        <f t="shared" si="115"/>
        <v>0</v>
      </c>
      <c r="BB1087" s="31">
        <f t="shared" si="116"/>
        <v>0</v>
      </c>
      <c r="BC1087" s="31">
        <f t="shared" si="119"/>
        <v>0</v>
      </c>
    </row>
    <row r="1088" spans="1:55" ht="28.5" customHeight="1">
      <c r="A1088" s="32"/>
      <c r="B1088" s="32"/>
      <c r="C1088" s="33" t="s">
        <v>210</v>
      </c>
      <c r="D1088" s="34" t="s">
        <v>211</v>
      </c>
      <c r="E1088" s="35"/>
      <c r="F1088" s="36"/>
      <c r="G1088" s="29"/>
      <c r="H1088" s="29"/>
      <c r="I1088" s="29"/>
      <c r="J1088" s="29"/>
      <c r="K1088" s="29"/>
      <c r="L1088" s="29"/>
      <c r="M1088" s="29"/>
      <c r="N1088" s="29"/>
      <c r="O1088" s="29"/>
      <c r="P1088" s="29"/>
      <c r="Q1088" s="29"/>
      <c r="R1088" s="29"/>
      <c r="S1088" s="29"/>
      <c r="T1088" s="29"/>
      <c r="U1088" s="29"/>
      <c r="V1088" s="29"/>
      <c r="W1088" s="29"/>
      <c r="X1088" s="29"/>
      <c r="Y1088" s="29"/>
      <c r="Z1088" s="29"/>
      <c r="AA1088" s="29"/>
      <c r="AB1088" s="29"/>
      <c r="AC1088" s="29"/>
      <c r="AD1088" s="29"/>
      <c r="AE1088" s="29"/>
      <c r="AJ1088"/>
      <c r="AK1088"/>
      <c r="AL1088"/>
      <c r="AM1088"/>
      <c r="AN1088"/>
      <c r="AO1088"/>
      <c r="AP1088"/>
      <c r="AQ1088"/>
      <c r="AR1088"/>
      <c r="AS1088"/>
      <c r="AT1088" s="4" t="str">
        <f t="shared" si="117"/>
        <v/>
      </c>
      <c r="AU1088" s="4" t="str">
        <f t="shared" si="113"/>
        <v>科技业务</v>
      </c>
      <c r="AV1088" s="4" t="str">
        <f t="shared" si="114"/>
        <v>IT人力费用</v>
      </c>
      <c r="AW1088" s="4" t="str">
        <f>IFERROR(VLOOKUP(AV1088,[1]字段!A:B,2,0),"")</f>
        <v>人力费用</v>
      </c>
      <c r="AX1088" s="30" t="str">
        <f>IF(AW1088="人力费用",IF(E1088="","",VLOOKUP(E1088,[1]字段!D:E,2,0)),AW1088)</f>
        <v/>
      </c>
      <c r="AY1088" s="30" t="str">
        <f>IF(AT1088="","",VLOOKUP(AT1088,[1]字段!H:I,2,0))</f>
        <v/>
      </c>
      <c r="AZ1088" s="31">
        <f t="shared" si="118"/>
        <v>0</v>
      </c>
      <c r="BA1088" s="31">
        <f t="shared" si="115"/>
        <v>0</v>
      </c>
      <c r="BB1088" s="31">
        <f t="shared" si="116"/>
        <v>0</v>
      </c>
      <c r="BC1088" s="31">
        <f t="shared" si="119"/>
        <v>0</v>
      </c>
    </row>
    <row r="1089" spans="1:55" ht="28.5" customHeight="1">
      <c r="A1089" s="32"/>
      <c r="B1089" s="32"/>
      <c r="C1089" s="37"/>
      <c r="D1089" s="38"/>
      <c r="E1089" s="39" t="s">
        <v>41</v>
      </c>
      <c r="F1089" s="39" t="s">
        <v>42</v>
      </c>
      <c r="G1089" s="29"/>
      <c r="H1089" s="29"/>
      <c r="I1089" s="29"/>
      <c r="J1089" s="29"/>
      <c r="K1089" s="29"/>
      <c r="L1089" s="29"/>
      <c r="M1089" s="29"/>
      <c r="N1089" s="29"/>
      <c r="O1089" s="29"/>
      <c r="P1089" s="29"/>
      <c r="Q1089" s="29"/>
      <c r="R1089" s="29"/>
      <c r="S1089" s="29"/>
      <c r="T1089" s="29"/>
      <c r="U1089" s="29"/>
      <c r="V1089" s="29"/>
      <c r="W1089" s="29"/>
      <c r="X1089" s="29"/>
      <c r="Y1089" s="29"/>
      <c r="Z1089" s="29"/>
      <c r="AA1089" s="29"/>
      <c r="AB1089" s="29"/>
      <c r="AC1089" s="29"/>
      <c r="AD1089" s="29"/>
      <c r="AE1089" s="29"/>
      <c r="AJ1089"/>
      <c r="AK1089"/>
      <c r="AL1089"/>
      <c r="AM1089"/>
      <c r="AN1089"/>
      <c r="AO1089"/>
      <c r="AP1089"/>
      <c r="AQ1089"/>
      <c r="AR1089"/>
      <c r="AS1089"/>
      <c r="AT1089" s="4" t="str">
        <f t="shared" si="117"/>
        <v>1.0倍人力基础工资</v>
      </c>
      <c r="AU1089" s="4" t="str">
        <f t="shared" si="113"/>
        <v>科技业务</v>
      </c>
      <c r="AV1089" s="4" t="str">
        <f t="shared" si="114"/>
        <v>IT人力费用</v>
      </c>
      <c r="AW1089" s="4" t="str">
        <f>IFERROR(VLOOKUP(AV1089,[1]字段!A:B,2,0),"")</f>
        <v>人力费用</v>
      </c>
      <c r="AX1089" s="30" t="str">
        <f>IF(AW1089="人力费用",IF(E1089="","",VLOOKUP(E1089,[1]字段!D:E,2,0)),AW1089)</f>
        <v>1.0倍人力</v>
      </c>
      <c r="AY1089" s="30" t="str">
        <f>IF(AT1089="","",VLOOKUP(AT1089,[1]字段!H:I,2,0))</f>
        <v>1.0倍人力</v>
      </c>
      <c r="AZ1089" s="31">
        <f t="shared" si="118"/>
        <v>0</v>
      </c>
      <c r="BA1089" s="31">
        <f t="shared" si="115"/>
        <v>0</v>
      </c>
      <c r="BB1089" s="31">
        <f t="shared" si="116"/>
        <v>0</v>
      </c>
      <c r="BC1089" s="31">
        <f t="shared" si="119"/>
        <v>0</v>
      </c>
    </row>
    <row r="1090" spans="1:55" ht="28.5" customHeight="1">
      <c r="A1090" s="32"/>
      <c r="B1090" s="32"/>
      <c r="C1090" s="32"/>
      <c r="D1090" s="40"/>
      <c r="E1090" s="39">
        <v>5501010602</v>
      </c>
      <c r="F1090" s="39" t="s">
        <v>212</v>
      </c>
      <c r="G1090" s="29"/>
      <c r="H1090" s="29"/>
      <c r="I1090" s="29"/>
      <c r="J1090" s="29"/>
      <c r="K1090" s="29"/>
      <c r="L1090" s="29"/>
      <c r="M1090" s="29"/>
      <c r="N1090" s="29"/>
      <c r="O1090" s="29"/>
      <c r="P1090" s="29"/>
      <c r="Q1090" s="29"/>
      <c r="R1090" s="29"/>
      <c r="S1090" s="29"/>
      <c r="T1090" s="29"/>
      <c r="U1090" s="29"/>
      <c r="V1090" s="29"/>
      <c r="W1090" s="29"/>
      <c r="X1090" s="29"/>
      <c r="Y1090" s="29"/>
      <c r="Z1090" s="29"/>
      <c r="AA1090" s="29"/>
      <c r="AB1090" s="29"/>
      <c r="AC1090" s="29"/>
      <c r="AD1090" s="29"/>
      <c r="AE1090" s="29"/>
      <c r="AJ1090"/>
      <c r="AK1090"/>
      <c r="AL1090"/>
      <c r="AM1090"/>
      <c r="AN1090"/>
      <c r="AO1090"/>
      <c r="AP1090"/>
      <c r="AQ1090"/>
      <c r="AR1090"/>
      <c r="AS1090"/>
      <c r="AT1090" s="4" t="str">
        <f t="shared" si="117"/>
        <v>利润分享利润分享</v>
      </c>
      <c r="AU1090" s="4" t="str">
        <f t="shared" si="113"/>
        <v>科技业务</v>
      </c>
      <c r="AV1090" s="4" t="str">
        <f t="shared" si="114"/>
        <v>IT人力费用</v>
      </c>
      <c r="AW1090" s="4" t="str">
        <f>IFERROR(VLOOKUP(AV1090,[1]字段!A:B,2,0),"")</f>
        <v>人力费用</v>
      </c>
      <c r="AX1090" s="30" t="str">
        <f>IF(AW1090="人力费用",IF(E1090="","",VLOOKUP(E1090,[1]字段!D:E,2,0)),AW1090)</f>
        <v>利润分享</v>
      </c>
      <c r="AY1090" s="30" t="str">
        <f>IF(AT1090="","",VLOOKUP(AT1090,[1]字段!H:I,2,0))</f>
        <v>利润分享</v>
      </c>
      <c r="AZ1090" s="31">
        <f t="shared" si="118"/>
        <v>0</v>
      </c>
      <c r="BA1090" s="31">
        <f t="shared" si="115"/>
        <v>0</v>
      </c>
      <c r="BB1090" s="31">
        <f t="shared" si="116"/>
        <v>0</v>
      </c>
      <c r="BC1090" s="31">
        <f t="shared" si="119"/>
        <v>0</v>
      </c>
    </row>
    <row r="1091" spans="1:55" ht="28.5" customHeight="1">
      <c r="A1091" s="32"/>
      <c r="B1091" s="32"/>
      <c r="C1091" s="32"/>
      <c r="D1091" s="40"/>
      <c r="E1091" s="39">
        <v>5501010603</v>
      </c>
      <c r="F1091" s="39" t="s">
        <v>213</v>
      </c>
      <c r="G1091" s="29"/>
      <c r="H1091" s="29"/>
      <c r="I1091" s="29"/>
      <c r="J1091" s="29"/>
      <c r="K1091" s="29"/>
      <c r="L1091" s="29"/>
      <c r="M1091" s="29"/>
      <c r="N1091" s="29"/>
      <c r="O1091" s="29"/>
      <c r="P1091" s="29"/>
      <c r="Q1091" s="29"/>
      <c r="R1091" s="29"/>
      <c r="S1091" s="29"/>
      <c r="T1091" s="29"/>
      <c r="U1091" s="29"/>
      <c r="V1091" s="29"/>
      <c r="W1091" s="29"/>
      <c r="X1091" s="29"/>
      <c r="Y1091" s="29"/>
      <c r="Z1091" s="29"/>
      <c r="AA1091" s="29"/>
      <c r="AB1091" s="29"/>
      <c r="AC1091" s="29"/>
      <c r="AD1091" s="29"/>
      <c r="AE1091" s="29"/>
      <c r="AJ1091"/>
      <c r="AK1091"/>
      <c r="AL1091"/>
      <c r="AM1091"/>
      <c r="AN1091"/>
      <c r="AO1091"/>
      <c r="AP1091"/>
      <c r="AQ1091"/>
      <c r="AR1091"/>
      <c r="AS1091"/>
      <c r="AT1091" s="4" t="str">
        <f t="shared" si="117"/>
        <v>留任奖励特别奖金</v>
      </c>
      <c r="AU1091" s="4" t="str">
        <f t="shared" si="113"/>
        <v>科技业务</v>
      </c>
      <c r="AV1091" s="4" t="str">
        <f t="shared" si="114"/>
        <v>IT人力费用</v>
      </c>
      <c r="AW1091" s="4" t="str">
        <f>IFERROR(VLOOKUP(AV1091,[1]字段!A:B,2,0),"")</f>
        <v>人力费用</v>
      </c>
      <c r="AX1091" s="30" t="str">
        <f>IF(AW1091="人力费用",IF(E1091="","",VLOOKUP(E1091,[1]字段!D:E,2,0)),AW1091)</f>
        <v>留任奖励</v>
      </c>
      <c r="AY1091" s="30" t="str">
        <f>IF(AT1091="","",VLOOKUP(AT1091,[1]字段!H:I,2,0))</f>
        <v>留任奖励</v>
      </c>
      <c r="AZ1091" s="31">
        <f t="shared" si="118"/>
        <v>0</v>
      </c>
      <c r="BA1091" s="31">
        <f t="shared" si="115"/>
        <v>0</v>
      </c>
      <c r="BB1091" s="31">
        <f t="shared" si="116"/>
        <v>0</v>
      </c>
      <c r="BC1091" s="31">
        <f t="shared" si="119"/>
        <v>0</v>
      </c>
    </row>
    <row r="1092" spans="1:55" ht="28.5" customHeight="1">
      <c r="A1092" s="32"/>
      <c r="B1092" s="32"/>
      <c r="C1092" s="32"/>
      <c r="D1092" s="40"/>
      <c r="E1092" s="39">
        <v>5501010604</v>
      </c>
      <c r="F1092" s="39" t="s">
        <v>214</v>
      </c>
      <c r="G1092" s="29"/>
      <c r="H1092" s="29"/>
      <c r="I1092" s="29"/>
      <c r="J1092" s="29"/>
      <c r="K1092" s="29"/>
      <c r="L1092" s="29"/>
      <c r="M1092" s="29"/>
      <c r="N1092" s="29"/>
      <c r="O1092" s="29"/>
      <c r="P1092" s="29"/>
      <c r="Q1092" s="29"/>
      <c r="R1092" s="29"/>
      <c r="S1092" s="29"/>
      <c r="T1092" s="29"/>
      <c r="U1092" s="29"/>
      <c r="V1092" s="29"/>
      <c r="W1092" s="29"/>
      <c r="X1092" s="29"/>
      <c r="Y1092" s="29"/>
      <c r="Z1092" s="29"/>
      <c r="AA1092" s="29"/>
      <c r="AB1092" s="29"/>
      <c r="AC1092" s="29"/>
      <c r="AD1092" s="29"/>
      <c r="AE1092" s="29"/>
      <c r="AJ1092"/>
      <c r="AK1092"/>
      <c r="AL1092"/>
      <c r="AM1092"/>
      <c r="AN1092"/>
      <c r="AO1092"/>
      <c r="AP1092"/>
      <c r="AQ1092"/>
      <c r="AR1092"/>
      <c r="AS1092"/>
      <c r="AT1092" s="4" t="str">
        <f t="shared" si="117"/>
        <v>1.0倍人力专项奖金</v>
      </c>
      <c r="AU1092" s="4" t="str">
        <f t="shared" si="113"/>
        <v>科技业务</v>
      </c>
      <c r="AV1092" s="4" t="str">
        <f t="shared" si="114"/>
        <v>IT人力费用</v>
      </c>
      <c r="AW1092" s="4" t="str">
        <f>IFERROR(VLOOKUP(AV1092,[1]字段!A:B,2,0),"")</f>
        <v>人力费用</v>
      </c>
      <c r="AX1092" s="30" t="str">
        <f>IF(AW1092="人力费用",IF(E1092="","",VLOOKUP(E1092,[1]字段!D:E,2,0)),AW1092)</f>
        <v>1.0倍人力</v>
      </c>
      <c r="AY1092" s="30" t="str">
        <f>IF(AT1092="","",VLOOKUP(AT1092,[1]字段!H:I,2,0))</f>
        <v>1.0倍人力</v>
      </c>
      <c r="AZ1092" s="31">
        <f t="shared" si="118"/>
        <v>0</v>
      </c>
      <c r="BA1092" s="31">
        <f t="shared" si="115"/>
        <v>0</v>
      </c>
      <c r="BB1092" s="31">
        <f t="shared" si="116"/>
        <v>0</v>
      </c>
      <c r="BC1092" s="31">
        <f t="shared" si="119"/>
        <v>0</v>
      </c>
    </row>
    <row r="1093" spans="1:55" ht="28.5" customHeight="1">
      <c r="A1093" s="32"/>
      <c r="B1093" s="32"/>
      <c r="C1093" s="32"/>
      <c r="D1093" s="40"/>
      <c r="E1093" s="39" t="s">
        <v>43</v>
      </c>
      <c r="F1093" s="39" t="s">
        <v>44</v>
      </c>
      <c r="G1093" s="29"/>
      <c r="H1093" s="29"/>
      <c r="I1093" s="29"/>
      <c r="J1093" s="29"/>
      <c r="K1093" s="29"/>
      <c r="L1093" s="29"/>
      <c r="M1093" s="29"/>
      <c r="N1093" s="29"/>
      <c r="O1093" s="29"/>
      <c r="P1093" s="29"/>
      <c r="Q1093" s="29"/>
      <c r="R1093" s="29"/>
      <c r="S1093" s="29"/>
      <c r="T1093" s="29"/>
      <c r="U1093" s="29"/>
      <c r="V1093" s="29"/>
      <c r="W1093" s="29"/>
      <c r="X1093" s="29"/>
      <c r="Y1093" s="29"/>
      <c r="Z1093" s="29"/>
      <c r="AA1093" s="29"/>
      <c r="AB1093" s="29"/>
      <c r="AC1093" s="29"/>
      <c r="AD1093" s="29"/>
      <c r="AE1093" s="29"/>
      <c r="AJ1093"/>
      <c r="AK1093"/>
      <c r="AL1093"/>
      <c r="AM1093"/>
      <c r="AN1093"/>
      <c r="AO1093"/>
      <c r="AP1093"/>
      <c r="AQ1093"/>
      <c r="AR1093"/>
      <c r="AS1093"/>
      <c r="AT1093" s="4" t="str">
        <f t="shared" si="117"/>
        <v>1.0倍人力团队建设费</v>
      </c>
      <c r="AU1093" s="4" t="str">
        <f t="shared" ref="AU1093:AU1156" si="120">IF(B1093="",AU1092,B1093)</f>
        <v>科技业务</v>
      </c>
      <c r="AV1093" s="4" t="str">
        <f t="shared" ref="AV1093:AV1156" si="121">IF(B1093&lt;&gt;"","",IF(D1093="",AV1092,D1093))</f>
        <v>IT人力费用</v>
      </c>
      <c r="AW1093" s="4" t="str">
        <f>IFERROR(VLOOKUP(AV1093,[1]字段!A:B,2,0),"")</f>
        <v>人力费用</v>
      </c>
      <c r="AX1093" s="30" t="str">
        <f>IF(AW1093="人力费用",IF(E1093="","",VLOOKUP(E1093,[1]字段!D:E,2,0)),AW1093)</f>
        <v>1.0倍人力</v>
      </c>
      <c r="AY1093" s="30" t="str">
        <f>IF(AT1093="","",VLOOKUP(AT1093,[1]字段!H:I,2,0))</f>
        <v>1.0倍人力</v>
      </c>
      <c r="AZ1093" s="31">
        <f t="shared" si="118"/>
        <v>0</v>
      </c>
      <c r="BA1093" s="31">
        <f t="shared" ref="BA1093:BA1156" si="122">IF($E1093="",0,SUMIF($G$1:$AE$1,BA$4,$G1093:$AE1093))</f>
        <v>0</v>
      </c>
      <c r="BB1093" s="31">
        <f t="shared" ref="BB1093:BB1156" si="123">AZ1093+BA1093</f>
        <v>0</v>
      </c>
      <c r="BC1093" s="31">
        <f t="shared" si="119"/>
        <v>0</v>
      </c>
    </row>
    <row r="1094" spans="1:55" ht="28.5" customHeight="1">
      <c r="A1094" s="32"/>
      <c r="B1094" s="32"/>
      <c r="C1094" s="32"/>
      <c r="D1094" s="40"/>
      <c r="E1094" s="39" t="s">
        <v>45</v>
      </c>
      <c r="F1094" s="39" t="s">
        <v>46</v>
      </c>
      <c r="G1094" s="29"/>
      <c r="H1094" s="29"/>
      <c r="I1094" s="29"/>
      <c r="J1094" s="29"/>
      <c r="K1094" s="29"/>
      <c r="L1094" s="29"/>
      <c r="M1094" s="29"/>
      <c r="N1094" s="29"/>
      <c r="O1094" s="29"/>
      <c r="P1094" s="29"/>
      <c r="Q1094" s="29"/>
      <c r="R1094" s="29"/>
      <c r="S1094" s="29"/>
      <c r="T1094" s="29"/>
      <c r="U1094" s="29"/>
      <c r="V1094" s="29"/>
      <c r="W1094" s="29"/>
      <c r="X1094" s="29"/>
      <c r="Y1094" s="29"/>
      <c r="Z1094" s="29"/>
      <c r="AA1094" s="29"/>
      <c r="AB1094" s="29"/>
      <c r="AC1094" s="29"/>
      <c r="AD1094" s="29"/>
      <c r="AE1094" s="29"/>
      <c r="AJ1094"/>
      <c r="AK1094"/>
      <c r="AL1094"/>
      <c r="AM1094"/>
      <c r="AN1094"/>
      <c r="AO1094"/>
      <c r="AP1094"/>
      <c r="AQ1094"/>
      <c r="AR1094"/>
      <c r="AS1094"/>
      <c r="AT1094" s="4" t="str">
        <f t="shared" ref="AT1094:AT1157" si="124">AX1094&amp;F1094</f>
        <v>1.0倍人力其他职工福利费</v>
      </c>
      <c r="AU1094" s="4" t="str">
        <f t="shared" si="120"/>
        <v>科技业务</v>
      </c>
      <c r="AV1094" s="4" t="str">
        <f t="shared" si="121"/>
        <v>IT人力费用</v>
      </c>
      <c r="AW1094" s="4" t="str">
        <f>IFERROR(VLOOKUP(AV1094,[1]字段!A:B,2,0),"")</f>
        <v>人力费用</v>
      </c>
      <c r="AX1094" s="30" t="str">
        <f>IF(AW1094="人力费用",IF(E1094="","",VLOOKUP(E1094,[1]字段!D:E,2,0)),AW1094)</f>
        <v>1.0倍人力</v>
      </c>
      <c r="AY1094" s="30" t="str">
        <f>IF(AT1094="","",VLOOKUP(AT1094,[1]字段!H:I,2,0))</f>
        <v>1.0倍人力</v>
      </c>
      <c r="AZ1094" s="31">
        <f t="shared" ref="AZ1094:AZ1157" si="125">IF($E1094="",0,SUMIF($G$1:$AB$1,AZ$4,$G1094:$AB1094))</f>
        <v>0</v>
      </c>
      <c r="BA1094" s="31">
        <f t="shared" si="122"/>
        <v>0</v>
      </c>
      <c r="BB1094" s="31">
        <f t="shared" si="123"/>
        <v>0</v>
      </c>
      <c r="BC1094" s="31">
        <f t="shared" ref="BC1094:BC1157" si="126">IF(E1094="",0,SUM(G1094:AE1094)-AZ1094-BA1094)</f>
        <v>0</v>
      </c>
    </row>
    <row r="1095" spans="1:55" ht="28.5" customHeight="1">
      <c r="A1095" s="32"/>
      <c r="B1095" s="32"/>
      <c r="C1095" s="32"/>
      <c r="D1095" s="40"/>
      <c r="E1095" s="39" t="s">
        <v>47</v>
      </c>
      <c r="F1095" s="39" t="s">
        <v>48</v>
      </c>
      <c r="G1095" s="29"/>
      <c r="H1095" s="29"/>
      <c r="I1095" s="29"/>
      <c r="J1095" s="29"/>
      <c r="K1095" s="29"/>
      <c r="L1095" s="29"/>
      <c r="M1095" s="29"/>
      <c r="N1095" s="29"/>
      <c r="O1095" s="29"/>
      <c r="P1095" s="29"/>
      <c r="Q1095" s="29"/>
      <c r="R1095" s="29"/>
      <c r="S1095" s="29"/>
      <c r="T1095" s="29"/>
      <c r="U1095" s="29"/>
      <c r="V1095" s="29"/>
      <c r="W1095" s="29"/>
      <c r="X1095" s="29"/>
      <c r="Y1095" s="29"/>
      <c r="Z1095" s="29"/>
      <c r="AA1095" s="29"/>
      <c r="AB1095" s="29"/>
      <c r="AC1095" s="29"/>
      <c r="AD1095" s="29"/>
      <c r="AE1095" s="29"/>
      <c r="AJ1095"/>
      <c r="AK1095"/>
      <c r="AL1095"/>
      <c r="AM1095"/>
      <c r="AN1095"/>
      <c r="AO1095"/>
      <c r="AP1095"/>
      <c r="AQ1095"/>
      <c r="AR1095"/>
      <c r="AS1095"/>
      <c r="AT1095" s="4" t="str">
        <f t="shared" si="124"/>
        <v>1.0倍人力工会经费</v>
      </c>
      <c r="AU1095" s="4" t="str">
        <f t="shared" si="120"/>
        <v>科技业务</v>
      </c>
      <c r="AV1095" s="4" t="str">
        <f t="shared" si="121"/>
        <v>IT人力费用</v>
      </c>
      <c r="AW1095" s="4" t="str">
        <f>IFERROR(VLOOKUP(AV1095,[1]字段!A:B,2,0),"")</f>
        <v>人力费用</v>
      </c>
      <c r="AX1095" s="30" t="str">
        <f>IF(AW1095="人力费用",IF(E1095="","",VLOOKUP(E1095,[1]字段!D:E,2,0)),AW1095)</f>
        <v>1.0倍人力</v>
      </c>
      <c r="AY1095" s="30" t="str">
        <f>IF(AT1095="","",VLOOKUP(AT1095,[1]字段!H:I,2,0))</f>
        <v>1.0倍人力</v>
      </c>
      <c r="AZ1095" s="31">
        <f t="shared" si="125"/>
        <v>0</v>
      </c>
      <c r="BA1095" s="31">
        <f t="shared" si="122"/>
        <v>0</v>
      </c>
      <c r="BB1095" s="31">
        <f t="shared" si="123"/>
        <v>0</v>
      </c>
      <c r="BC1095" s="31">
        <f t="shared" si="126"/>
        <v>0</v>
      </c>
    </row>
    <row r="1096" spans="1:55" ht="28.5" customHeight="1">
      <c r="A1096" s="32"/>
      <c r="B1096" s="32"/>
      <c r="C1096" s="32"/>
      <c r="D1096" s="40"/>
      <c r="E1096" s="39" t="s">
        <v>49</v>
      </c>
      <c r="F1096" s="39" t="s">
        <v>50</v>
      </c>
      <c r="G1096" s="29"/>
      <c r="H1096" s="29"/>
      <c r="I1096" s="29"/>
      <c r="J1096" s="29"/>
      <c r="K1096" s="29"/>
      <c r="L1096" s="29"/>
      <c r="M1096" s="29"/>
      <c r="N1096" s="29"/>
      <c r="O1096" s="29"/>
      <c r="P1096" s="29"/>
      <c r="Q1096" s="29"/>
      <c r="R1096" s="29"/>
      <c r="S1096" s="29"/>
      <c r="T1096" s="29"/>
      <c r="U1096" s="29"/>
      <c r="V1096" s="29"/>
      <c r="W1096" s="29"/>
      <c r="X1096" s="29"/>
      <c r="Y1096" s="29"/>
      <c r="Z1096" s="29"/>
      <c r="AA1096" s="29"/>
      <c r="AB1096" s="29"/>
      <c r="AC1096" s="29"/>
      <c r="AD1096" s="29"/>
      <c r="AE1096" s="29"/>
      <c r="AJ1096"/>
      <c r="AK1096"/>
      <c r="AL1096"/>
      <c r="AM1096"/>
      <c r="AN1096"/>
      <c r="AO1096"/>
      <c r="AP1096"/>
      <c r="AQ1096"/>
      <c r="AR1096"/>
      <c r="AS1096"/>
      <c r="AT1096" s="4" t="str">
        <f t="shared" si="124"/>
        <v>1.0倍人力基本养老保险</v>
      </c>
      <c r="AU1096" s="4" t="str">
        <f t="shared" si="120"/>
        <v>科技业务</v>
      </c>
      <c r="AV1096" s="4" t="str">
        <f t="shared" si="121"/>
        <v>IT人力费用</v>
      </c>
      <c r="AW1096" s="4" t="str">
        <f>IFERROR(VLOOKUP(AV1096,[1]字段!A:B,2,0),"")</f>
        <v>人力费用</v>
      </c>
      <c r="AX1096" s="30" t="str">
        <f>IF(AW1096="人力费用",IF(E1096="","",VLOOKUP(E1096,[1]字段!D:E,2,0)),AW1096)</f>
        <v>1.0倍人力</v>
      </c>
      <c r="AY1096" s="30" t="str">
        <f>IF(AT1096="","",VLOOKUP(AT1096,[1]字段!H:I,2,0))</f>
        <v>1.0倍人力</v>
      </c>
      <c r="AZ1096" s="31">
        <f t="shared" si="125"/>
        <v>0</v>
      </c>
      <c r="BA1096" s="31">
        <f t="shared" si="122"/>
        <v>0</v>
      </c>
      <c r="BB1096" s="31">
        <f t="shared" si="123"/>
        <v>0</v>
      </c>
      <c r="BC1096" s="31">
        <f t="shared" si="126"/>
        <v>0</v>
      </c>
    </row>
    <row r="1097" spans="1:55" ht="28.5" customHeight="1">
      <c r="A1097" s="32"/>
      <c r="B1097" s="32"/>
      <c r="C1097" s="32"/>
      <c r="D1097" s="40"/>
      <c r="E1097" s="39" t="s">
        <v>51</v>
      </c>
      <c r="F1097" s="39" t="s">
        <v>52</v>
      </c>
      <c r="G1097" s="29"/>
      <c r="H1097" s="29"/>
      <c r="I1097" s="29"/>
      <c r="J1097" s="29"/>
      <c r="K1097" s="29"/>
      <c r="L1097" s="29"/>
      <c r="M1097" s="29"/>
      <c r="N1097" s="29"/>
      <c r="O1097" s="29"/>
      <c r="P1097" s="29"/>
      <c r="Q1097" s="29"/>
      <c r="R1097" s="29"/>
      <c r="S1097" s="29"/>
      <c r="T1097" s="29"/>
      <c r="U1097" s="29"/>
      <c r="V1097" s="29"/>
      <c r="W1097" s="29"/>
      <c r="X1097" s="29"/>
      <c r="Y1097" s="29"/>
      <c r="Z1097" s="29"/>
      <c r="AA1097" s="29"/>
      <c r="AB1097" s="29"/>
      <c r="AC1097" s="29"/>
      <c r="AD1097" s="29"/>
      <c r="AE1097" s="29"/>
      <c r="AJ1097"/>
      <c r="AK1097"/>
      <c r="AL1097"/>
      <c r="AM1097"/>
      <c r="AN1097"/>
      <c r="AO1097"/>
      <c r="AP1097"/>
      <c r="AQ1097"/>
      <c r="AR1097"/>
      <c r="AS1097"/>
      <c r="AT1097" s="4" t="str">
        <f t="shared" si="124"/>
        <v>1.0倍人力基本医疗保险</v>
      </c>
      <c r="AU1097" s="4" t="str">
        <f t="shared" si="120"/>
        <v>科技业务</v>
      </c>
      <c r="AV1097" s="4" t="str">
        <f>IF(B1097&lt;&gt;"","",IF(D1097="",AV1096,D1097))</f>
        <v>IT人力费用</v>
      </c>
      <c r="AW1097" s="4" t="str">
        <f>IFERROR(VLOOKUP(AV1097,[1]字段!A:B,2,0),"")</f>
        <v>人力费用</v>
      </c>
      <c r="AX1097" s="30" t="str">
        <f>IF(AW1097="人力费用",IF(E1097="","",VLOOKUP(E1097,[1]字段!D:E,2,0)),AW1097)</f>
        <v>1.0倍人力</v>
      </c>
      <c r="AY1097" s="30" t="str">
        <f>IF(AT1097="","",VLOOKUP(AT1097,[1]字段!H:I,2,0))</f>
        <v>1.0倍人力</v>
      </c>
      <c r="AZ1097" s="31">
        <f t="shared" si="125"/>
        <v>0</v>
      </c>
      <c r="BA1097" s="31">
        <f t="shared" si="122"/>
        <v>0</v>
      </c>
      <c r="BB1097" s="31">
        <f t="shared" si="123"/>
        <v>0</v>
      </c>
      <c r="BC1097" s="31">
        <f t="shared" si="126"/>
        <v>0</v>
      </c>
    </row>
    <row r="1098" spans="1:55" ht="28.5" customHeight="1">
      <c r="A1098" s="32"/>
      <c r="B1098" s="32"/>
      <c r="C1098" s="32"/>
      <c r="D1098" s="40"/>
      <c r="E1098" s="39" t="s">
        <v>53</v>
      </c>
      <c r="F1098" s="39" t="s">
        <v>54</v>
      </c>
      <c r="G1098" s="29"/>
      <c r="H1098" s="29"/>
      <c r="I1098" s="29"/>
      <c r="J1098" s="29"/>
      <c r="K1098" s="29"/>
      <c r="L1098" s="29"/>
      <c r="M1098" s="29"/>
      <c r="N1098" s="29"/>
      <c r="O1098" s="29"/>
      <c r="P1098" s="29"/>
      <c r="Q1098" s="29"/>
      <c r="R1098" s="29"/>
      <c r="S1098" s="29"/>
      <c r="T1098" s="29"/>
      <c r="U1098" s="29"/>
      <c r="V1098" s="29"/>
      <c r="W1098" s="29"/>
      <c r="X1098" s="29"/>
      <c r="Y1098" s="29"/>
      <c r="Z1098" s="29"/>
      <c r="AA1098" s="29"/>
      <c r="AB1098" s="29"/>
      <c r="AC1098" s="29"/>
      <c r="AD1098" s="29"/>
      <c r="AE1098" s="29"/>
      <c r="AJ1098"/>
      <c r="AK1098"/>
      <c r="AL1098"/>
      <c r="AM1098"/>
      <c r="AN1098"/>
      <c r="AO1098"/>
      <c r="AP1098"/>
      <c r="AQ1098"/>
      <c r="AR1098"/>
      <c r="AS1098"/>
      <c r="AT1098" s="4" t="str">
        <f t="shared" si="124"/>
        <v>1.0倍人力工伤保险</v>
      </c>
      <c r="AU1098" s="4" t="str">
        <f t="shared" si="120"/>
        <v>科技业务</v>
      </c>
      <c r="AV1098" s="4" t="str">
        <f t="shared" si="121"/>
        <v>IT人力费用</v>
      </c>
      <c r="AW1098" s="4" t="str">
        <f>IFERROR(VLOOKUP(AV1098,[1]字段!A:B,2,0),"")</f>
        <v>人力费用</v>
      </c>
      <c r="AX1098" s="30" t="str">
        <f>IF(AW1098="人力费用",IF(E1098="","",VLOOKUP(E1098,[1]字段!D:E,2,0)),AW1098)</f>
        <v>1.0倍人力</v>
      </c>
      <c r="AY1098" s="30" t="str">
        <f>IF(AT1098="","",VLOOKUP(AT1098,[1]字段!H:I,2,0))</f>
        <v>1.0倍人力</v>
      </c>
      <c r="AZ1098" s="31">
        <f t="shared" si="125"/>
        <v>0</v>
      </c>
      <c r="BA1098" s="31">
        <f t="shared" si="122"/>
        <v>0</v>
      </c>
      <c r="BB1098" s="31">
        <f t="shared" si="123"/>
        <v>0</v>
      </c>
      <c r="BC1098" s="31">
        <f t="shared" si="126"/>
        <v>0</v>
      </c>
    </row>
    <row r="1099" spans="1:55" ht="28.5" customHeight="1">
      <c r="A1099" s="32"/>
      <c r="B1099" s="32"/>
      <c r="C1099" s="32"/>
      <c r="D1099" s="40"/>
      <c r="E1099" s="39" t="s">
        <v>55</v>
      </c>
      <c r="F1099" s="39" t="s">
        <v>56</v>
      </c>
      <c r="G1099" s="29"/>
      <c r="H1099" s="29"/>
      <c r="I1099" s="29"/>
      <c r="J1099" s="29"/>
      <c r="K1099" s="29"/>
      <c r="L1099" s="29"/>
      <c r="M1099" s="29"/>
      <c r="N1099" s="29"/>
      <c r="O1099" s="29"/>
      <c r="P1099" s="29"/>
      <c r="Q1099" s="29"/>
      <c r="R1099" s="29"/>
      <c r="S1099" s="29"/>
      <c r="T1099" s="29"/>
      <c r="U1099" s="29"/>
      <c r="V1099" s="29"/>
      <c r="W1099" s="29"/>
      <c r="X1099" s="29"/>
      <c r="Y1099" s="29"/>
      <c r="Z1099" s="29"/>
      <c r="AA1099" s="29"/>
      <c r="AB1099" s="29"/>
      <c r="AC1099" s="29"/>
      <c r="AD1099" s="29"/>
      <c r="AE1099" s="29"/>
      <c r="AJ1099"/>
      <c r="AK1099"/>
      <c r="AL1099"/>
      <c r="AM1099"/>
      <c r="AN1099"/>
      <c r="AO1099"/>
      <c r="AP1099"/>
      <c r="AQ1099"/>
      <c r="AR1099"/>
      <c r="AS1099"/>
      <c r="AT1099" s="4" t="str">
        <f t="shared" si="124"/>
        <v>1.0倍人力生育保险</v>
      </c>
      <c r="AU1099" s="4" t="str">
        <f t="shared" si="120"/>
        <v>科技业务</v>
      </c>
      <c r="AV1099" s="4" t="str">
        <f t="shared" si="121"/>
        <v>IT人力费用</v>
      </c>
      <c r="AW1099" s="4" t="str">
        <f>IFERROR(VLOOKUP(AV1099,[1]字段!A:B,2,0),"")</f>
        <v>人力费用</v>
      </c>
      <c r="AX1099" s="30" t="str">
        <f>IF(AW1099="人力费用",IF(E1099="","",VLOOKUP(E1099,[1]字段!D:E,2,0)),AW1099)</f>
        <v>1.0倍人力</v>
      </c>
      <c r="AY1099" s="30" t="str">
        <f>IF(AT1099="","",VLOOKUP(AT1099,[1]字段!H:I,2,0))</f>
        <v>1.0倍人力</v>
      </c>
      <c r="AZ1099" s="31">
        <f t="shared" si="125"/>
        <v>0</v>
      </c>
      <c r="BA1099" s="31">
        <f t="shared" si="122"/>
        <v>0</v>
      </c>
      <c r="BB1099" s="31">
        <f t="shared" si="123"/>
        <v>0</v>
      </c>
      <c r="BC1099" s="31">
        <f t="shared" si="126"/>
        <v>0</v>
      </c>
    </row>
    <row r="1100" spans="1:55" ht="28.5" customHeight="1">
      <c r="A1100" s="32"/>
      <c r="B1100" s="32"/>
      <c r="C1100" s="32"/>
      <c r="D1100" s="40"/>
      <c r="E1100" s="39" t="s">
        <v>57</v>
      </c>
      <c r="F1100" s="39" t="s">
        <v>58</v>
      </c>
      <c r="G1100" s="29"/>
      <c r="H1100" s="29"/>
      <c r="I1100" s="29"/>
      <c r="J1100" s="29"/>
      <c r="K1100" s="29"/>
      <c r="L1100" s="29"/>
      <c r="M1100" s="29"/>
      <c r="N1100" s="29"/>
      <c r="O1100" s="29"/>
      <c r="P1100" s="29"/>
      <c r="Q1100" s="29"/>
      <c r="R1100" s="29"/>
      <c r="S1100" s="29"/>
      <c r="T1100" s="29"/>
      <c r="U1100" s="29"/>
      <c r="V1100" s="29"/>
      <c r="W1100" s="29"/>
      <c r="X1100" s="29"/>
      <c r="Y1100" s="29"/>
      <c r="Z1100" s="29"/>
      <c r="AA1100" s="29"/>
      <c r="AB1100" s="29"/>
      <c r="AC1100" s="29"/>
      <c r="AD1100" s="29"/>
      <c r="AE1100" s="29"/>
      <c r="AJ1100"/>
      <c r="AK1100"/>
      <c r="AL1100"/>
      <c r="AM1100"/>
      <c r="AN1100"/>
      <c r="AO1100"/>
      <c r="AP1100"/>
      <c r="AQ1100"/>
      <c r="AR1100"/>
      <c r="AS1100"/>
      <c r="AT1100" s="4" t="str">
        <f t="shared" si="124"/>
        <v>1.0倍人力失业保险</v>
      </c>
      <c r="AU1100" s="4" t="str">
        <f t="shared" si="120"/>
        <v>科技业务</v>
      </c>
      <c r="AV1100" s="4" t="str">
        <f t="shared" si="121"/>
        <v>IT人力费用</v>
      </c>
      <c r="AW1100" s="4" t="str">
        <f>IFERROR(VLOOKUP(AV1100,[1]字段!A:B,2,0),"")</f>
        <v>人力费用</v>
      </c>
      <c r="AX1100" s="30" t="str">
        <f>IF(AW1100="人力费用",IF(E1100="","",VLOOKUP(E1100,[1]字段!D:E,2,0)),AW1100)</f>
        <v>1.0倍人力</v>
      </c>
      <c r="AY1100" s="30" t="str">
        <f>IF(AT1100="","",VLOOKUP(AT1100,[1]字段!H:I,2,0))</f>
        <v>1.0倍人力</v>
      </c>
      <c r="AZ1100" s="31">
        <f t="shared" si="125"/>
        <v>0</v>
      </c>
      <c r="BA1100" s="31">
        <f t="shared" si="122"/>
        <v>0</v>
      </c>
      <c r="BB1100" s="31">
        <f t="shared" si="123"/>
        <v>0</v>
      </c>
      <c r="BC1100" s="31">
        <f t="shared" si="126"/>
        <v>0</v>
      </c>
    </row>
    <row r="1101" spans="1:55" ht="28.5" customHeight="1">
      <c r="A1101" s="32"/>
      <c r="B1101" s="32"/>
      <c r="C1101" s="41"/>
      <c r="D1101" s="42"/>
      <c r="E1101" s="39" t="s">
        <v>59</v>
      </c>
      <c r="F1101" s="39" t="s">
        <v>60</v>
      </c>
      <c r="G1101" s="29"/>
      <c r="H1101" s="29"/>
      <c r="I1101" s="29"/>
      <c r="J1101" s="29"/>
      <c r="K1101" s="29"/>
      <c r="L1101" s="29"/>
      <c r="M1101" s="29"/>
      <c r="N1101" s="29"/>
      <c r="O1101" s="29"/>
      <c r="P1101" s="29"/>
      <c r="Q1101" s="29"/>
      <c r="R1101" s="29"/>
      <c r="S1101" s="29"/>
      <c r="T1101" s="29"/>
      <c r="U1101" s="29"/>
      <c r="V1101" s="29"/>
      <c r="W1101" s="29"/>
      <c r="X1101" s="29"/>
      <c r="Y1101" s="29"/>
      <c r="Z1101" s="29"/>
      <c r="AA1101" s="29"/>
      <c r="AB1101" s="29"/>
      <c r="AC1101" s="29"/>
      <c r="AD1101" s="29"/>
      <c r="AE1101" s="29"/>
      <c r="AJ1101"/>
      <c r="AK1101"/>
      <c r="AL1101"/>
      <c r="AM1101"/>
      <c r="AN1101"/>
      <c r="AO1101"/>
      <c r="AP1101"/>
      <c r="AQ1101"/>
      <c r="AR1101"/>
      <c r="AS1101"/>
      <c r="AT1101" s="4" t="str">
        <f t="shared" si="124"/>
        <v>1.0倍人力住房公积金</v>
      </c>
      <c r="AU1101" s="4" t="str">
        <f t="shared" si="120"/>
        <v>科技业务</v>
      </c>
      <c r="AV1101" s="4" t="str">
        <f t="shared" si="121"/>
        <v>IT人力费用</v>
      </c>
      <c r="AW1101" s="4" t="str">
        <f>IFERROR(VLOOKUP(AV1101,[1]字段!A:B,2,0),"")</f>
        <v>人力费用</v>
      </c>
      <c r="AX1101" s="30" t="str">
        <f>IF(AW1101="人力费用",IF(E1101="","",VLOOKUP(E1101,[1]字段!D:E,2,0)),AW1101)</f>
        <v>1.0倍人力</v>
      </c>
      <c r="AY1101" s="30" t="str">
        <f>IF(AT1101="","",VLOOKUP(AT1101,[1]字段!H:I,2,0))</f>
        <v>1.0倍人力</v>
      </c>
      <c r="AZ1101" s="31">
        <f t="shared" si="125"/>
        <v>0</v>
      </c>
      <c r="BA1101" s="31">
        <f t="shared" si="122"/>
        <v>0</v>
      </c>
      <c r="BB1101" s="31">
        <f t="shared" si="123"/>
        <v>0</v>
      </c>
      <c r="BC1101" s="31">
        <f t="shared" si="126"/>
        <v>0</v>
      </c>
    </row>
    <row r="1102" spans="1:55" ht="28.5" customHeight="1">
      <c r="C1102" s="33" t="s">
        <v>215</v>
      </c>
      <c r="D1102" s="34" t="s">
        <v>216</v>
      </c>
      <c r="E1102" s="35"/>
      <c r="F1102" s="36"/>
      <c r="G1102" s="29"/>
      <c r="H1102" s="29"/>
      <c r="I1102" s="29"/>
      <c r="J1102" s="29"/>
      <c r="K1102" s="29"/>
      <c r="L1102" s="29"/>
      <c r="M1102" s="29"/>
      <c r="N1102" s="29"/>
      <c r="O1102" s="29"/>
      <c r="P1102" s="29"/>
      <c r="Q1102" s="29"/>
      <c r="R1102" s="29"/>
      <c r="S1102" s="29"/>
      <c r="T1102" s="29"/>
      <c r="U1102" s="29"/>
      <c r="V1102" s="29"/>
      <c r="W1102" s="29"/>
      <c r="X1102" s="29"/>
      <c r="Y1102" s="29"/>
      <c r="Z1102" s="29"/>
      <c r="AA1102" s="29"/>
      <c r="AB1102" s="29"/>
      <c r="AC1102" s="29"/>
      <c r="AD1102" s="29"/>
      <c r="AE1102" s="29"/>
      <c r="AJ1102"/>
      <c r="AK1102"/>
      <c r="AL1102"/>
      <c r="AM1102"/>
      <c r="AN1102"/>
      <c r="AO1102"/>
      <c r="AP1102"/>
      <c r="AQ1102"/>
      <c r="AR1102"/>
      <c r="AS1102"/>
      <c r="AT1102" s="4" t="str">
        <f t="shared" si="124"/>
        <v>营销费用</v>
      </c>
      <c r="AU1102" s="4" t="str">
        <f t="shared" si="120"/>
        <v>科技业务</v>
      </c>
      <c r="AV1102" s="4" t="str">
        <f t="shared" si="121"/>
        <v>IT营销费用</v>
      </c>
      <c r="AW1102" s="4" t="str">
        <f>IFERROR(VLOOKUP(AV1102,[1]字段!A:B,2,0),"")</f>
        <v>营销费用</v>
      </c>
      <c r="AX1102" s="30" t="str">
        <f>IF(AW1102="人力费用",IF(E1102="","",VLOOKUP(E1102,[1]字段!D:E,2,0)),AW1102)</f>
        <v>营销费用</v>
      </c>
      <c r="AY1102" s="30">
        <f>IF(AT1102="","",VLOOKUP(AT1102,[1]字段!H:I,2,0))</f>
        <v>0</v>
      </c>
      <c r="AZ1102" s="31">
        <f t="shared" si="125"/>
        <v>0</v>
      </c>
      <c r="BA1102" s="31">
        <f t="shared" si="122"/>
        <v>0</v>
      </c>
      <c r="BB1102" s="31">
        <f t="shared" si="123"/>
        <v>0</v>
      </c>
      <c r="BC1102" s="31">
        <f t="shared" si="126"/>
        <v>0</v>
      </c>
    </row>
    <row r="1103" spans="1:55" ht="28.5" customHeight="1">
      <c r="A1103" s="32"/>
      <c r="B1103" s="32"/>
      <c r="C1103" s="43"/>
      <c r="D1103" s="43"/>
      <c r="E1103" s="39" t="s">
        <v>111</v>
      </c>
      <c r="F1103" s="39" t="s">
        <v>112</v>
      </c>
      <c r="G1103" s="29"/>
      <c r="H1103" s="29"/>
      <c r="I1103" s="29"/>
      <c r="J1103" s="29"/>
      <c r="K1103" s="29"/>
      <c r="L1103" s="29"/>
      <c r="M1103" s="29"/>
      <c r="N1103" s="29"/>
      <c r="O1103" s="29"/>
      <c r="P1103" s="29"/>
      <c r="Q1103" s="29"/>
      <c r="R1103" s="29"/>
      <c r="S1103" s="29"/>
      <c r="T1103" s="29"/>
      <c r="U1103" s="29"/>
      <c r="V1103" s="29"/>
      <c r="W1103" s="29"/>
      <c r="X1103" s="29"/>
      <c r="Y1103" s="29"/>
      <c r="Z1103" s="29"/>
      <c r="AA1103" s="29"/>
      <c r="AB1103" s="29"/>
      <c r="AC1103" s="29"/>
      <c r="AD1103" s="29"/>
      <c r="AE1103" s="29"/>
      <c r="AJ1103"/>
      <c r="AK1103"/>
      <c r="AL1103"/>
      <c r="AM1103"/>
      <c r="AN1103"/>
      <c r="AO1103"/>
      <c r="AP1103"/>
      <c r="AQ1103"/>
      <c r="AR1103"/>
      <c r="AS1103"/>
      <c r="AT1103" s="4" t="str">
        <f t="shared" si="124"/>
        <v>营销费用业务宣传费</v>
      </c>
      <c r="AU1103" s="4" t="str">
        <f t="shared" si="120"/>
        <v>科技业务</v>
      </c>
      <c r="AV1103" s="4" t="str">
        <f t="shared" si="121"/>
        <v>IT营销费用</v>
      </c>
      <c r="AW1103" s="4" t="str">
        <f>IFERROR(VLOOKUP(AV1103,[1]字段!A:B,2,0),"")</f>
        <v>营销费用</v>
      </c>
      <c r="AX1103" s="30" t="str">
        <f>IF(AW1103="人力费用",IF(E1103="","",VLOOKUP(E1103,[1]字段!D:E,2,0)),AW1103)</f>
        <v>营销费用</v>
      </c>
      <c r="AY1103" s="30" t="str">
        <f>IF(AT1103="","",VLOOKUP(AT1103,[1]字段!H:I,2,0))</f>
        <v>营销费用</v>
      </c>
      <c r="AZ1103" s="31">
        <f t="shared" si="125"/>
        <v>0</v>
      </c>
      <c r="BA1103" s="31">
        <f t="shared" si="122"/>
        <v>0</v>
      </c>
      <c r="BB1103" s="31">
        <f t="shared" si="123"/>
        <v>0</v>
      </c>
      <c r="BC1103" s="31">
        <f t="shared" si="126"/>
        <v>0</v>
      </c>
    </row>
    <row r="1104" spans="1:55" ht="28.5" customHeight="1">
      <c r="C1104" s="33" t="s">
        <v>61</v>
      </c>
      <c r="D1104" s="34" t="s">
        <v>62</v>
      </c>
      <c r="E1104" s="35"/>
      <c r="F1104" s="36"/>
      <c r="G1104" s="29"/>
      <c r="H1104" s="29"/>
      <c r="I1104" s="29"/>
      <c r="J1104" s="29"/>
      <c r="K1104" s="29"/>
      <c r="L1104" s="29"/>
      <c r="M1104" s="29"/>
      <c r="N1104" s="29"/>
      <c r="O1104" s="29"/>
      <c r="P1104" s="29"/>
      <c r="Q1104" s="29"/>
      <c r="R1104" s="29"/>
      <c r="S1104" s="29"/>
      <c r="T1104" s="29"/>
      <c r="U1104" s="29"/>
      <c r="V1104" s="29"/>
      <c r="W1104" s="29"/>
      <c r="X1104" s="29"/>
      <c r="Y1104" s="29"/>
      <c r="Z1104" s="29"/>
      <c r="AA1104" s="29"/>
      <c r="AB1104" s="29"/>
      <c r="AC1104" s="29"/>
      <c r="AD1104" s="29"/>
      <c r="AE1104" s="29"/>
      <c r="AJ1104"/>
      <c r="AK1104"/>
      <c r="AL1104"/>
      <c r="AM1104"/>
      <c r="AN1104"/>
      <c r="AO1104"/>
      <c r="AP1104"/>
      <c r="AQ1104"/>
      <c r="AR1104"/>
      <c r="AS1104"/>
      <c r="AT1104" s="4" t="str">
        <f t="shared" si="124"/>
        <v>运营费用</v>
      </c>
      <c r="AU1104" s="4" t="str">
        <f t="shared" si="120"/>
        <v>科技业务</v>
      </c>
      <c r="AV1104" s="4" t="str">
        <f t="shared" si="121"/>
        <v>IT运营费用</v>
      </c>
      <c r="AW1104" s="4" t="str">
        <f>IFERROR(VLOOKUP(AV1104,[1]字段!A:B,2,0),"")</f>
        <v>运营费用</v>
      </c>
      <c r="AX1104" s="30" t="str">
        <f>IF(AW1104="人力费用",IF(E1104="","",VLOOKUP(E1104,[1]字段!D:E,2,0)),AW1104)</f>
        <v>运营费用</v>
      </c>
      <c r="AY1104" s="30">
        <f>IF(AT1104="","",VLOOKUP(AT1104,[1]字段!H:I,2,0))</f>
        <v>0</v>
      </c>
      <c r="AZ1104" s="31">
        <f t="shared" si="125"/>
        <v>0</v>
      </c>
      <c r="BA1104" s="31">
        <f t="shared" si="122"/>
        <v>0</v>
      </c>
      <c r="BB1104" s="31">
        <f t="shared" si="123"/>
        <v>0</v>
      </c>
      <c r="BC1104" s="31">
        <f t="shared" si="126"/>
        <v>0</v>
      </c>
    </row>
    <row r="1105" spans="1:55" ht="28.5" customHeight="1">
      <c r="A1105" s="32"/>
      <c r="B1105" s="32"/>
      <c r="C1105" s="37"/>
      <c r="D1105" s="38"/>
      <c r="E1105" s="39" t="s">
        <v>181</v>
      </c>
      <c r="F1105" s="39" t="s">
        <v>182</v>
      </c>
      <c r="G1105" s="29"/>
      <c r="H1105" s="29"/>
      <c r="I1105" s="29"/>
      <c r="J1105" s="29"/>
      <c r="K1105" s="29"/>
      <c r="L1105" s="29"/>
      <c r="M1105" s="29"/>
      <c r="N1105" s="29"/>
      <c r="O1105" s="29"/>
      <c r="P1105" s="29"/>
      <c r="Q1105" s="29"/>
      <c r="R1105" s="29"/>
      <c r="S1105" s="29"/>
      <c r="T1105" s="29"/>
      <c r="U1105" s="29"/>
      <c r="V1105" s="29"/>
      <c r="W1105" s="29"/>
      <c r="X1105" s="29"/>
      <c r="Y1105" s="29"/>
      <c r="Z1105" s="29"/>
      <c r="AA1105" s="29"/>
      <c r="AB1105" s="29"/>
      <c r="AC1105" s="29"/>
      <c r="AD1105" s="29"/>
      <c r="AE1105" s="29"/>
      <c r="AJ1105"/>
      <c r="AK1105"/>
      <c r="AL1105"/>
      <c r="AM1105"/>
      <c r="AN1105"/>
      <c r="AO1105"/>
      <c r="AP1105"/>
      <c r="AQ1105"/>
      <c r="AR1105"/>
      <c r="AS1105"/>
      <c r="AT1105" s="4" t="str">
        <f t="shared" si="124"/>
        <v>运营费用短信费</v>
      </c>
      <c r="AU1105" s="4" t="str">
        <f t="shared" si="120"/>
        <v>科技业务</v>
      </c>
      <c r="AV1105" s="4" t="str">
        <f t="shared" si="121"/>
        <v>IT运营费用</v>
      </c>
      <c r="AW1105" s="4" t="str">
        <f>IFERROR(VLOOKUP(AV1105,[1]字段!A:B,2,0),"")</f>
        <v>运营费用</v>
      </c>
      <c r="AX1105" s="30" t="str">
        <f>IF(AW1105="人力费用",IF(E1105="","",VLOOKUP(E1105,[1]字段!D:E,2,0)),AW1105)</f>
        <v>运营费用</v>
      </c>
      <c r="AY1105" s="30" t="str">
        <f>IF(AT1105="","",VLOOKUP(AT1105,[1]字段!H:I,2,0))</f>
        <v>运营费用-短信费</v>
      </c>
      <c r="AZ1105" s="31">
        <f t="shared" si="125"/>
        <v>0</v>
      </c>
      <c r="BA1105" s="31">
        <f t="shared" si="122"/>
        <v>0</v>
      </c>
      <c r="BB1105" s="31">
        <f t="shared" si="123"/>
        <v>0</v>
      </c>
      <c r="BC1105" s="31">
        <f t="shared" si="126"/>
        <v>0</v>
      </c>
    </row>
    <row r="1106" spans="1:55" ht="28.5" customHeight="1">
      <c r="A1106" s="32"/>
      <c r="B1106" s="32"/>
      <c r="C1106" s="41"/>
      <c r="D1106" s="42"/>
      <c r="E1106" s="39" t="s">
        <v>63</v>
      </c>
      <c r="F1106" s="39" t="s">
        <v>64</v>
      </c>
      <c r="G1106" s="29"/>
      <c r="H1106" s="29"/>
      <c r="I1106" s="29"/>
      <c r="J1106" s="29"/>
      <c r="K1106" s="29"/>
      <c r="L1106" s="29"/>
      <c r="M1106" s="29"/>
      <c r="N1106" s="29"/>
      <c r="O1106" s="29"/>
      <c r="P1106" s="29"/>
      <c r="Q1106" s="29"/>
      <c r="R1106" s="29"/>
      <c r="S1106" s="29"/>
      <c r="T1106" s="29"/>
      <c r="U1106" s="29"/>
      <c r="V1106" s="29"/>
      <c r="W1106" s="29"/>
      <c r="X1106" s="29"/>
      <c r="Y1106" s="29"/>
      <c r="Z1106" s="29"/>
      <c r="AA1106" s="29"/>
      <c r="AB1106" s="29"/>
      <c r="AC1106" s="29"/>
      <c r="AD1106" s="29"/>
      <c r="AE1106" s="29"/>
      <c r="AJ1106"/>
      <c r="AK1106"/>
      <c r="AL1106"/>
      <c r="AM1106"/>
      <c r="AN1106"/>
      <c r="AO1106"/>
      <c r="AP1106"/>
      <c r="AQ1106"/>
      <c r="AR1106"/>
      <c r="AS1106"/>
      <c r="AT1106" s="4" t="str">
        <f t="shared" si="124"/>
        <v>运营费用信息资料费</v>
      </c>
      <c r="AU1106" s="4" t="str">
        <f t="shared" si="120"/>
        <v>科技业务</v>
      </c>
      <c r="AV1106" s="4" t="str">
        <f t="shared" si="121"/>
        <v>IT运营费用</v>
      </c>
      <c r="AW1106" s="4" t="str">
        <f>IFERROR(VLOOKUP(AV1106,[1]字段!A:B,2,0),"")</f>
        <v>运营费用</v>
      </c>
      <c r="AX1106" s="30" t="str">
        <f>IF(AW1106="人力费用",IF(E1106="","",VLOOKUP(E1106,[1]字段!D:E,2,0)),AW1106)</f>
        <v>运营费用</v>
      </c>
      <c r="AY1106" s="30" t="str">
        <f>IF(AT1106="","",VLOOKUP(AT1106,[1]字段!H:I,2,0))</f>
        <v>运营费用-运营其他</v>
      </c>
      <c r="AZ1106" s="31">
        <f t="shared" si="125"/>
        <v>0</v>
      </c>
      <c r="BA1106" s="31">
        <f t="shared" si="122"/>
        <v>0</v>
      </c>
      <c r="BB1106" s="31">
        <f t="shared" si="123"/>
        <v>0</v>
      </c>
      <c r="BC1106" s="31">
        <f t="shared" si="126"/>
        <v>0</v>
      </c>
    </row>
    <row r="1107" spans="1:55" ht="28.5" customHeight="1">
      <c r="C1107" s="33" t="s">
        <v>65</v>
      </c>
      <c r="D1107" s="34" t="s">
        <v>66</v>
      </c>
      <c r="E1107" s="35"/>
      <c r="F1107" s="36"/>
      <c r="G1107" s="29"/>
      <c r="H1107" s="29"/>
      <c r="I1107" s="29"/>
      <c r="J1107" s="29"/>
      <c r="K1107" s="29"/>
      <c r="L1107" s="29"/>
      <c r="M1107" s="29"/>
      <c r="N1107" s="29"/>
      <c r="O1107" s="29"/>
      <c r="P1107" s="29"/>
      <c r="Q1107" s="29"/>
      <c r="R1107" s="29"/>
      <c r="S1107" s="29"/>
      <c r="T1107" s="29"/>
      <c r="U1107" s="29"/>
      <c r="V1107" s="29"/>
      <c r="W1107" s="29"/>
      <c r="X1107" s="29"/>
      <c r="Y1107" s="29"/>
      <c r="Z1107" s="29"/>
      <c r="AA1107" s="29"/>
      <c r="AB1107" s="29"/>
      <c r="AC1107" s="29"/>
      <c r="AD1107" s="29"/>
      <c r="AE1107" s="29"/>
      <c r="AJ1107"/>
      <c r="AK1107"/>
      <c r="AL1107"/>
      <c r="AM1107"/>
      <c r="AN1107"/>
      <c r="AO1107"/>
      <c r="AP1107"/>
      <c r="AQ1107"/>
      <c r="AR1107"/>
      <c r="AS1107"/>
      <c r="AT1107" s="4" t="str">
        <f t="shared" si="124"/>
        <v>IT费用</v>
      </c>
      <c r="AU1107" s="4" t="str">
        <f t="shared" si="120"/>
        <v>科技业务</v>
      </c>
      <c r="AV1107" s="4" t="str">
        <f t="shared" si="121"/>
        <v>IT科技费用</v>
      </c>
      <c r="AW1107" s="4" t="str">
        <f>IFERROR(VLOOKUP(AV1107,[1]字段!A:B,2,0),"")</f>
        <v>IT费用</v>
      </c>
      <c r="AX1107" s="30" t="str">
        <f>IF(AW1107="人力费用",IF(E1107="","",VLOOKUP(E1107,[1]字段!D:E,2,0)),AW1107)</f>
        <v>IT费用</v>
      </c>
      <c r="AY1107" s="30">
        <f>IF(AT1107="","",VLOOKUP(AT1107,[1]字段!H:I,2,0))</f>
        <v>0</v>
      </c>
      <c r="AZ1107" s="31">
        <f t="shared" si="125"/>
        <v>0</v>
      </c>
      <c r="BA1107" s="31">
        <f t="shared" si="122"/>
        <v>0</v>
      </c>
      <c r="BB1107" s="31">
        <f t="shared" si="123"/>
        <v>0</v>
      </c>
      <c r="BC1107" s="31">
        <f t="shared" si="126"/>
        <v>0</v>
      </c>
    </row>
    <row r="1108" spans="1:55" ht="28.5" customHeight="1">
      <c r="A1108" s="32"/>
      <c r="B1108" s="32"/>
      <c r="C1108" s="37"/>
      <c r="D1108" s="38"/>
      <c r="E1108" s="39" t="s">
        <v>67</v>
      </c>
      <c r="F1108" s="39" t="s">
        <v>68</v>
      </c>
      <c r="G1108" s="29"/>
      <c r="H1108" s="29"/>
      <c r="I1108" s="29"/>
      <c r="J1108" s="29"/>
      <c r="K1108" s="29"/>
      <c r="L1108" s="29"/>
      <c r="M1108" s="29"/>
      <c r="N1108" s="29"/>
      <c r="O1108" s="29"/>
      <c r="P1108" s="29"/>
      <c r="Q1108" s="29"/>
      <c r="R1108" s="29"/>
      <c r="S1108" s="29"/>
      <c r="T1108" s="29"/>
      <c r="U1108" s="29"/>
      <c r="V1108" s="29"/>
      <c r="W1108" s="29"/>
      <c r="X1108" s="29"/>
      <c r="Y1108" s="29"/>
      <c r="Z1108" s="29"/>
      <c r="AA1108" s="29"/>
      <c r="AB1108" s="29"/>
      <c r="AC1108" s="29"/>
      <c r="AD1108" s="29"/>
      <c r="AE1108" s="29"/>
      <c r="AJ1108"/>
      <c r="AK1108"/>
      <c r="AL1108"/>
      <c r="AM1108"/>
      <c r="AN1108"/>
      <c r="AO1108"/>
      <c r="AP1108"/>
      <c r="AQ1108"/>
      <c r="AR1108"/>
      <c r="AS1108"/>
      <c r="AT1108" s="4" t="str">
        <f t="shared" si="124"/>
        <v>IT费用一般运营设备折旧费</v>
      </c>
      <c r="AU1108" s="4" t="str">
        <f t="shared" si="120"/>
        <v>科技业务</v>
      </c>
      <c r="AV1108" s="4" t="str">
        <f t="shared" si="121"/>
        <v>IT科技费用</v>
      </c>
      <c r="AW1108" s="4" t="str">
        <f>IFERROR(VLOOKUP(AV1108,[1]字段!A:B,2,0),"")</f>
        <v>IT费用</v>
      </c>
      <c r="AX1108" s="30" t="str">
        <f>IF(AW1108="人力费用",IF(E1108="","",VLOOKUP(E1108,[1]字段!D:E,2,0)),AW1108)</f>
        <v>IT费用</v>
      </c>
      <c r="AY1108" s="30" t="str">
        <f>IF(AT1108="","",VLOOKUP(AT1108,[1]字段!H:I,2,0))</f>
        <v>IT费用</v>
      </c>
      <c r="AZ1108" s="31">
        <f t="shared" si="125"/>
        <v>0</v>
      </c>
      <c r="BA1108" s="31">
        <f t="shared" si="122"/>
        <v>0</v>
      </c>
      <c r="BB1108" s="31">
        <f t="shared" si="123"/>
        <v>0</v>
      </c>
      <c r="BC1108" s="31">
        <f t="shared" si="126"/>
        <v>0</v>
      </c>
    </row>
    <row r="1109" spans="1:55" ht="28.5" customHeight="1">
      <c r="A1109" s="32"/>
      <c r="B1109" s="32"/>
      <c r="C1109" s="32"/>
      <c r="D1109" s="40"/>
      <c r="E1109" s="39" t="s">
        <v>69</v>
      </c>
      <c r="F1109" s="39" t="s">
        <v>70</v>
      </c>
      <c r="G1109" s="29"/>
      <c r="H1109" s="29"/>
      <c r="I1109" s="29"/>
      <c r="J1109" s="29"/>
      <c r="K1109" s="29"/>
      <c r="L1109" s="29"/>
      <c r="M1109" s="29"/>
      <c r="N1109" s="29"/>
      <c r="O1109" s="29"/>
      <c r="P1109" s="29"/>
      <c r="Q1109" s="29"/>
      <c r="R1109" s="29"/>
      <c r="S1109" s="29"/>
      <c r="T1109" s="29"/>
      <c r="U1109" s="29"/>
      <c r="V1109" s="29"/>
      <c r="W1109" s="29"/>
      <c r="X1109" s="29"/>
      <c r="Y1109" s="29"/>
      <c r="Z1109" s="29"/>
      <c r="AA1109" s="29"/>
      <c r="AB1109" s="29"/>
      <c r="AC1109" s="29"/>
      <c r="AD1109" s="29"/>
      <c r="AE1109" s="29"/>
      <c r="AJ1109"/>
      <c r="AK1109"/>
      <c r="AL1109"/>
      <c r="AM1109"/>
      <c r="AN1109"/>
      <c r="AO1109"/>
      <c r="AP1109"/>
      <c r="AQ1109"/>
      <c r="AR1109"/>
      <c r="AS1109"/>
      <c r="AT1109" s="4" t="str">
        <f t="shared" si="124"/>
        <v>IT费用移动终端折旧费</v>
      </c>
      <c r="AU1109" s="4" t="str">
        <f t="shared" si="120"/>
        <v>科技业务</v>
      </c>
      <c r="AV1109" s="4" t="str">
        <f t="shared" si="121"/>
        <v>IT科技费用</v>
      </c>
      <c r="AW1109" s="4" t="str">
        <f>IFERROR(VLOOKUP(AV1109,[1]字段!A:B,2,0),"")</f>
        <v>IT费用</v>
      </c>
      <c r="AX1109" s="30" t="str">
        <f>IF(AW1109="人力费用",IF(E1109="","",VLOOKUP(E1109,[1]字段!D:E,2,0)),AW1109)</f>
        <v>IT费用</v>
      </c>
      <c r="AY1109" s="30" t="str">
        <f>IF(AT1109="","",VLOOKUP(AT1109,[1]字段!H:I,2,0))</f>
        <v>IT费用</v>
      </c>
      <c r="AZ1109" s="31">
        <f t="shared" si="125"/>
        <v>0</v>
      </c>
      <c r="BA1109" s="31">
        <f t="shared" si="122"/>
        <v>0</v>
      </c>
      <c r="BB1109" s="31">
        <f t="shared" si="123"/>
        <v>0</v>
      </c>
      <c r="BC1109" s="31">
        <f t="shared" si="126"/>
        <v>0</v>
      </c>
    </row>
    <row r="1110" spans="1:55" ht="28.5" customHeight="1">
      <c r="A1110" s="32"/>
      <c r="B1110" s="32"/>
      <c r="C1110" s="32"/>
      <c r="D1110" s="40"/>
      <c r="E1110" s="39" t="s">
        <v>71</v>
      </c>
      <c r="F1110" s="39" t="s">
        <v>72</v>
      </c>
      <c r="G1110" s="29"/>
      <c r="H1110" s="29"/>
      <c r="I1110" s="29"/>
      <c r="J1110" s="29"/>
      <c r="K1110" s="29"/>
      <c r="L1110" s="29"/>
      <c r="M1110" s="29"/>
      <c r="N1110" s="29"/>
      <c r="O1110" s="29"/>
      <c r="P1110" s="29"/>
      <c r="Q1110" s="29"/>
      <c r="R1110" s="29"/>
      <c r="S1110" s="29"/>
      <c r="T1110" s="29"/>
      <c r="U1110" s="29"/>
      <c r="V1110" s="29"/>
      <c r="W1110" s="29"/>
      <c r="X1110" s="29"/>
      <c r="Y1110" s="29"/>
      <c r="Z1110" s="29"/>
      <c r="AA1110" s="29"/>
      <c r="AB1110" s="29"/>
      <c r="AC1110" s="29"/>
      <c r="AD1110" s="29"/>
      <c r="AE1110" s="29"/>
      <c r="AJ1110"/>
      <c r="AK1110"/>
      <c r="AL1110"/>
      <c r="AM1110"/>
      <c r="AN1110"/>
      <c r="AO1110"/>
      <c r="AP1110"/>
      <c r="AQ1110"/>
      <c r="AR1110"/>
      <c r="AS1110"/>
      <c r="AT1110" s="4" t="str">
        <f t="shared" si="124"/>
        <v>IT费用办公IT设备折旧费</v>
      </c>
      <c r="AU1110" s="4" t="str">
        <f t="shared" si="120"/>
        <v>科技业务</v>
      </c>
      <c r="AV1110" s="4" t="str">
        <f t="shared" si="121"/>
        <v>IT科技费用</v>
      </c>
      <c r="AW1110" s="4" t="str">
        <f>IFERROR(VLOOKUP(AV1110,[1]字段!A:B,2,0),"")</f>
        <v>IT费用</v>
      </c>
      <c r="AX1110" s="30" t="str">
        <f>IF(AW1110="人力费用",IF(E1110="","",VLOOKUP(E1110,[1]字段!D:E,2,0)),AW1110)</f>
        <v>IT费用</v>
      </c>
      <c r="AY1110" s="30" t="str">
        <f>IF(AT1110="","",VLOOKUP(AT1110,[1]字段!H:I,2,0))</f>
        <v>IT费用</v>
      </c>
      <c r="AZ1110" s="31">
        <f t="shared" si="125"/>
        <v>0</v>
      </c>
      <c r="BA1110" s="31">
        <f t="shared" si="122"/>
        <v>0</v>
      </c>
      <c r="BB1110" s="31">
        <f t="shared" si="123"/>
        <v>0</v>
      </c>
      <c r="BC1110" s="31">
        <f t="shared" si="126"/>
        <v>0</v>
      </c>
    </row>
    <row r="1111" spans="1:55" ht="28.5" customHeight="1">
      <c r="A1111" s="32"/>
      <c r="B1111" s="32"/>
      <c r="C1111" s="32"/>
      <c r="D1111" s="40"/>
      <c r="E1111" s="39" t="s">
        <v>73</v>
      </c>
      <c r="F1111" s="39" t="s">
        <v>74</v>
      </c>
      <c r="G1111" s="29"/>
      <c r="H1111" s="29"/>
      <c r="I1111" s="29"/>
      <c r="J1111" s="29"/>
      <c r="K1111" s="29"/>
      <c r="L1111" s="29"/>
      <c r="M1111" s="29"/>
      <c r="N1111" s="29"/>
      <c r="O1111" s="29"/>
      <c r="P1111" s="29"/>
      <c r="Q1111" s="29"/>
      <c r="R1111" s="29"/>
      <c r="S1111" s="29"/>
      <c r="T1111" s="29"/>
      <c r="U1111" s="29"/>
      <c r="V1111" s="29"/>
      <c r="W1111" s="29"/>
      <c r="X1111" s="29"/>
      <c r="Y1111" s="29"/>
      <c r="Z1111" s="29"/>
      <c r="AA1111" s="29"/>
      <c r="AB1111" s="29"/>
      <c r="AC1111" s="29"/>
      <c r="AD1111" s="29"/>
      <c r="AE1111" s="29"/>
      <c r="AJ1111"/>
      <c r="AK1111"/>
      <c r="AL1111"/>
      <c r="AM1111"/>
      <c r="AN1111"/>
      <c r="AO1111"/>
      <c r="AP1111"/>
      <c r="AQ1111"/>
      <c r="AR1111"/>
      <c r="AS1111"/>
      <c r="AT1111" s="4" t="str">
        <f t="shared" si="124"/>
        <v>IT费用计算机软件摊销</v>
      </c>
      <c r="AU1111" s="4" t="str">
        <f t="shared" si="120"/>
        <v>科技业务</v>
      </c>
      <c r="AV1111" s="4" t="str">
        <f t="shared" si="121"/>
        <v>IT科技费用</v>
      </c>
      <c r="AW1111" s="4" t="str">
        <f>IFERROR(VLOOKUP(AV1111,[1]字段!A:B,2,0),"")</f>
        <v>IT费用</v>
      </c>
      <c r="AX1111" s="30" t="str">
        <f>IF(AW1111="人力费用",IF(E1111="","",VLOOKUP(E1111,[1]字段!D:E,2,0)),AW1111)</f>
        <v>IT费用</v>
      </c>
      <c r="AY1111" s="30" t="str">
        <f>IF(AT1111="","",VLOOKUP(AT1111,[1]字段!H:I,2,0))</f>
        <v>IT费用</v>
      </c>
      <c r="AZ1111" s="31">
        <f t="shared" si="125"/>
        <v>0</v>
      </c>
      <c r="BA1111" s="31">
        <f t="shared" si="122"/>
        <v>0</v>
      </c>
      <c r="BB1111" s="31">
        <f t="shared" si="123"/>
        <v>0</v>
      </c>
      <c r="BC1111" s="31">
        <f t="shared" si="126"/>
        <v>0</v>
      </c>
    </row>
    <row r="1112" spans="1:55" ht="28.5" customHeight="1">
      <c r="A1112" s="32"/>
      <c r="B1112" s="32"/>
      <c r="C1112" s="32"/>
      <c r="D1112" s="40"/>
      <c r="E1112" s="39" t="s">
        <v>75</v>
      </c>
      <c r="F1112" s="39" t="s">
        <v>76</v>
      </c>
      <c r="G1112" s="29"/>
      <c r="H1112" s="29"/>
      <c r="I1112" s="29"/>
      <c r="J1112" s="29"/>
      <c r="K1112" s="29"/>
      <c r="L1112" s="29"/>
      <c r="M1112" s="29"/>
      <c r="N1112" s="29"/>
      <c r="O1112" s="29"/>
      <c r="P1112" s="29"/>
      <c r="Q1112" s="29"/>
      <c r="R1112" s="29"/>
      <c r="S1112" s="29"/>
      <c r="T1112" s="29"/>
      <c r="U1112" s="29"/>
      <c r="V1112" s="29"/>
      <c r="W1112" s="29"/>
      <c r="X1112" s="29"/>
      <c r="Y1112" s="29"/>
      <c r="Z1112" s="29"/>
      <c r="AA1112" s="29"/>
      <c r="AB1112" s="29"/>
      <c r="AC1112" s="29"/>
      <c r="AD1112" s="29"/>
      <c r="AE1112" s="29"/>
      <c r="AJ1112"/>
      <c r="AK1112"/>
      <c r="AL1112"/>
      <c r="AM1112"/>
      <c r="AN1112"/>
      <c r="AO1112"/>
      <c r="AP1112"/>
      <c r="AQ1112"/>
      <c r="AR1112"/>
      <c r="AS1112"/>
      <c r="AT1112" s="4" t="str">
        <f t="shared" si="124"/>
        <v>IT费用数据资源摊销</v>
      </c>
      <c r="AU1112" s="4" t="str">
        <f t="shared" si="120"/>
        <v>科技业务</v>
      </c>
      <c r="AV1112" s="4" t="str">
        <f t="shared" si="121"/>
        <v>IT科技费用</v>
      </c>
      <c r="AW1112" s="4" t="str">
        <f>IFERROR(VLOOKUP(AV1112,[1]字段!A:B,2,0),"")</f>
        <v>IT费用</v>
      </c>
      <c r="AX1112" s="30" t="str">
        <f>IF(AW1112="人力费用",IF(E1112="","",VLOOKUP(E1112,[1]字段!D:E,2,0)),AW1112)</f>
        <v>IT费用</v>
      </c>
      <c r="AY1112" s="30" t="str">
        <f>IF(AT1112="","",VLOOKUP(AT1112,[1]字段!H:I,2,0))</f>
        <v>IT费用</v>
      </c>
      <c r="AZ1112" s="31">
        <f t="shared" si="125"/>
        <v>0</v>
      </c>
      <c r="BA1112" s="31">
        <f t="shared" si="122"/>
        <v>0</v>
      </c>
      <c r="BB1112" s="31">
        <f t="shared" si="123"/>
        <v>0</v>
      </c>
      <c r="BC1112" s="31">
        <f t="shared" si="126"/>
        <v>0</v>
      </c>
    </row>
    <row r="1113" spans="1:55" ht="28.5" customHeight="1">
      <c r="A1113" s="32"/>
      <c r="B1113" s="32"/>
      <c r="C1113" s="32"/>
      <c r="D1113" s="40"/>
      <c r="E1113" s="39" t="s">
        <v>77</v>
      </c>
      <c r="F1113" s="39" t="s">
        <v>78</v>
      </c>
      <c r="G1113" s="29"/>
      <c r="H1113" s="29"/>
      <c r="I1113" s="29"/>
      <c r="J1113" s="29"/>
      <c r="K1113" s="29"/>
      <c r="L1113" s="29"/>
      <c r="M1113" s="29"/>
      <c r="N1113" s="29"/>
      <c r="O1113" s="29"/>
      <c r="P1113" s="29"/>
      <c r="Q1113" s="29"/>
      <c r="R1113" s="29"/>
      <c r="S1113" s="29"/>
      <c r="T1113" s="29"/>
      <c r="U1113" s="29"/>
      <c r="V1113" s="29"/>
      <c r="W1113" s="29"/>
      <c r="X1113" s="29"/>
      <c r="Y1113" s="29"/>
      <c r="Z1113" s="29"/>
      <c r="AA1113" s="29"/>
      <c r="AB1113" s="29"/>
      <c r="AC1113" s="29"/>
      <c r="AD1113" s="29"/>
      <c r="AE1113" s="29"/>
      <c r="AJ1113"/>
      <c r="AK1113"/>
      <c r="AL1113"/>
      <c r="AM1113"/>
      <c r="AN1113"/>
      <c r="AO1113"/>
      <c r="AP1113"/>
      <c r="AQ1113"/>
      <c r="AR1113"/>
      <c r="AS1113"/>
      <c r="AT1113" s="4" t="str">
        <f t="shared" si="124"/>
        <v>IT费用咨询费</v>
      </c>
      <c r="AU1113" s="4" t="str">
        <f t="shared" si="120"/>
        <v>科技业务</v>
      </c>
      <c r="AV1113" s="4" t="str">
        <f t="shared" si="121"/>
        <v>IT科技费用</v>
      </c>
      <c r="AW1113" s="4" t="str">
        <f>IFERROR(VLOOKUP(AV1113,[1]字段!A:B,2,0),"")</f>
        <v>IT费用</v>
      </c>
      <c r="AX1113" s="30" t="str">
        <f>IF(AW1113="人力费用",IF(E1113="","",VLOOKUP(E1113,[1]字段!D:E,2,0)),AW1113)</f>
        <v>IT费用</v>
      </c>
      <c r="AY1113" s="30" t="str">
        <f>IF(AT1113="","",VLOOKUP(AT1113,[1]字段!H:I,2,0))</f>
        <v>IT费用</v>
      </c>
      <c r="AZ1113" s="31">
        <f t="shared" si="125"/>
        <v>0</v>
      </c>
      <c r="BA1113" s="31">
        <f t="shared" si="122"/>
        <v>0</v>
      </c>
      <c r="BB1113" s="31">
        <f t="shared" si="123"/>
        <v>0</v>
      </c>
      <c r="BC1113" s="31">
        <f t="shared" si="126"/>
        <v>0</v>
      </c>
    </row>
    <row r="1114" spans="1:55" ht="28.5" customHeight="1">
      <c r="A1114" s="32"/>
      <c r="B1114" s="32"/>
      <c r="C1114" s="32"/>
      <c r="D1114" s="40"/>
      <c r="E1114" s="39" t="s">
        <v>79</v>
      </c>
      <c r="F1114" s="39" t="s">
        <v>80</v>
      </c>
      <c r="G1114" s="29"/>
      <c r="H1114" s="29"/>
      <c r="I1114" s="29"/>
      <c r="J1114" s="29"/>
      <c r="K1114" s="29"/>
      <c r="L1114" s="29"/>
      <c r="M1114" s="29"/>
      <c r="N1114" s="29"/>
      <c r="O1114" s="29"/>
      <c r="P1114" s="29"/>
      <c r="Q1114" s="29"/>
      <c r="R1114" s="29"/>
      <c r="S1114" s="29"/>
      <c r="T1114" s="29"/>
      <c r="U1114" s="29"/>
      <c r="V1114" s="29"/>
      <c r="W1114" s="29"/>
      <c r="X1114" s="29"/>
      <c r="Y1114" s="29"/>
      <c r="Z1114" s="29"/>
      <c r="AA1114" s="29"/>
      <c r="AB1114" s="29"/>
      <c r="AC1114" s="29"/>
      <c r="AD1114" s="29"/>
      <c r="AE1114" s="29"/>
      <c r="AJ1114"/>
      <c r="AK1114"/>
      <c r="AL1114"/>
      <c r="AM1114"/>
      <c r="AN1114"/>
      <c r="AO1114"/>
      <c r="AP1114"/>
      <c r="AQ1114"/>
      <c r="AR1114"/>
      <c r="AS1114"/>
      <c r="AT1114" s="4" t="str">
        <f t="shared" si="124"/>
        <v>IT费用网络通讯费 </v>
      </c>
      <c r="AU1114" s="4" t="str">
        <f t="shared" si="120"/>
        <v>科技业务</v>
      </c>
      <c r="AV1114" s="4" t="str">
        <f t="shared" si="121"/>
        <v>IT科技费用</v>
      </c>
      <c r="AW1114" s="4" t="str">
        <f>IFERROR(VLOOKUP(AV1114,[1]字段!A:B,2,0),"")</f>
        <v>IT费用</v>
      </c>
      <c r="AX1114" s="30" t="str">
        <f>IF(AW1114="人力费用",IF(E1114="","",VLOOKUP(E1114,[1]字段!D:E,2,0)),AW1114)</f>
        <v>IT费用</v>
      </c>
      <c r="AY1114" s="30" t="str">
        <f>IF(AT1114="","",VLOOKUP(AT1114,[1]字段!H:I,2,0))</f>
        <v>IT费用</v>
      </c>
      <c r="AZ1114" s="31">
        <f t="shared" si="125"/>
        <v>0</v>
      </c>
      <c r="BA1114" s="31">
        <f t="shared" si="122"/>
        <v>0</v>
      </c>
      <c r="BB1114" s="31">
        <f t="shared" si="123"/>
        <v>0</v>
      </c>
      <c r="BC1114" s="31">
        <f t="shared" si="126"/>
        <v>0</v>
      </c>
    </row>
    <row r="1115" spans="1:55" ht="28.5" customHeight="1">
      <c r="A1115" s="32"/>
      <c r="B1115" s="32"/>
      <c r="C1115" s="32"/>
      <c r="D1115" s="40"/>
      <c r="E1115" s="39" t="s">
        <v>81</v>
      </c>
      <c r="F1115" s="39" t="s">
        <v>82</v>
      </c>
      <c r="G1115" s="29"/>
      <c r="H1115" s="29"/>
      <c r="I1115" s="29"/>
      <c r="J1115" s="29"/>
      <c r="K1115" s="29"/>
      <c r="L1115" s="29"/>
      <c r="M1115" s="29"/>
      <c r="N1115" s="29"/>
      <c r="O1115" s="29"/>
      <c r="P1115" s="29"/>
      <c r="Q1115" s="29"/>
      <c r="R1115" s="29"/>
      <c r="S1115" s="29"/>
      <c r="T1115" s="29"/>
      <c r="U1115" s="29"/>
      <c r="V1115" s="29"/>
      <c r="W1115" s="29"/>
      <c r="X1115" s="29"/>
      <c r="Y1115" s="29"/>
      <c r="Z1115" s="29"/>
      <c r="AA1115" s="29"/>
      <c r="AB1115" s="29"/>
      <c r="AC1115" s="29"/>
      <c r="AD1115" s="29"/>
      <c r="AE1115" s="29"/>
      <c r="AJ1115"/>
      <c r="AK1115"/>
      <c r="AL1115"/>
      <c r="AM1115"/>
      <c r="AN1115"/>
      <c r="AO1115"/>
      <c r="AP1115"/>
      <c r="AQ1115"/>
      <c r="AR1115"/>
      <c r="AS1115"/>
      <c r="AT1115" s="4" t="str">
        <f t="shared" si="124"/>
        <v>IT费用电子设备运转费 </v>
      </c>
      <c r="AU1115" s="4" t="str">
        <f t="shared" si="120"/>
        <v>科技业务</v>
      </c>
      <c r="AV1115" s="4" t="str">
        <f t="shared" si="121"/>
        <v>IT科技费用</v>
      </c>
      <c r="AW1115" s="4" t="str">
        <f>IFERROR(VLOOKUP(AV1115,[1]字段!A:B,2,0),"")</f>
        <v>IT费用</v>
      </c>
      <c r="AX1115" s="30" t="str">
        <f>IF(AW1115="人力费用",IF(E1115="","",VLOOKUP(E1115,[1]字段!D:E,2,0)),AW1115)</f>
        <v>IT费用</v>
      </c>
      <c r="AY1115" s="30" t="str">
        <f>IF(AT1115="","",VLOOKUP(AT1115,[1]字段!H:I,2,0))</f>
        <v>IT费用</v>
      </c>
      <c r="AZ1115" s="31">
        <f t="shared" si="125"/>
        <v>0</v>
      </c>
      <c r="BA1115" s="31">
        <f t="shared" si="122"/>
        <v>0</v>
      </c>
      <c r="BB1115" s="31">
        <f t="shared" si="123"/>
        <v>0</v>
      </c>
      <c r="BC1115" s="31">
        <f t="shared" si="126"/>
        <v>0</v>
      </c>
    </row>
    <row r="1116" spans="1:55" ht="28.5" customHeight="1">
      <c r="A1116" s="32"/>
      <c r="B1116" s="32"/>
      <c r="C1116" s="32"/>
      <c r="D1116" s="40"/>
      <c r="E1116" s="39" t="s">
        <v>83</v>
      </c>
      <c r="F1116" s="39" t="s">
        <v>84</v>
      </c>
      <c r="G1116" s="29"/>
      <c r="H1116" s="29"/>
      <c r="I1116" s="29"/>
      <c r="J1116" s="29"/>
      <c r="K1116" s="29"/>
      <c r="L1116" s="29"/>
      <c r="M1116" s="29"/>
      <c r="N1116" s="29"/>
      <c r="O1116" s="29"/>
      <c r="P1116" s="29"/>
      <c r="Q1116" s="29"/>
      <c r="R1116" s="29"/>
      <c r="S1116" s="29"/>
      <c r="T1116" s="29"/>
      <c r="U1116" s="29"/>
      <c r="V1116" s="29"/>
      <c r="W1116" s="29"/>
      <c r="X1116" s="29"/>
      <c r="Y1116" s="29"/>
      <c r="Z1116" s="29"/>
      <c r="AA1116" s="29"/>
      <c r="AB1116" s="29"/>
      <c r="AC1116" s="29"/>
      <c r="AD1116" s="29"/>
      <c r="AE1116" s="29"/>
      <c r="AJ1116"/>
      <c r="AK1116"/>
      <c r="AL1116"/>
      <c r="AM1116"/>
      <c r="AN1116"/>
      <c r="AO1116"/>
      <c r="AP1116"/>
      <c r="AQ1116"/>
      <c r="AR1116"/>
      <c r="AS1116"/>
      <c r="AT1116" s="4" t="str">
        <f t="shared" si="124"/>
        <v>IT费用其他外包服务费</v>
      </c>
      <c r="AU1116" s="4" t="str">
        <f t="shared" si="120"/>
        <v>科技业务</v>
      </c>
      <c r="AV1116" s="4" t="str">
        <f t="shared" si="121"/>
        <v>IT科技费用</v>
      </c>
      <c r="AW1116" s="4" t="str">
        <f>IFERROR(VLOOKUP(AV1116,[1]字段!A:B,2,0),"")</f>
        <v>IT费用</v>
      </c>
      <c r="AX1116" s="30" t="str">
        <f>IF(AW1116="人力费用",IF(E1116="","",VLOOKUP(E1116,[1]字段!D:E,2,0)),AW1116)</f>
        <v>IT费用</v>
      </c>
      <c r="AY1116" s="30" t="str">
        <f>IF(AT1116="","",VLOOKUP(AT1116,[1]字段!H:I,2,0))</f>
        <v>IT费用</v>
      </c>
      <c r="AZ1116" s="31">
        <f t="shared" si="125"/>
        <v>0</v>
      </c>
      <c r="BA1116" s="31">
        <f t="shared" si="122"/>
        <v>0</v>
      </c>
      <c r="BB1116" s="31">
        <f t="shared" si="123"/>
        <v>0</v>
      </c>
      <c r="BC1116" s="31">
        <f t="shared" si="126"/>
        <v>0</v>
      </c>
    </row>
    <row r="1117" spans="1:55" ht="28.5" customHeight="1">
      <c r="A1117" s="32"/>
      <c r="B1117" s="32"/>
      <c r="C1117" s="41"/>
      <c r="D1117" s="42"/>
      <c r="E1117" s="39" t="s">
        <v>145</v>
      </c>
      <c r="F1117" s="39" t="s">
        <v>146</v>
      </c>
      <c r="G1117" s="29"/>
      <c r="H1117" s="29"/>
      <c r="I1117" s="29"/>
      <c r="J1117" s="29"/>
      <c r="K1117" s="29"/>
      <c r="L1117" s="29"/>
      <c r="M1117" s="29"/>
      <c r="N1117" s="29"/>
      <c r="O1117" s="29"/>
      <c r="P1117" s="29"/>
      <c r="Q1117" s="29"/>
      <c r="R1117" s="29"/>
      <c r="S1117" s="29"/>
      <c r="T1117" s="29"/>
      <c r="U1117" s="29"/>
      <c r="V1117" s="29"/>
      <c r="W1117" s="29"/>
      <c r="X1117" s="29"/>
      <c r="Y1117" s="29"/>
      <c r="Z1117" s="29"/>
      <c r="AA1117" s="29"/>
      <c r="AB1117" s="29"/>
      <c r="AC1117" s="29"/>
      <c r="AD1117" s="29"/>
      <c r="AE1117" s="29"/>
      <c r="AJ1117"/>
      <c r="AK1117"/>
      <c r="AL1117"/>
      <c r="AM1117"/>
      <c r="AN1117"/>
      <c r="AO1117"/>
      <c r="AP1117"/>
      <c r="AQ1117"/>
      <c r="AR1117"/>
      <c r="AS1117"/>
      <c r="AT1117" s="4" t="str">
        <f t="shared" si="124"/>
        <v>IT费用其他费用</v>
      </c>
      <c r="AU1117" s="4" t="str">
        <f t="shared" si="120"/>
        <v>科技业务</v>
      </c>
      <c r="AV1117" s="4" t="str">
        <f t="shared" si="121"/>
        <v>IT科技费用</v>
      </c>
      <c r="AW1117" s="4" t="str">
        <f>IFERROR(VLOOKUP(AV1117,[1]字段!A:B,2,0),"")</f>
        <v>IT费用</v>
      </c>
      <c r="AX1117" s="30" t="str">
        <f>IF(AW1117="人力费用",IF(E1117="","",VLOOKUP(E1117,[1]字段!D:E,2,0)),AW1117)</f>
        <v>IT费用</v>
      </c>
      <c r="AY1117" s="30" t="str">
        <f>IF(AT1117="","",VLOOKUP(AT1117,[1]字段!H:I,2,0))</f>
        <v>IT费用</v>
      </c>
      <c r="AZ1117" s="31">
        <f t="shared" si="125"/>
        <v>0</v>
      </c>
      <c r="BA1117" s="31">
        <f t="shared" si="122"/>
        <v>0</v>
      </c>
      <c r="BB1117" s="31">
        <f t="shared" si="123"/>
        <v>0</v>
      </c>
      <c r="BC1117" s="31">
        <f t="shared" si="126"/>
        <v>0</v>
      </c>
    </row>
    <row r="1118" spans="1:55" ht="28.5" customHeight="1">
      <c r="C1118" s="33" t="s">
        <v>113</v>
      </c>
      <c r="D1118" s="34" t="s">
        <v>114</v>
      </c>
      <c r="E1118" s="35"/>
      <c r="F1118" s="36"/>
      <c r="G1118" s="29"/>
      <c r="H1118" s="29"/>
      <c r="I1118" s="29"/>
      <c r="J1118" s="29"/>
      <c r="K1118" s="29"/>
      <c r="L1118" s="29"/>
      <c r="M1118" s="29"/>
      <c r="N1118" s="29"/>
      <c r="O1118" s="29"/>
      <c r="P1118" s="29"/>
      <c r="Q1118" s="29"/>
      <c r="R1118" s="29"/>
      <c r="S1118" s="29"/>
      <c r="T1118" s="29"/>
      <c r="U1118" s="29"/>
      <c r="V1118" s="29"/>
      <c r="W1118" s="29"/>
      <c r="X1118" s="29"/>
      <c r="Y1118" s="29"/>
      <c r="Z1118" s="29"/>
      <c r="AA1118" s="29"/>
      <c r="AB1118" s="29"/>
      <c r="AC1118" s="29"/>
      <c r="AD1118" s="29"/>
      <c r="AE1118" s="29"/>
      <c r="AJ1118"/>
      <c r="AK1118"/>
      <c r="AL1118"/>
      <c r="AM1118"/>
      <c r="AN1118"/>
      <c r="AO1118"/>
      <c r="AP1118"/>
      <c r="AQ1118"/>
      <c r="AR1118"/>
      <c r="AS1118"/>
      <c r="AT1118" s="4" t="str">
        <f t="shared" si="124"/>
        <v>职场费用</v>
      </c>
      <c r="AU1118" s="4" t="str">
        <f t="shared" si="120"/>
        <v>科技业务</v>
      </c>
      <c r="AV1118" s="4" t="str">
        <f t="shared" si="121"/>
        <v>IT职场费用</v>
      </c>
      <c r="AW1118" s="4" t="str">
        <f>IFERROR(VLOOKUP(AV1118,[1]字段!A:B,2,0),"")</f>
        <v>职场费用</v>
      </c>
      <c r="AX1118" s="30" t="str">
        <f>IF(AW1118="人力费用",IF(E1118="","",VLOOKUP(E1118,[1]字段!D:E,2,0)),AW1118)</f>
        <v>职场费用</v>
      </c>
      <c r="AY1118" s="30">
        <f>IF(AT1118="","",VLOOKUP(AT1118,[1]字段!H:I,2,0))</f>
        <v>0</v>
      </c>
      <c r="AZ1118" s="31">
        <f t="shared" si="125"/>
        <v>0</v>
      </c>
      <c r="BA1118" s="31">
        <f t="shared" si="122"/>
        <v>0</v>
      </c>
      <c r="BB1118" s="31">
        <f t="shared" si="123"/>
        <v>0</v>
      </c>
      <c r="BC1118" s="31">
        <f t="shared" si="126"/>
        <v>0</v>
      </c>
    </row>
    <row r="1119" spans="1:55" ht="28.5" customHeight="1">
      <c r="A1119" s="32"/>
      <c r="B1119" s="32"/>
      <c r="C1119" s="43"/>
      <c r="D1119" s="43"/>
      <c r="E1119" s="39" t="s">
        <v>115</v>
      </c>
      <c r="F1119" s="39" t="s">
        <v>116</v>
      </c>
      <c r="G1119" s="29"/>
      <c r="H1119" s="29"/>
      <c r="I1119" s="29"/>
      <c r="J1119" s="29"/>
      <c r="K1119" s="29"/>
      <c r="L1119" s="29"/>
      <c r="M1119" s="29"/>
      <c r="N1119" s="29"/>
      <c r="O1119" s="29"/>
      <c r="P1119" s="29"/>
      <c r="Q1119" s="29"/>
      <c r="R1119" s="29"/>
      <c r="S1119" s="29"/>
      <c r="T1119" s="29"/>
      <c r="U1119" s="29"/>
      <c r="V1119" s="29"/>
      <c r="W1119" s="29"/>
      <c r="X1119" s="29"/>
      <c r="Y1119" s="29"/>
      <c r="Z1119" s="29"/>
      <c r="AA1119" s="29"/>
      <c r="AB1119" s="29"/>
      <c r="AC1119" s="29"/>
      <c r="AD1119" s="29"/>
      <c r="AE1119" s="29"/>
      <c r="AJ1119"/>
      <c r="AK1119"/>
      <c r="AL1119"/>
      <c r="AM1119"/>
      <c r="AN1119"/>
      <c r="AO1119"/>
      <c r="AP1119"/>
      <c r="AQ1119"/>
      <c r="AR1119"/>
      <c r="AS1119"/>
      <c r="AT1119" s="4" t="str">
        <f t="shared" si="124"/>
        <v>职场费用房屋及建筑物折旧费</v>
      </c>
      <c r="AU1119" s="4" t="str">
        <f t="shared" si="120"/>
        <v>科技业务</v>
      </c>
      <c r="AV1119" s="4" t="str">
        <f t="shared" si="121"/>
        <v>IT职场费用</v>
      </c>
      <c r="AW1119" s="4" t="str">
        <f>IFERROR(VLOOKUP(AV1119,[1]字段!A:B,2,0),"")</f>
        <v>职场费用</v>
      </c>
      <c r="AX1119" s="30" t="str">
        <f>IF(AW1119="人力费用",IF(E1119="","",VLOOKUP(E1119,[1]字段!D:E,2,0)),AW1119)</f>
        <v>职场费用</v>
      </c>
      <c r="AY1119" s="30" t="str">
        <f>IF(AT1119="","",VLOOKUP(AT1119,[1]字段!H:I,2,0))</f>
        <v>职场费用</v>
      </c>
      <c r="AZ1119" s="31">
        <f t="shared" si="125"/>
        <v>0</v>
      </c>
      <c r="BA1119" s="31">
        <f t="shared" si="122"/>
        <v>0</v>
      </c>
      <c r="BB1119" s="31">
        <f t="shared" si="123"/>
        <v>0</v>
      </c>
      <c r="BC1119" s="31">
        <f t="shared" si="126"/>
        <v>0</v>
      </c>
    </row>
    <row r="1120" spans="1:55" ht="28.5" customHeight="1">
      <c r="C1120" s="33" t="s">
        <v>85</v>
      </c>
      <c r="D1120" s="34" t="s">
        <v>86</v>
      </c>
      <c r="E1120" s="35"/>
      <c r="F1120" s="36"/>
      <c r="G1120" s="29"/>
      <c r="H1120" s="29"/>
      <c r="I1120" s="29"/>
      <c r="J1120" s="29"/>
      <c r="K1120" s="29"/>
      <c r="L1120" s="29"/>
      <c r="M1120" s="29"/>
      <c r="N1120" s="29"/>
      <c r="O1120" s="29"/>
      <c r="P1120" s="29"/>
      <c r="Q1120" s="29"/>
      <c r="R1120" s="29"/>
      <c r="S1120" s="29"/>
      <c r="T1120" s="29"/>
      <c r="U1120" s="29"/>
      <c r="V1120" s="29"/>
      <c r="W1120" s="29"/>
      <c r="X1120" s="29"/>
      <c r="Y1120" s="29"/>
      <c r="Z1120" s="29"/>
      <c r="AA1120" s="29"/>
      <c r="AB1120" s="29"/>
      <c r="AC1120" s="29"/>
      <c r="AD1120" s="29"/>
      <c r="AE1120" s="29"/>
      <c r="AJ1120"/>
      <c r="AK1120"/>
      <c r="AL1120"/>
      <c r="AM1120"/>
      <c r="AN1120"/>
      <c r="AO1120"/>
      <c r="AP1120"/>
      <c r="AQ1120"/>
      <c r="AR1120"/>
      <c r="AS1120"/>
      <c r="AT1120" s="4" t="str">
        <f t="shared" si="124"/>
        <v>日常费用</v>
      </c>
      <c r="AU1120" s="4" t="str">
        <f t="shared" si="120"/>
        <v>科技业务</v>
      </c>
      <c r="AV1120" s="4" t="str">
        <f t="shared" si="121"/>
        <v>IT日常费用</v>
      </c>
      <c r="AW1120" s="4" t="str">
        <f>IFERROR(VLOOKUP(AV1120,[1]字段!A:B,2,0),"")</f>
        <v>日常费用</v>
      </c>
      <c r="AX1120" s="30" t="str">
        <f>IF(AW1120="人力费用",IF(E1120="","",VLOOKUP(E1120,[1]字段!D:E,2,0)),AW1120)</f>
        <v>日常费用</v>
      </c>
      <c r="AY1120" s="30">
        <f>IF(AT1120="","",VLOOKUP(AT1120,[1]字段!H:I,2,0))</f>
        <v>0</v>
      </c>
      <c r="AZ1120" s="31">
        <f t="shared" si="125"/>
        <v>0</v>
      </c>
      <c r="BA1120" s="31">
        <f t="shared" si="122"/>
        <v>0</v>
      </c>
      <c r="BB1120" s="31">
        <f t="shared" si="123"/>
        <v>0</v>
      </c>
      <c r="BC1120" s="31">
        <f t="shared" si="126"/>
        <v>0</v>
      </c>
    </row>
    <row r="1121" spans="1:55" ht="28.5" customHeight="1">
      <c r="A1121" s="32"/>
      <c r="B1121" s="32"/>
      <c r="C1121" s="37"/>
      <c r="D1121" s="38"/>
      <c r="E1121" s="39" t="s">
        <v>87</v>
      </c>
      <c r="F1121" s="39" t="s">
        <v>88</v>
      </c>
      <c r="G1121" s="29"/>
      <c r="H1121" s="29"/>
      <c r="I1121" s="29"/>
      <c r="J1121" s="29"/>
      <c r="K1121" s="29"/>
      <c r="L1121" s="29"/>
      <c r="M1121" s="29"/>
      <c r="N1121" s="29"/>
      <c r="O1121" s="29"/>
      <c r="P1121" s="29"/>
      <c r="Q1121" s="29"/>
      <c r="R1121" s="29"/>
      <c r="S1121" s="29"/>
      <c r="T1121" s="29"/>
      <c r="U1121" s="29"/>
      <c r="V1121" s="29"/>
      <c r="W1121" s="29"/>
      <c r="X1121" s="29"/>
      <c r="Y1121" s="29"/>
      <c r="Z1121" s="29"/>
      <c r="AA1121" s="29"/>
      <c r="AB1121" s="29"/>
      <c r="AC1121" s="29"/>
      <c r="AD1121" s="29"/>
      <c r="AE1121" s="29"/>
      <c r="AJ1121"/>
      <c r="AK1121"/>
      <c r="AL1121"/>
      <c r="AM1121"/>
      <c r="AN1121"/>
      <c r="AO1121"/>
      <c r="AP1121"/>
      <c r="AQ1121"/>
      <c r="AR1121"/>
      <c r="AS1121"/>
      <c r="AT1121" s="4" t="str">
        <f t="shared" si="124"/>
        <v>日常费用办公OA设备折旧费</v>
      </c>
      <c r="AU1121" s="4" t="str">
        <f t="shared" si="120"/>
        <v>科技业务</v>
      </c>
      <c r="AV1121" s="4" t="str">
        <f t="shared" si="121"/>
        <v>IT日常费用</v>
      </c>
      <c r="AW1121" s="4" t="str">
        <f>IFERROR(VLOOKUP(AV1121,[1]字段!A:B,2,0),"")</f>
        <v>日常费用</v>
      </c>
      <c r="AX1121" s="30" t="str">
        <f>IF(AW1121="人力费用",IF(E1121="","",VLOOKUP(E1121,[1]字段!D:E,2,0)),AW1121)</f>
        <v>日常费用</v>
      </c>
      <c r="AY1121" s="30" t="str">
        <f>IF(AT1121="","",VLOOKUP(AT1121,[1]字段!H:I,2,0))</f>
        <v>日常费用-其他</v>
      </c>
      <c r="AZ1121" s="31">
        <f t="shared" si="125"/>
        <v>0</v>
      </c>
      <c r="BA1121" s="31">
        <f t="shared" si="122"/>
        <v>0</v>
      </c>
      <c r="BB1121" s="31">
        <f t="shared" si="123"/>
        <v>0</v>
      </c>
      <c r="BC1121" s="31">
        <f t="shared" si="126"/>
        <v>0</v>
      </c>
    </row>
    <row r="1122" spans="1:55" ht="28.5" customHeight="1">
      <c r="A1122" s="32"/>
      <c r="B1122" s="32"/>
      <c r="C1122" s="32"/>
      <c r="D1122" s="40"/>
      <c r="E1122" s="39" t="s">
        <v>89</v>
      </c>
      <c r="F1122" s="39" t="s">
        <v>90</v>
      </c>
      <c r="G1122" s="29"/>
      <c r="H1122" s="29"/>
      <c r="I1122" s="29"/>
      <c r="J1122" s="29"/>
      <c r="K1122" s="29"/>
      <c r="L1122" s="29"/>
      <c r="M1122" s="29"/>
      <c r="N1122" s="29"/>
      <c r="O1122" s="29"/>
      <c r="P1122" s="29"/>
      <c r="Q1122" s="29"/>
      <c r="R1122" s="29"/>
      <c r="S1122" s="29"/>
      <c r="T1122" s="29"/>
      <c r="U1122" s="29"/>
      <c r="V1122" s="29"/>
      <c r="W1122" s="29"/>
      <c r="X1122" s="29"/>
      <c r="Y1122" s="29"/>
      <c r="Z1122" s="29"/>
      <c r="AA1122" s="29"/>
      <c r="AB1122" s="29"/>
      <c r="AC1122" s="29"/>
      <c r="AD1122" s="29"/>
      <c r="AE1122" s="29"/>
      <c r="AJ1122"/>
      <c r="AK1122"/>
      <c r="AL1122"/>
      <c r="AM1122"/>
      <c r="AN1122"/>
      <c r="AO1122"/>
      <c r="AP1122"/>
      <c r="AQ1122"/>
      <c r="AR1122"/>
      <c r="AS1122"/>
      <c r="AT1122" s="4" t="str">
        <f t="shared" si="124"/>
        <v>日常费用办公家具折旧费</v>
      </c>
      <c r="AU1122" s="4" t="str">
        <f t="shared" si="120"/>
        <v>科技业务</v>
      </c>
      <c r="AV1122" s="4" t="str">
        <f t="shared" si="121"/>
        <v>IT日常费用</v>
      </c>
      <c r="AW1122" s="4" t="str">
        <f>IFERROR(VLOOKUP(AV1122,[1]字段!A:B,2,0),"")</f>
        <v>日常费用</v>
      </c>
      <c r="AX1122" s="30" t="str">
        <f>IF(AW1122="人力费用",IF(E1122="","",VLOOKUP(E1122,[1]字段!D:E,2,0)),AW1122)</f>
        <v>日常费用</v>
      </c>
      <c r="AY1122" s="30" t="str">
        <f>IF(AT1122="","",VLOOKUP(AT1122,[1]字段!H:I,2,0))</f>
        <v>日常费用-其他</v>
      </c>
      <c r="AZ1122" s="31">
        <f t="shared" si="125"/>
        <v>0</v>
      </c>
      <c r="BA1122" s="31">
        <f t="shared" si="122"/>
        <v>0</v>
      </c>
      <c r="BB1122" s="31">
        <f t="shared" si="123"/>
        <v>0</v>
      </c>
      <c r="BC1122" s="31">
        <f t="shared" si="126"/>
        <v>0</v>
      </c>
    </row>
    <row r="1123" spans="1:55" ht="28.5" customHeight="1">
      <c r="A1123" s="32"/>
      <c r="B1123" s="32"/>
      <c r="C1123" s="32"/>
      <c r="D1123" s="40"/>
      <c r="E1123" s="39" t="s">
        <v>91</v>
      </c>
      <c r="F1123" s="39" t="s">
        <v>92</v>
      </c>
      <c r="G1123" s="29"/>
      <c r="H1123" s="29"/>
      <c r="I1123" s="29"/>
      <c r="J1123" s="29"/>
      <c r="K1123" s="29"/>
      <c r="L1123" s="29"/>
      <c r="M1123" s="29"/>
      <c r="N1123" s="29"/>
      <c r="O1123" s="29"/>
      <c r="P1123" s="29"/>
      <c r="Q1123" s="29"/>
      <c r="R1123" s="29"/>
      <c r="S1123" s="29"/>
      <c r="T1123" s="29"/>
      <c r="U1123" s="29"/>
      <c r="V1123" s="29"/>
      <c r="W1123" s="29"/>
      <c r="X1123" s="29"/>
      <c r="Y1123" s="29"/>
      <c r="Z1123" s="29"/>
      <c r="AA1123" s="29"/>
      <c r="AB1123" s="29"/>
      <c r="AC1123" s="29"/>
      <c r="AD1123" s="29"/>
      <c r="AE1123" s="29"/>
      <c r="AJ1123"/>
      <c r="AK1123"/>
      <c r="AL1123"/>
      <c r="AM1123"/>
      <c r="AN1123"/>
      <c r="AO1123"/>
      <c r="AP1123"/>
      <c r="AQ1123"/>
      <c r="AR1123"/>
      <c r="AS1123"/>
      <c r="AT1123" s="4" t="str">
        <f t="shared" si="124"/>
        <v>日常费用办公费用</v>
      </c>
      <c r="AU1123" s="4" t="str">
        <f t="shared" si="120"/>
        <v>科技业务</v>
      </c>
      <c r="AV1123" s="4" t="str">
        <f t="shared" si="121"/>
        <v>IT日常费用</v>
      </c>
      <c r="AW1123" s="4" t="str">
        <f>IFERROR(VLOOKUP(AV1123,[1]字段!A:B,2,0),"")</f>
        <v>日常费用</v>
      </c>
      <c r="AX1123" s="30" t="str">
        <f>IF(AW1123="人力费用",IF(E1123="","",VLOOKUP(E1123,[1]字段!D:E,2,0)),AW1123)</f>
        <v>日常费用</v>
      </c>
      <c r="AY1123" s="30" t="str">
        <f>IF(AT1123="","",VLOOKUP(AT1123,[1]字段!H:I,2,0))</f>
        <v>日常费用-其他</v>
      </c>
      <c r="AZ1123" s="31">
        <f t="shared" si="125"/>
        <v>0</v>
      </c>
      <c r="BA1123" s="31">
        <f t="shared" si="122"/>
        <v>0</v>
      </c>
      <c r="BB1123" s="31">
        <f t="shared" si="123"/>
        <v>0</v>
      </c>
      <c r="BC1123" s="31">
        <f t="shared" si="126"/>
        <v>0</v>
      </c>
    </row>
    <row r="1124" spans="1:55" ht="28.5" customHeight="1">
      <c r="A1124" s="32"/>
      <c r="B1124" s="32"/>
      <c r="C1124" s="32"/>
      <c r="D1124" s="40"/>
      <c r="E1124" s="39" t="s">
        <v>95</v>
      </c>
      <c r="F1124" s="39" t="s">
        <v>96</v>
      </c>
      <c r="G1124" s="29"/>
      <c r="H1124" s="29"/>
      <c r="I1124" s="29"/>
      <c r="J1124" s="29"/>
      <c r="K1124" s="29"/>
      <c r="L1124" s="29"/>
      <c r="M1124" s="29"/>
      <c r="N1124" s="29"/>
      <c r="O1124" s="29"/>
      <c r="P1124" s="29"/>
      <c r="Q1124" s="29"/>
      <c r="R1124" s="29"/>
      <c r="S1124" s="29"/>
      <c r="T1124" s="29"/>
      <c r="U1124" s="29"/>
      <c r="V1124" s="29"/>
      <c r="W1124" s="29"/>
      <c r="X1124" s="29"/>
      <c r="Y1124" s="29"/>
      <c r="Z1124" s="29"/>
      <c r="AA1124" s="29"/>
      <c r="AB1124" s="29"/>
      <c r="AC1124" s="29"/>
      <c r="AD1124" s="29"/>
      <c r="AE1124" s="29"/>
      <c r="AJ1124"/>
      <c r="AK1124"/>
      <c r="AL1124"/>
      <c r="AM1124"/>
      <c r="AN1124"/>
      <c r="AO1124"/>
      <c r="AP1124"/>
      <c r="AQ1124"/>
      <c r="AR1124"/>
      <c r="AS1124"/>
      <c r="AT1124" s="4" t="str">
        <f t="shared" si="124"/>
        <v>日常费用业务招待费</v>
      </c>
      <c r="AU1124" s="4" t="str">
        <f t="shared" si="120"/>
        <v>科技业务</v>
      </c>
      <c r="AV1124" s="4" t="str">
        <f t="shared" si="121"/>
        <v>IT日常费用</v>
      </c>
      <c r="AW1124" s="4" t="str">
        <f>IFERROR(VLOOKUP(AV1124,[1]字段!A:B,2,0),"")</f>
        <v>日常费用</v>
      </c>
      <c r="AX1124" s="30" t="str">
        <f>IF(AW1124="人力费用",IF(E1124="","",VLOOKUP(E1124,[1]字段!D:E,2,0)),AW1124)</f>
        <v>日常费用</v>
      </c>
      <c r="AY1124" s="30" t="str">
        <f>IF(AT1124="","",VLOOKUP(AT1124,[1]字段!H:I,2,0))</f>
        <v>日常费用-其他</v>
      </c>
      <c r="AZ1124" s="31">
        <f t="shared" si="125"/>
        <v>0</v>
      </c>
      <c r="BA1124" s="31">
        <f t="shared" si="122"/>
        <v>0</v>
      </c>
      <c r="BB1124" s="31">
        <f t="shared" si="123"/>
        <v>0</v>
      </c>
      <c r="BC1124" s="31">
        <f t="shared" si="126"/>
        <v>0</v>
      </c>
    </row>
    <row r="1125" spans="1:55" ht="28.5" customHeight="1">
      <c r="A1125" s="32"/>
      <c r="B1125" s="32"/>
      <c r="C1125" s="32"/>
      <c r="D1125" s="40"/>
      <c r="E1125" s="39" t="s">
        <v>139</v>
      </c>
      <c r="F1125" s="39" t="s">
        <v>140</v>
      </c>
      <c r="G1125" s="29"/>
      <c r="H1125" s="29"/>
      <c r="I1125" s="29"/>
      <c r="J1125" s="29"/>
      <c r="K1125" s="29"/>
      <c r="L1125" s="29"/>
      <c r="M1125" s="29"/>
      <c r="N1125" s="29"/>
      <c r="O1125" s="29"/>
      <c r="P1125" s="29"/>
      <c r="Q1125" s="29"/>
      <c r="R1125" s="29"/>
      <c r="S1125" s="29"/>
      <c r="T1125" s="29"/>
      <c r="U1125" s="29"/>
      <c r="V1125" s="29"/>
      <c r="W1125" s="29"/>
      <c r="X1125" s="29"/>
      <c r="Y1125" s="29"/>
      <c r="Z1125" s="29"/>
      <c r="AA1125" s="29"/>
      <c r="AB1125" s="29"/>
      <c r="AC1125" s="29"/>
      <c r="AD1125" s="29"/>
      <c r="AE1125" s="29"/>
      <c r="AJ1125"/>
      <c r="AK1125"/>
      <c r="AL1125"/>
      <c r="AM1125"/>
      <c r="AN1125"/>
      <c r="AO1125"/>
      <c r="AP1125"/>
      <c r="AQ1125"/>
      <c r="AR1125"/>
      <c r="AS1125"/>
      <c r="AT1125" s="4" t="str">
        <f t="shared" si="124"/>
        <v>日常费用差旅费</v>
      </c>
      <c r="AU1125" s="4" t="str">
        <f t="shared" si="120"/>
        <v>科技业务</v>
      </c>
      <c r="AV1125" s="4" t="str">
        <f t="shared" si="121"/>
        <v>IT日常费用</v>
      </c>
      <c r="AW1125" s="4" t="str">
        <f>IFERROR(VLOOKUP(AV1125,[1]字段!A:B,2,0),"")</f>
        <v>日常费用</v>
      </c>
      <c r="AX1125" s="30" t="str">
        <f>IF(AW1125="人力费用",IF(E1125="","",VLOOKUP(E1125,[1]字段!D:E,2,0)),AW1125)</f>
        <v>日常费用</v>
      </c>
      <c r="AY1125" s="30" t="str">
        <f>IF(AT1125="","",VLOOKUP(AT1125,[1]字段!H:I,2,0))</f>
        <v>日常费用-其他</v>
      </c>
      <c r="AZ1125" s="31">
        <f t="shared" si="125"/>
        <v>0</v>
      </c>
      <c r="BA1125" s="31">
        <f t="shared" si="122"/>
        <v>0</v>
      </c>
      <c r="BB1125" s="31">
        <f t="shared" si="123"/>
        <v>0</v>
      </c>
      <c r="BC1125" s="31">
        <f t="shared" si="126"/>
        <v>0</v>
      </c>
    </row>
    <row r="1126" spans="1:55" ht="28.5" customHeight="1">
      <c r="A1126" s="41"/>
      <c r="B1126" s="41"/>
      <c r="C1126" s="41"/>
      <c r="D1126" s="42"/>
      <c r="E1126" s="39" t="s">
        <v>104</v>
      </c>
      <c r="F1126" s="39" t="s">
        <v>105</v>
      </c>
      <c r="G1126" s="29"/>
      <c r="H1126" s="29"/>
      <c r="I1126" s="29"/>
      <c r="J1126" s="29"/>
      <c r="K1126" s="29"/>
      <c r="L1126" s="29"/>
      <c r="M1126" s="29"/>
      <c r="N1126" s="29"/>
      <c r="O1126" s="29"/>
      <c r="P1126" s="29"/>
      <c r="Q1126" s="29"/>
      <c r="R1126" s="29"/>
      <c r="S1126" s="29"/>
      <c r="T1126" s="29"/>
      <c r="U1126" s="29"/>
      <c r="V1126" s="29"/>
      <c r="W1126" s="29"/>
      <c r="X1126" s="29"/>
      <c r="Y1126" s="29"/>
      <c r="Z1126" s="29"/>
      <c r="AA1126" s="29"/>
      <c r="AB1126" s="29"/>
      <c r="AC1126" s="29"/>
      <c r="AD1126" s="29"/>
      <c r="AE1126" s="29"/>
      <c r="AJ1126"/>
      <c r="AK1126"/>
      <c r="AL1126"/>
      <c r="AM1126"/>
      <c r="AN1126"/>
      <c r="AO1126"/>
      <c r="AP1126"/>
      <c r="AQ1126"/>
      <c r="AR1126"/>
      <c r="AS1126"/>
      <c r="AT1126" s="4" t="str">
        <f t="shared" si="124"/>
        <v>日常费用会议费</v>
      </c>
      <c r="AU1126" s="4" t="str">
        <f t="shared" si="120"/>
        <v>科技业务</v>
      </c>
      <c r="AV1126" s="4" t="str">
        <f t="shared" si="121"/>
        <v>IT日常费用</v>
      </c>
      <c r="AW1126" s="4" t="str">
        <f>IFERROR(VLOOKUP(AV1126,[1]字段!A:B,2,0),"")</f>
        <v>日常费用</v>
      </c>
      <c r="AX1126" s="30" t="str">
        <f>IF(AW1126="人力费用",IF(E1126="","",VLOOKUP(E1126,[1]字段!D:E,2,0)),AW1126)</f>
        <v>日常费用</v>
      </c>
      <c r="AY1126" s="30" t="str">
        <f>IF(AT1126="","",VLOOKUP(AT1126,[1]字段!H:I,2,0))</f>
        <v>日常费用-其他</v>
      </c>
      <c r="AZ1126" s="31">
        <f t="shared" si="125"/>
        <v>0</v>
      </c>
      <c r="BA1126" s="31">
        <f t="shared" si="122"/>
        <v>0</v>
      </c>
      <c r="BB1126" s="31">
        <f t="shared" si="123"/>
        <v>0</v>
      </c>
      <c r="BC1126" s="31">
        <f t="shared" si="126"/>
        <v>0</v>
      </c>
    </row>
    <row r="1127" spans="1:55" ht="28.5" customHeight="1">
      <c r="A1127" s="25"/>
      <c r="B1127" s="26" t="s">
        <v>217</v>
      </c>
      <c r="C1127" s="27"/>
      <c r="D1127" s="27"/>
      <c r="E1127" s="27"/>
      <c r="F1127" s="28"/>
      <c r="G1127" s="29"/>
      <c r="H1127" s="29"/>
      <c r="I1127" s="29"/>
      <c r="J1127" s="29"/>
      <c r="K1127" s="29"/>
      <c r="L1127" s="29"/>
      <c r="M1127" s="29"/>
      <c r="N1127" s="29"/>
      <c r="O1127" s="29"/>
      <c r="P1127" s="29"/>
      <c r="Q1127" s="29"/>
      <c r="R1127" s="29"/>
      <c r="S1127" s="29"/>
      <c r="T1127" s="29"/>
      <c r="U1127" s="29"/>
      <c r="V1127" s="29"/>
      <c r="W1127" s="29"/>
      <c r="X1127" s="29"/>
      <c r="Y1127" s="29"/>
      <c r="Z1127" s="29"/>
      <c r="AA1127" s="29"/>
      <c r="AB1127" s="29"/>
      <c r="AC1127" s="29"/>
      <c r="AD1127" s="29"/>
      <c r="AE1127" s="29"/>
      <c r="AJ1127"/>
      <c r="AK1127"/>
      <c r="AL1127"/>
      <c r="AM1127"/>
      <c r="AN1127"/>
      <c r="AO1127"/>
      <c r="AP1127"/>
      <c r="AQ1127"/>
      <c r="AR1127"/>
      <c r="AS1127"/>
      <c r="AT1127" s="4" t="str">
        <f t="shared" si="124"/>
        <v/>
      </c>
      <c r="AU1127" s="4" t="str">
        <f t="shared" si="120"/>
        <v>国际发展部</v>
      </c>
      <c r="AV1127" s="4" t="str">
        <f t="shared" si="121"/>
        <v/>
      </c>
      <c r="AW1127" s="4" t="str">
        <f>IFERROR(VLOOKUP(AV1127,[1]字段!A:B,2,0),"")</f>
        <v/>
      </c>
      <c r="AX1127" s="30" t="str">
        <f>IF(AW1127="人力费用",IF(E1127="","",VLOOKUP(E1127,[1]字段!D:E,2,0)),AW1127)</f>
        <v/>
      </c>
      <c r="AY1127" s="30" t="str">
        <f>IF(AT1127="","",VLOOKUP(AT1127,[1]字段!H:I,2,0))</f>
        <v/>
      </c>
      <c r="AZ1127" s="31">
        <f t="shared" si="125"/>
        <v>0</v>
      </c>
      <c r="BA1127" s="31">
        <f t="shared" si="122"/>
        <v>0</v>
      </c>
      <c r="BB1127" s="31">
        <f t="shared" si="123"/>
        <v>0</v>
      </c>
      <c r="BC1127" s="31">
        <f t="shared" si="126"/>
        <v>0</v>
      </c>
    </row>
    <row r="1128" spans="1:55" ht="28.5" customHeight="1">
      <c r="A1128" s="32"/>
      <c r="B1128" s="32"/>
      <c r="C1128" s="33" t="s">
        <v>39</v>
      </c>
      <c r="D1128" s="34" t="s">
        <v>40</v>
      </c>
      <c r="E1128" s="35"/>
      <c r="F1128" s="36"/>
      <c r="G1128" s="29"/>
      <c r="H1128" s="29"/>
      <c r="I1128" s="29"/>
      <c r="J1128" s="29"/>
      <c r="K1128" s="29"/>
      <c r="L1128" s="29"/>
      <c r="M1128" s="29"/>
      <c r="N1128" s="29"/>
      <c r="O1128" s="29"/>
      <c r="P1128" s="29"/>
      <c r="Q1128" s="29"/>
      <c r="R1128" s="29"/>
      <c r="S1128" s="29"/>
      <c r="T1128" s="29"/>
      <c r="U1128" s="29"/>
      <c r="V1128" s="29"/>
      <c r="W1128" s="29"/>
      <c r="X1128" s="29"/>
      <c r="Y1128" s="29"/>
      <c r="Z1128" s="29"/>
      <c r="AA1128" s="29"/>
      <c r="AB1128" s="29"/>
      <c r="AC1128" s="29"/>
      <c r="AD1128" s="29"/>
      <c r="AE1128" s="29"/>
      <c r="AJ1128"/>
      <c r="AK1128"/>
      <c r="AL1128"/>
      <c r="AM1128"/>
      <c r="AN1128"/>
      <c r="AO1128"/>
      <c r="AP1128"/>
      <c r="AQ1128"/>
      <c r="AR1128"/>
      <c r="AS1128"/>
      <c r="AT1128" s="4" t="str">
        <f t="shared" si="124"/>
        <v/>
      </c>
      <c r="AU1128" s="4" t="str">
        <f t="shared" si="120"/>
        <v>国际发展部</v>
      </c>
      <c r="AV1128" s="4" t="str">
        <f t="shared" si="121"/>
        <v>人力费用</v>
      </c>
      <c r="AW1128" s="4" t="str">
        <f>IFERROR(VLOOKUP(AV1128,[1]字段!A:B,2,0),"")</f>
        <v>人力费用</v>
      </c>
      <c r="AX1128" s="30" t="str">
        <f>IF(AW1128="人力费用",IF(E1128="","",VLOOKUP(E1128,[1]字段!D:E,2,0)),AW1128)</f>
        <v/>
      </c>
      <c r="AY1128" s="30" t="str">
        <f>IF(AT1128="","",VLOOKUP(AT1128,[1]字段!H:I,2,0))</f>
        <v/>
      </c>
      <c r="AZ1128" s="31">
        <f t="shared" si="125"/>
        <v>0</v>
      </c>
      <c r="BA1128" s="31">
        <f t="shared" si="122"/>
        <v>0</v>
      </c>
      <c r="BB1128" s="31">
        <f t="shared" si="123"/>
        <v>0</v>
      </c>
      <c r="BC1128" s="31">
        <f t="shared" si="126"/>
        <v>0</v>
      </c>
    </row>
    <row r="1129" spans="1:55" ht="28.5" customHeight="1">
      <c r="A1129" s="32"/>
      <c r="B1129" s="32"/>
      <c r="C1129" s="37"/>
      <c r="D1129" s="38"/>
      <c r="E1129" s="39" t="s">
        <v>43</v>
      </c>
      <c r="F1129" s="39" t="s">
        <v>44</v>
      </c>
      <c r="G1129" s="29"/>
      <c r="H1129" s="29"/>
      <c r="I1129" s="29"/>
      <c r="J1129" s="29"/>
      <c r="K1129" s="29"/>
      <c r="L1129" s="29"/>
      <c r="M1129" s="29"/>
      <c r="N1129" s="29"/>
      <c r="O1129" s="29"/>
      <c r="P1129" s="29"/>
      <c r="Q1129" s="29"/>
      <c r="R1129" s="29"/>
      <c r="S1129" s="29"/>
      <c r="T1129" s="29"/>
      <c r="U1129" s="29"/>
      <c r="V1129" s="29"/>
      <c r="W1129" s="29"/>
      <c r="X1129" s="29"/>
      <c r="Y1129" s="29"/>
      <c r="Z1129" s="29"/>
      <c r="AA1129" s="29"/>
      <c r="AB1129" s="29"/>
      <c r="AC1129" s="29"/>
      <c r="AD1129" s="29"/>
      <c r="AE1129" s="29"/>
      <c r="AJ1129"/>
      <c r="AK1129"/>
      <c r="AL1129"/>
      <c r="AM1129"/>
      <c r="AN1129"/>
      <c r="AO1129"/>
      <c r="AP1129"/>
      <c r="AQ1129"/>
      <c r="AR1129"/>
      <c r="AS1129"/>
      <c r="AT1129" s="4" t="str">
        <f t="shared" si="124"/>
        <v>1.0倍人力团队建设费</v>
      </c>
      <c r="AU1129" s="4" t="str">
        <f t="shared" si="120"/>
        <v>国际发展部</v>
      </c>
      <c r="AV1129" s="4" t="str">
        <f t="shared" si="121"/>
        <v>人力费用</v>
      </c>
      <c r="AW1129" s="4" t="str">
        <f>IFERROR(VLOOKUP(AV1129,[1]字段!A:B,2,0),"")</f>
        <v>人力费用</v>
      </c>
      <c r="AX1129" s="30" t="str">
        <f>IF(AW1129="人力费用",IF(E1129="","",VLOOKUP(E1129,[1]字段!D:E,2,0)),AW1129)</f>
        <v>1.0倍人力</v>
      </c>
      <c r="AY1129" s="30" t="str">
        <f>IF(AT1129="","",VLOOKUP(AT1129,[1]字段!H:I,2,0))</f>
        <v>1.0倍人力</v>
      </c>
      <c r="AZ1129" s="31">
        <f t="shared" si="125"/>
        <v>0</v>
      </c>
      <c r="BA1129" s="31">
        <f t="shared" si="122"/>
        <v>0</v>
      </c>
      <c r="BB1129" s="31">
        <f t="shared" si="123"/>
        <v>0</v>
      </c>
      <c r="BC1129" s="31">
        <f t="shared" si="126"/>
        <v>0</v>
      </c>
    </row>
    <row r="1130" spans="1:55" ht="28.5" customHeight="1">
      <c r="A1130" s="32"/>
      <c r="B1130" s="32"/>
      <c r="C1130" s="32"/>
      <c r="D1130" s="40"/>
      <c r="E1130" s="39" t="s">
        <v>49</v>
      </c>
      <c r="F1130" s="39" t="s">
        <v>50</v>
      </c>
      <c r="G1130" s="29"/>
      <c r="H1130" s="29"/>
      <c r="I1130" s="29"/>
      <c r="J1130" s="29"/>
      <c r="K1130" s="29"/>
      <c r="L1130" s="29"/>
      <c r="M1130" s="29"/>
      <c r="N1130" s="29"/>
      <c r="O1130" s="29"/>
      <c r="P1130" s="29"/>
      <c r="Q1130" s="29"/>
      <c r="R1130" s="29"/>
      <c r="S1130" s="29"/>
      <c r="T1130" s="29"/>
      <c r="U1130" s="29"/>
      <c r="V1130" s="29"/>
      <c r="W1130" s="29"/>
      <c r="X1130" s="29"/>
      <c r="Y1130" s="29"/>
      <c r="Z1130" s="29"/>
      <c r="AA1130" s="29"/>
      <c r="AB1130" s="29"/>
      <c r="AC1130" s="29"/>
      <c r="AD1130" s="29"/>
      <c r="AE1130" s="29"/>
      <c r="AJ1130"/>
      <c r="AK1130"/>
      <c r="AL1130"/>
      <c r="AM1130"/>
      <c r="AN1130"/>
      <c r="AO1130"/>
      <c r="AP1130"/>
      <c r="AQ1130"/>
      <c r="AR1130"/>
      <c r="AS1130"/>
      <c r="AT1130" s="4" t="str">
        <f t="shared" si="124"/>
        <v>1.0倍人力基本养老保险</v>
      </c>
      <c r="AU1130" s="4" t="str">
        <f t="shared" si="120"/>
        <v>国际发展部</v>
      </c>
      <c r="AV1130" s="4" t="str">
        <f t="shared" si="121"/>
        <v>人力费用</v>
      </c>
      <c r="AW1130" s="4" t="str">
        <f>IFERROR(VLOOKUP(AV1130,[1]字段!A:B,2,0),"")</f>
        <v>人力费用</v>
      </c>
      <c r="AX1130" s="30" t="str">
        <f>IF(AW1130="人力费用",IF(E1130="","",VLOOKUP(E1130,[1]字段!D:E,2,0)),AW1130)</f>
        <v>1.0倍人力</v>
      </c>
      <c r="AY1130" s="30" t="str">
        <f>IF(AT1130="","",VLOOKUP(AT1130,[1]字段!H:I,2,0))</f>
        <v>1.0倍人力</v>
      </c>
      <c r="AZ1130" s="31">
        <f t="shared" si="125"/>
        <v>0</v>
      </c>
      <c r="BA1130" s="31">
        <f t="shared" si="122"/>
        <v>0</v>
      </c>
      <c r="BB1130" s="31">
        <f t="shared" si="123"/>
        <v>0</v>
      </c>
      <c r="BC1130" s="31">
        <f t="shared" si="126"/>
        <v>0</v>
      </c>
    </row>
    <row r="1131" spans="1:55" ht="28.5" customHeight="1">
      <c r="A1131" s="32"/>
      <c r="B1131" s="32"/>
      <c r="C1131" s="32"/>
      <c r="D1131" s="40"/>
      <c r="E1131" s="39" t="s">
        <v>51</v>
      </c>
      <c r="F1131" s="39" t="s">
        <v>52</v>
      </c>
      <c r="G1131" s="29"/>
      <c r="H1131" s="29"/>
      <c r="I1131" s="29"/>
      <c r="J1131" s="29"/>
      <c r="K1131" s="29"/>
      <c r="L1131" s="29"/>
      <c r="M1131" s="29"/>
      <c r="N1131" s="29"/>
      <c r="O1131" s="29"/>
      <c r="P1131" s="29"/>
      <c r="Q1131" s="29"/>
      <c r="R1131" s="29"/>
      <c r="S1131" s="29"/>
      <c r="T1131" s="29"/>
      <c r="U1131" s="29"/>
      <c r="V1131" s="29"/>
      <c r="W1131" s="29"/>
      <c r="X1131" s="29"/>
      <c r="Y1131" s="29"/>
      <c r="Z1131" s="29"/>
      <c r="AA1131" s="29"/>
      <c r="AB1131" s="29"/>
      <c r="AC1131" s="29"/>
      <c r="AD1131" s="29"/>
      <c r="AE1131" s="29"/>
      <c r="AJ1131"/>
      <c r="AK1131"/>
      <c r="AL1131"/>
      <c r="AM1131"/>
      <c r="AN1131"/>
      <c r="AO1131"/>
      <c r="AP1131"/>
      <c r="AQ1131"/>
      <c r="AR1131"/>
      <c r="AS1131"/>
      <c r="AT1131" s="4" t="str">
        <f t="shared" si="124"/>
        <v>1.0倍人力基本医疗保险</v>
      </c>
      <c r="AU1131" s="4" t="str">
        <f t="shared" si="120"/>
        <v>国际发展部</v>
      </c>
      <c r="AV1131" s="4" t="str">
        <f t="shared" si="121"/>
        <v>人力费用</v>
      </c>
      <c r="AW1131" s="4" t="str">
        <f>IFERROR(VLOOKUP(AV1131,[1]字段!A:B,2,0),"")</f>
        <v>人力费用</v>
      </c>
      <c r="AX1131" s="30" t="str">
        <f>IF(AW1131="人力费用",IF(E1131="","",VLOOKUP(E1131,[1]字段!D:E,2,0)),AW1131)</f>
        <v>1.0倍人力</v>
      </c>
      <c r="AY1131" s="30" t="str">
        <f>IF(AT1131="","",VLOOKUP(AT1131,[1]字段!H:I,2,0))</f>
        <v>1.0倍人力</v>
      </c>
      <c r="AZ1131" s="31">
        <f t="shared" si="125"/>
        <v>0</v>
      </c>
      <c r="BA1131" s="31">
        <f t="shared" si="122"/>
        <v>0</v>
      </c>
      <c r="BB1131" s="31">
        <f t="shared" si="123"/>
        <v>0</v>
      </c>
      <c r="BC1131" s="31">
        <f t="shared" si="126"/>
        <v>0</v>
      </c>
    </row>
    <row r="1132" spans="1:55" ht="28.5" customHeight="1">
      <c r="A1132" s="32"/>
      <c r="B1132" s="32"/>
      <c r="C1132" s="32"/>
      <c r="D1132" s="40"/>
      <c r="E1132" s="39" t="s">
        <v>53</v>
      </c>
      <c r="F1132" s="39" t="s">
        <v>54</v>
      </c>
      <c r="G1132" s="29"/>
      <c r="H1132" s="29"/>
      <c r="I1132" s="29"/>
      <c r="J1132" s="29"/>
      <c r="K1132" s="29"/>
      <c r="L1132" s="29"/>
      <c r="M1132" s="29"/>
      <c r="N1132" s="29"/>
      <c r="O1132" s="29"/>
      <c r="P1132" s="29"/>
      <c r="Q1132" s="29"/>
      <c r="R1132" s="29"/>
      <c r="S1132" s="29"/>
      <c r="T1132" s="29"/>
      <c r="U1132" s="29"/>
      <c r="V1132" s="29"/>
      <c r="W1132" s="29"/>
      <c r="X1132" s="29"/>
      <c r="Y1132" s="29"/>
      <c r="Z1132" s="29"/>
      <c r="AA1132" s="29"/>
      <c r="AB1132" s="29"/>
      <c r="AC1132" s="29"/>
      <c r="AD1132" s="29"/>
      <c r="AE1132" s="29"/>
      <c r="AJ1132"/>
      <c r="AK1132"/>
      <c r="AL1132"/>
      <c r="AM1132"/>
      <c r="AN1132"/>
      <c r="AO1132"/>
      <c r="AP1132"/>
      <c r="AQ1132"/>
      <c r="AR1132"/>
      <c r="AS1132"/>
      <c r="AT1132" s="4" t="str">
        <f t="shared" si="124"/>
        <v>1.0倍人力工伤保险</v>
      </c>
      <c r="AU1132" s="4" t="str">
        <f t="shared" si="120"/>
        <v>国际发展部</v>
      </c>
      <c r="AV1132" s="4" t="str">
        <f t="shared" si="121"/>
        <v>人力费用</v>
      </c>
      <c r="AW1132" s="4" t="str">
        <f>IFERROR(VLOOKUP(AV1132,[1]字段!A:B,2,0),"")</f>
        <v>人力费用</v>
      </c>
      <c r="AX1132" s="30" t="str">
        <f>IF(AW1132="人力费用",IF(E1132="","",VLOOKUP(E1132,[1]字段!D:E,2,0)),AW1132)</f>
        <v>1.0倍人力</v>
      </c>
      <c r="AY1132" s="30" t="str">
        <f>IF(AT1132="","",VLOOKUP(AT1132,[1]字段!H:I,2,0))</f>
        <v>1.0倍人力</v>
      </c>
      <c r="AZ1132" s="31">
        <f t="shared" si="125"/>
        <v>0</v>
      </c>
      <c r="BA1132" s="31">
        <f t="shared" si="122"/>
        <v>0</v>
      </c>
      <c r="BB1132" s="31">
        <f t="shared" si="123"/>
        <v>0</v>
      </c>
      <c r="BC1132" s="31">
        <f t="shared" si="126"/>
        <v>0</v>
      </c>
    </row>
    <row r="1133" spans="1:55" ht="28.5" customHeight="1">
      <c r="A1133" s="32"/>
      <c r="B1133" s="32"/>
      <c r="C1133" s="32"/>
      <c r="D1133" s="40"/>
      <c r="E1133" s="39" t="s">
        <v>55</v>
      </c>
      <c r="F1133" s="39" t="s">
        <v>56</v>
      </c>
      <c r="G1133" s="29"/>
      <c r="H1133" s="29"/>
      <c r="I1133" s="29"/>
      <c r="J1133" s="29"/>
      <c r="K1133" s="29"/>
      <c r="L1133" s="29"/>
      <c r="M1133" s="29"/>
      <c r="N1133" s="29"/>
      <c r="O1133" s="29"/>
      <c r="P1133" s="29"/>
      <c r="Q1133" s="29"/>
      <c r="R1133" s="29"/>
      <c r="S1133" s="29"/>
      <c r="T1133" s="29"/>
      <c r="U1133" s="29"/>
      <c r="V1133" s="29"/>
      <c r="W1133" s="29"/>
      <c r="X1133" s="29"/>
      <c r="Y1133" s="29"/>
      <c r="Z1133" s="29"/>
      <c r="AA1133" s="29"/>
      <c r="AB1133" s="29"/>
      <c r="AC1133" s="29"/>
      <c r="AD1133" s="29"/>
      <c r="AE1133" s="29"/>
      <c r="AJ1133"/>
      <c r="AK1133"/>
      <c r="AL1133"/>
      <c r="AM1133"/>
      <c r="AN1133"/>
      <c r="AO1133"/>
      <c r="AP1133"/>
      <c r="AQ1133"/>
      <c r="AR1133"/>
      <c r="AS1133"/>
      <c r="AT1133" s="4" t="str">
        <f t="shared" si="124"/>
        <v>1.0倍人力生育保险</v>
      </c>
      <c r="AU1133" s="4" t="str">
        <f t="shared" si="120"/>
        <v>国际发展部</v>
      </c>
      <c r="AV1133" s="4" t="str">
        <f t="shared" si="121"/>
        <v>人力费用</v>
      </c>
      <c r="AW1133" s="4" t="str">
        <f>IFERROR(VLOOKUP(AV1133,[1]字段!A:B,2,0),"")</f>
        <v>人力费用</v>
      </c>
      <c r="AX1133" s="30" t="str">
        <f>IF(AW1133="人力费用",IF(E1133="","",VLOOKUP(E1133,[1]字段!D:E,2,0)),AW1133)</f>
        <v>1.0倍人力</v>
      </c>
      <c r="AY1133" s="30" t="str">
        <f>IF(AT1133="","",VLOOKUP(AT1133,[1]字段!H:I,2,0))</f>
        <v>1.0倍人力</v>
      </c>
      <c r="AZ1133" s="31">
        <f t="shared" si="125"/>
        <v>0</v>
      </c>
      <c r="BA1133" s="31">
        <f t="shared" si="122"/>
        <v>0</v>
      </c>
      <c r="BB1133" s="31">
        <f t="shared" si="123"/>
        <v>0</v>
      </c>
      <c r="BC1133" s="31">
        <f t="shared" si="126"/>
        <v>0</v>
      </c>
    </row>
    <row r="1134" spans="1:55" ht="28.5" customHeight="1">
      <c r="A1134" s="32"/>
      <c r="B1134" s="32"/>
      <c r="C1134" s="32"/>
      <c r="D1134" s="40"/>
      <c r="E1134" s="39" t="s">
        <v>57</v>
      </c>
      <c r="F1134" s="39" t="s">
        <v>58</v>
      </c>
      <c r="G1134" s="29"/>
      <c r="H1134" s="29"/>
      <c r="I1134" s="29"/>
      <c r="J1134" s="29"/>
      <c r="K1134" s="29"/>
      <c r="L1134" s="29"/>
      <c r="M1134" s="29"/>
      <c r="N1134" s="29"/>
      <c r="O1134" s="29"/>
      <c r="P1134" s="29"/>
      <c r="Q1134" s="29"/>
      <c r="R1134" s="29"/>
      <c r="S1134" s="29"/>
      <c r="T1134" s="29"/>
      <c r="U1134" s="29"/>
      <c r="V1134" s="29"/>
      <c r="W1134" s="29"/>
      <c r="X1134" s="29"/>
      <c r="Y1134" s="29"/>
      <c r="Z1134" s="29"/>
      <c r="AA1134" s="29"/>
      <c r="AB1134" s="29"/>
      <c r="AC1134" s="29"/>
      <c r="AD1134" s="29"/>
      <c r="AE1134" s="29"/>
      <c r="AJ1134"/>
      <c r="AK1134"/>
      <c r="AL1134"/>
      <c r="AM1134"/>
      <c r="AN1134"/>
      <c r="AO1134"/>
      <c r="AP1134"/>
      <c r="AQ1134"/>
      <c r="AR1134"/>
      <c r="AS1134"/>
      <c r="AT1134" s="4" t="str">
        <f t="shared" si="124"/>
        <v>1.0倍人力失业保险</v>
      </c>
      <c r="AU1134" s="4" t="str">
        <f t="shared" si="120"/>
        <v>国际发展部</v>
      </c>
      <c r="AV1134" s="4" t="str">
        <f t="shared" si="121"/>
        <v>人力费用</v>
      </c>
      <c r="AW1134" s="4" t="str">
        <f>IFERROR(VLOOKUP(AV1134,[1]字段!A:B,2,0),"")</f>
        <v>人力费用</v>
      </c>
      <c r="AX1134" s="30" t="str">
        <f>IF(AW1134="人力费用",IF(E1134="","",VLOOKUP(E1134,[1]字段!D:E,2,0)),AW1134)</f>
        <v>1.0倍人力</v>
      </c>
      <c r="AY1134" s="30" t="str">
        <f>IF(AT1134="","",VLOOKUP(AT1134,[1]字段!H:I,2,0))</f>
        <v>1.0倍人力</v>
      </c>
      <c r="AZ1134" s="31">
        <f t="shared" si="125"/>
        <v>0</v>
      </c>
      <c r="BA1134" s="31">
        <f t="shared" si="122"/>
        <v>0</v>
      </c>
      <c r="BB1134" s="31">
        <f t="shared" si="123"/>
        <v>0</v>
      </c>
      <c r="BC1134" s="31">
        <f t="shared" si="126"/>
        <v>0</v>
      </c>
    </row>
    <row r="1135" spans="1:55" ht="28.5" customHeight="1">
      <c r="A1135" s="41"/>
      <c r="B1135" s="41"/>
      <c r="C1135" s="41"/>
      <c r="D1135" s="42"/>
      <c r="E1135" s="39" t="s">
        <v>59</v>
      </c>
      <c r="F1135" s="39" t="s">
        <v>60</v>
      </c>
      <c r="G1135" s="29"/>
      <c r="H1135" s="29"/>
      <c r="I1135" s="29"/>
      <c r="J1135" s="29"/>
      <c r="K1135" s="29"/>
      <c r="L1135" s="29"/>
      <c r="M1135" s="29"/>
      <c r="N1135" s="29"/>
      <c r="O1135" s="29"/>
      <c r="P1135" s="29"/>
      <c r="Q1135" s="29"/>
      <c r="R1135" s="29"/>
      <c r="S1135" s="29"/>
      <c r="T1135" s="29"/>
      <c r="U1135" s="29"/>
      <c r="V1135" s="29"/>
      <c r="W1135" s="29"/>
      <c r="X1135" s="29"/>
      <c r="Y1135" s="29"/>
      <c r="Z1135" s="29"/>
      <c r="AA1135" s="29"/>
      <c r="AB1135" s="29"/>
      <c r="AC1135" s="29"/>
      <c r="AD1135" s="29"/>
      <c r="AE1135" s="29"/>
      <c r="AJ1135"/>
      <c r="AK1135"/>
      <c r="AL1135"/>
      <c r="AM1135"/>
      <c r="AN1135"/>
      <c r="AO1135"/>
      <c r="AP1135"/>
      <c r="AQ1135"/>
      <c r="AR1135"/>
      <c r="AS1135"/>
      <c r="AT1135" s="4" t="str">
        <f t="shared" si="124"/>
        <v>1.0倍人力住房公积金</v>
      </c>
      <c r="AU1135" s="4" t="str">
        <f t="shared" si="120"/>
        <v>国际发展部</v>
      </c>
      <c r="AV1135" s="4" t="str">
        <f t="shared" si="121"/>
        <v>人力费用</v>
      </c>
      <c r="AW1135" s="4" t="str">
        <f>IFERROR(VLOOKUP(AV1135,[1]字段!A:B,2,0),"")</f>
        <v>人力费用</v>
      </c>
      <c r="AX1135" s="30" t="str">
        <f>IF(AW1135="人力费用",IF(E1135="","",VLOOKUP(E1135,[1]字段!D:E,2,0)),AW1135)</f>
        <v>1.0倍人力</v>
      </c>
      <c r="AY1135" s="30" t="str">
        <f>IF(AT1135="","",VLOOKUP(AT1135,[1]字段!H:I,2,0))</f>
        <v>1.0倍人力</v>
      </c>
      <c r="AZ1135" s="31">
        <f t="shared" si="125"/>
        <v>0</v>
      </c>
      <c r="BA1135" s="31">
        <f t="shared" si="122"/>
        <v>0</v>
      </c>
      <c r="BB1135" s="31">
        <f t="shared" si="123"/>
        <v>0</v>
      </c>
      <c r="BC1135" s="31">
        <f t="shared" si="126"/>
        <v>0</v>
      </c>
    </row>
    <row r="1136" spans="1:55" ht="28.5" customHeight="1">
      <c r="A1136" s="25"/>
      <c r="B1136" s="26" t="s">
        <v>217</v>
      </c>
      <c r="C1136" s="27"/>
      <c r="D1136" s="27"/>
      <c r="E1136" s="27"/>
      <c r="F1136" s="28"/>
      <c r="G1136" s="29"/>
      <c r="H1136" s="29"/>
      <c r="I1136" s="29"/>
      <c r="J1136" s="29"/>
      <c r="K1136" s="29"/>
      <c r="L1136" s="29"/>
      <c r="M1136" s="29"/>
      <c r="N1136" s="29"/>
      <c r="O1136" s="29"/>
      <c r="P1136" s="29"/>
      <c r="Q1136" s="29"/>
      <c r="R1136" s="29"/>
      <c r="S1136" s="29"/>
      <c r="T1136" s="29"/>
      <c r="U1136" s="29"/>
      <c r="V1136" s="29"/>
      <c r="W1136" s="29"/>
      <c r="X1136" s="29"/>
      <c r="Y1136" s="29"/>
      <c r="Z1136" s="29"/>
      <c r="AA1136" s="29"/>
      <c r="AB1136" s="29"/>
      <c r="AC1136" s="29"/>
      <c r="AD1136" s="29"/>
      <c r="AE1136" s="29"/>
      <c r="AJ1136"/>
      <c r="AK1136"/>
      <c r="AL1136"/>
      <c r="AM1136"/>
      <c r="AN1136"/>
      <c r="AO1136"/>
      <c r="AP1136"/>
      <c r="AQ1136"/>
      <c r="AR1136"/>
      <c r="AS1136"/>
      <c r="AT1136" s="4" t="str">
        <f t="shared" si="124"/>
        <v/>
      </c>
      <c r="AU1136" s="4" t="str">
        <f t="shared" si="120"/>
        <v>国际发展部</v>
      </c>
      <c r="AV1136" s="4" t="str">
        <f t="shared" si="121"/>
        <v/>
      </c>
      <c r="AW1136" s="4" t="str">
        <f>IFERROR(VLOOKUP(AV1136,[1]字段!A:B,2,0),"")</f>
        <v/>
      </c>
      <c r="AX1136" s="30" t="str">
        <f>IF(AW1136="人力费用",IF(E1136="","",VLOOKUP(E1136,[1]字段!D:E,2,0)),AW1136)</f>
        <v/>
      </c>
      <c r="AY1136" s="30" t="str">
        <f>IF(AT1136="","",VLOOKUP(AT1136,[1]字段!H:I,2,0))</f>
        <v/>
      </c>
      <c r="AZ1136" s="31">
        <f t="shared" si="125"/>
        <v>0</v>
      </c>
      <c r="BA1136" s="31">
        <f t="shared" si="122"/>
        <v>0</v>
      </c>
      <c r="BB1136" s="31">
        <f t="shared" si="123"/>
        <v>0</v>
      </c>
      <c r="BC1136" s="31">
        <f t="shared" si="126"/>
        <v>0</v>
      </c>
    </row>
    <row r="1137" spans="1:55" ht="28.5" customHeight="1">
      <c r="A1137" s="32"/>
      <c r="B1137" s="32"/>
      <c r="C1137" s="33" t="s">
        <v>39</v>
      </c>
      <c r="D1137" s="34" t="s">
        <v>40</v>
      </c>
      <c r="E1137" s="35"/>
      <c r="F1137" s="36"/>
      <c r="G1137" s="29"/>
      <c r="H1137" s="29"/>
      <c r="I1137" s="29"/>
      <c r="J1137" s="29"/>
      <c r="K1137" s="29"/>
      <c r="L1137" s="29"/>
      <c r="M1137" s="29"/>
      <c r="N1137" s="29"/>
      <c r="O1137" s="29"/>
      <c r="P1137" s="29"/>
      <c r="Q1137" s="29"/>
      <c r="R1137" s="29"/>
      <c r="S1137" s="29"/>
      <c r="T1137" s="29"/>
      <c r="U1137" s="29"/>
      <c r="V1137" s="29"/>
      <c r="W1137" s="29"/>
      <c r="X1137" s="29"/>
      <c r="Y1137" s="29"/>
      <c r="Z1137" s="29"/>
      <c r="AA1137" s="29"/>
      <c r="AB1137" s="29"/>
      <c r="AC1137" s="29"/>
      <c r="AD1137" s="29"/>
      <c r="AE1137" s="29"/>
      <c r="AJ1137"/>
      <c r="AK1137"/>
      <c r="AL1137"/>
      <c r="AM1137"/>
      <c r="AN1137"/>
      <c r="AO1137"/>
      <c r="AP1137"/>
      <c r="AQ1137"/>
      <c r="AR1137"/>
      <c r="AS1137"/>
      <c r="AT1137" s="4" t="str">
        <f t="shared" si="124"/>
        <v/>
      </c>
      <c r="AU1137" s="4" t="str">
        <f t="shared" si="120"/>
        <v>国际发展部</v>
      </c>
      <c r="AV1137" s="4" t="str">
        <f t="shared" si="121"/>
        <v>人力费用</v>
      </c>
      <c r="AW1137" s="4" t="str">
        <f>IFERROR(VLOOKUP(AV1137,[1]字段!A:B,2,0),"")</f>
        <v>人力费用</v>
      </c>
      <c r="AX1137" s="30" t="str">
        <f>IF(AW1137="人力费用",IF(E1137="","",VLOOKUP(E1137,[1]字段!D:E,2,0)),AW1137)</f>
        <v/>
      </c>
      <c r="AY1137" s="30" t="str">
        <f>IF(AT1137="","",VLOOKUP(AT1137,[1]字段!H:I,2,0))</f>
        <v/>
      </c>
      <c r="AZ1137" s="31">
        <f t="shared" si="125"/>
        <v>0</v>
      </c>
      <c r="BA1137" s="31">
        <f t="shared" si="122"/>
        <v>0</v>
      </c>
      <c r="BB1137" s="31">
        <f t="shared" si="123"/>
        <v>0</v>
      </c>
      <c r="BC1137" s="31">
        <f t="shared" si="126"/>
        <v>0</v>
      </c>
    </row>
    <row r="1138" spans="1:55" ht="28.5" customHeight="1">
      <c r="A1138" s="32"/>
      <c r="B1138" s="32"/>
      <c r="C1138" s="37"/>
      <c r="D1138" s="38"/>
      <c r="E1138" s="39" t="s">
        <v>41</v>
      </c>
      <c r="F1138" s="39" t="s">
        <v>42</v>
      </c>
      <c r="G1138" s="29"/>
      <c r="H1138" s="29"/>
      <c r="I1138" s="29"/>
      <c r="J1138" s="29"/>
      <c r="K1138" s="29"/>
      <c r="L1138" s="29"/>
      <c r="M1138" s="29"/>
      <c r="N1138" s="29"/>
      <c r="O1138" s="29"/>
      <c r="P1138" s="29"/>
      <c r="Q1138" s="29"/>
      <c r="R1138" s="29"/>
      <c r="S1138" s="29"/>
      <c r="T1138" s="29"/>
      <c r="U1138" s="29"/>
      <c r="V1138" s="29"/>
      <c r="W1138" s="29"/>
      <c r="X1138" s="29"/>
      <c r="Y1138" s="29"/>
      <c r="Z1138" s="29"/>
      <c r="AA1138" s="29"/>
      <c r="AB1138" s="29"/>
      <c r="AC1138" s="29"/>
      <c r="AD1138" s="29"/>
      <c r="AE1138" s="29"/>
      <c r="AJ1138"/>
      <c r="AK1138"/>
      <c r="AL1138"/>
      <c r="AM1138"/>
      <c r="AN1138"/>
      <c r="AO1138"/>
      <c r="AP1138"/>
      <c r="AQ1138"/>
      <c r="AR1138"/>
      <c r="AS1138"/>
      <c r="AT1138" s="4" t="str">
        <f t="shared" si="124"/>
        <v>1.0倍人力基础工资</v>
      </c>
      <c r="AU1138" s="4" t="str">
        <f t="shared" si="120"/>
        <v>国际发展部</v>
      </c>
      <c r="AV1138" s="4" t="str">
        <f t="shared" si="121"/>
        <v>人力费用</v>
      </c>
      <c r="AW1138" s="4" t="str">
        <f>IFERROR(VLOOKUP(AV1138,[1]字段!A:B,2,0),"")</f>
        <v>人力费用</v>
      </c>
      <c r="AX1138" s="30" t="str">
        <f>IF(AW1138="人力费用",IF(E1138="","",VLOOKUP(E1138,[1]字段!D:E,2,0)),AW1138)</f>
        <v>1.0倍人力</v>
      </c>
      <c r="AY1138" s="30" t="str">
        <f>IF(AT1138="","",VLOOKUP(AT1138,[1]字段!H:I,2,0))</f>
        <v>1.0倍人力</v>
      </c>
      <c r="AZ1138" s="31">
        <f t="shared" si="125"/>
        <v>0</v>
      </c>
      <c r="BA1138" s="31">
        <f t="shared" si="122"/>
        <v>0</v>
      </c>
      <c r="BB1138" s="31">
        <f t="shared" si="123"/>
        <v>0</v>
      </c>
      <c r="BC1138" s="31">
        <f t="shared" si="126"/>
        <v>0</v>
      </c>
    </row>
    <row r="1139" spans="1:55" ht="28.5" customHeight="1">
      <c r="A1139" s="32"/>
      <c r="B1139" s="32"/>
      <c r="C1139" s="32"/>
      <c r="D1139" s="40"/>
      <c r="E1139" s="39">
        <v>5501010604</v>
      </c>
      <c r="F1139" s="39"/>
      <c r="G1139" s="29"/>
      <c r="H1139" s="29"/>
      <c r="I1139" s="29"/>
      <c r="J1139" s="29"/>
      <c r="K1139" s="29"/>
      <c r="L1139" s="29"/>
      <c r="M1139" s="29"/>
      <c r="N1139" s="29"/>
      <c r="O1139" s="29"/>
      <c r="P1139" s="29"/>
      <c r="Q1139" s="29"/>
      <c r="R1139" s="29"/>
      <c r="S1139" s="29"/>
      <c r="T1139" s="29"/>
      <c r="U1139" s="29"/>
      <c r="V1139" s="29"/>
      <c r="W1139" s="29"/>
      <c r="X1139" s="29"/>
      <c r="Y1139" s="29"/>
      <c r="Z1139" s="29"/>
      <c r="AA1139" s="29"/>
      <c r="AB1139" s="29"/>
      <c r="AC1139" s="29"/>
      <c r="AD1139" s="29"/>
      <c r="AE1139" s="29"/>
      <c r="AJ1139"/>
      <c r="AK1139"/>
      <c r="AL1139"/>
      <c r="AM1139"/>
      <c r="AN1139"/>
      <c r="AO1139"/>
      <c r="AP1139"/>
      <c r="AQ1139"/>
      <c r="AR1139"/>
      <c r="AS1139"/>
      <c r="AT1139" s="4" t="str">
        <f t="shared" si="124"/>
        <v>1.0倍人力</v>
      </c>
      <c r="AU1139" s="4" t="str">
        <f t="shared" si="120"/>
        <v>国际发展部</v>
      </c>
      <c r="AV1139" s="4" t="str">
        <f t="shared" si="121"/>
        <v>人力费用</v>
      </c>
      <c r="AW1139" s="4" t="str">
        <f>IFERROR(VLOOKUP(AV1139,[1]字段!A:B,2,0),"")</f>
        <v>人力费用</v>
      </c>
      <c r="AX1139" s="30" t="str">
        <f>IF(AW1139="人力费用",IF(E1139="","",VLOOKUP(E1139,[1]字段!D:E,2,0)),AW1139)</f>
        <v>1.0倍人力</v>
      </c>
      <c r="AY1139" s="30" t="str">
        <f>IF(AT1139="","",VLOOKUP(AT1139,[1]字段!H:I,2,0))</f>
        <v>1.0倍人力</v>
      </c>
      <c r="AZ1139" s="31">
        <f t="shared" si="125"/>
        <v>0</v>
      </c>
      <c r="BA1139" s="31">
        <f t="shared" si="122"/>
        <v>0</v>
      </c>
      <c r="BB1139" s="31">
        <f t="shared" si="123"/>
        <v>0</v>
      </c>
      <c r="BC1139" s="31">
        <f t="shared" si="126"/>
        <v>0</v>
      </c>
    </row>
    <row r="1140" spans="1:55" ht="28.5" customHeight="1">
      <c r="A1140" s="32"/>
      <c r="B1140" s="32"/>
      <c r="C1140" s="32"/>
      <c r="D1140" s="40"/>
      <c r="E1140" s="39" t="s">
        <v>43</v>
      </c>
      <c r="F1140" s="39" t="s">
        <v>44</v>
      </c>
      <c r="G1140" s="29"/>
      <c r="H1140" s="29"/>
      <c r="I1140" s="29"/>
      <c r="J1140" s="29"/>
      <c r="K1140" s="29"/>
      <c r="L1140" s="29"/>
      <c r="M1140" s="29"/>
      <c r="N1140" s="29"/>
      <c r="O1140" s="29"/>
      <c r="P1140" s="29"/>
      <c r="Q1140" s="29"/>
      <c r="R1140" s="29"/>
      <c r="S1140" s="29"/>
      <c r="T1140" s="29"/>
      <c r="U1140" s="29"/>
      <c r="V1140" s="29"/>
      <c r="W1140" s="29"/>
      <c r="X1140" s="29"/>
      <c r="Y1140" s="29"/>
      <c r="Z1140" s="29"/>
      <c r="AA1140" s="29"/>
      <c r="AB1140" s="29"/>
      <c r="AC1140" s="29"/>
      <c r="AD1140" s="29"/>
      <c r="AE1140" s="29"/>
      <c r="AJ1140"/>
      <c r="AK1140"/>
      <c r="AL1140"/>
      <c r="AM1140"/>
      <c r="AN1140"/>
      <c r="AO1140"/>
      <c r="AP1140"/>
      <c r="AQ1140"/>
      <c r="AR1140"/>
      <c r="AS1140"/>
      <c r="AT1140" s="4" t="str">
        <f t="shared" si="124"/>
        <v>1.0倍人力团队建设费</v>
      </c>
      <c r="AU1140" s="4" t="str">
        <f t="shared" si="120"/>
        <v>国际发展部</v>
      </c>
      <c r="AV1140" s="4" t="str">
        <f t="shared" si="121"/>
        <v>人力费用</v>
      </c>
      <c r="AW1140" s="4" t="str">
        <f>IFERROR(VLOOKUP(AV1140,[1]字段!A:B,2,0),"")</f>
        <v>人力费用</v>
      </c>
      <c r="AX1140" s="30" t="str">
        <f>IF(AW1140="人力费用",IF(E1140="","",VLOOKUP(E1140,[1]字段!D:E,2,0)),AW1140)</f>
        <v>1.0倍人力</v>
      </c>
      <c r="AY1140" s="30" t="str">
        <f>IF(AT1140="","",VLOOKUP(AT1140,[1]字段!H:I,2,0))</f>
        <v>1.0倍人力</v>
      </c>
      <c r="AZ1140" s="31">
        <f t="shared" si="125"/>
        <v>0</v>
      </c>
      <c r="BA1140" s="31">
        <f t="shared" si="122"/>
        <v>0</v>
      </c>
      <c r="BB1140" s="31">
        <f t="shared" si="123"/>
        <v>0</v>
      </c>
      <c r="BC1140" s="31">
        <f t="shared" si="126"/>
        <v>0</v>
      </c>
    </row>
    <row r="1141" spans="1:55" ht="28.5" customHeight="1">
      <c r="A1141" s="32"/>
      <c r="B1141" s="32"/>
      <c r="C1141" s="32"/>
      <c r="D1141" s="40"/>
      <c r="E1141" s="39" t="s">
        <v>47</v>
      </c>
      <c r="F1141" s="39" t="s">
        <v>48</v>
      </c>
      <c r="G1141" s="29"/>
      <c r="H1141" s="29"/>
      <c r="I1141" s="29"/>
      <c r="J1141" s="29"/>
      <c r="K1141" s="29"/>
      <c r="L1141" s="29"/>
      <c r="M1141" s="29"/>
      <c r="N1141" s="29"/>
      <c r="O1141" s="29"/>
      <c r="P1141" s="29"/>
      <c r="Q1141" s="29"/>
      <c r="R1141" s="29"/>
      <c r="S1141" s="29"/>
      <c r="T1141" s="29"/>
      <c r="U1141" s="29"/>
      <c r="V1141" s="29"/>
      <c r="W1141" s="29"/>
      <c r="X1141" s="29"/>
      <c r="Y1141" s="29"/>
      <c r="Z1141" s="29"/>
      <c r="AA1141" s="29"/>
      <c r="AB1141" s="29"/>
      <c r="AC1141" s="29"/>
      <c r="AD1141" s="29"/>
      <c r="AE1141" s="29"/>
      <c r="AJ1141"/>
      <c r="AK1141"/>
      <c r="AL1141"/>
      <c r="AM1141"/>
      <c r="AN1141"/>
      <c r="AO1141"/>
      <c r="AP1141"/>
      <c r="AQ1141"/>
      <c r="AR1141"/>
      <c r="AS1141"/>
      <c r="AT1141" s="4" t="str">
        <f t="shared" si="124"/>
        <v>1.0倍人力工会经费</v>
      </c>
      <c r="AU1141" s="4" t="str">
        <f t="shared" si="120"/>
        <v>国际发展部</v>
      </c>
      <c r="AV1141" s="4" t="str">
        <f t="shared" si="121"/>
        <v>人力费用</v>
      </c>
      <c r="AW1141" s="4" t="str">
        <f>IFERROR(VLOOKUP(AV1141,[1]字段!A:B,2,0),"")</f>
        <v>人力费用</v>
      </c>
      <c r="AX1141" s="30" t="str">
        <f>IF(AW1141="人力费用",IF(E1141="","",VLOOKUP(E1141,[1]字段!D:E,2,0)),AW1141)</f>
        <v>1.0倍人力</v>
      </c>
      <c r="AY1141" s="30" t="str">
        <f>IF(AT1141="","",VLOOKUP(AT1141,[1]字段!H:I,2,0))</f>
        <v>1.0倍人力</v>
      </c>
      <c r="AZ1141" s="31">
        <f t="shared" si="125"/>
        <v>0</v>
      </c>
      <c r="BA1141" s="31">
        <f t="shared" si="122"/>
        <v>0</v>
      </c>
      <c r="BB1141" s="31">
        <f t="shared" si="123"/>
        <v>0</v>
      </c>
      <c r="BC1141" s="31">
        <f t="shared" si="126"/>
        <v>0</v>
      </c>
    </row>
    <row r="1142" spans="1:55" ht="28.5" customHeight="1">
      <c r="A1142" s="32"/>
      <c r="B1142" s="32"/>
      <c r="C1142" s="32"/>
      <c r="D1142" s="40"/>
      <c r="E1142" s="39" t="s">
        <v>49</v>
      </c>
      <c r="F1142" s="39" t="s">
        <v>50</v>
      </c>
      <c r="G1142" s="29"/>
      <c r="H1142" s="29"/>
      <c r="I1142" s="29"/>
      <c r="J1142" s="29"/>
      <c r="K1142" s="29"/>
      <c r="L1142" s="29"/>
      <c r="M1142" s="29"/>
      <c r="N1142" s="29"/>
      <c r="O1142" s="29"/>
      <c r="P1142" s="29"/>
      <c r="Q1142" s="29"/>
      <c r="R1142" s="29"/>
      <c r="S1142" s="29"/>
      <c r="T1142" s="29"/>
      <c r="U1142" s="29"/>
      <c r="V1142" s="29"/>
      <c r="W1142" s="29"/>
      <c r="X1142" s="29"/>
      <c r="Y1142" s="29"/>
      <c r="Z1142" s="29"/>
      <c r="AA1142" s="29"/>
      <c r="AB1142" s="29"/>
      <c r="AC1142" s="29"/>
      <c r="AD1142" s="29"/>
      <c r="AE1142" s="29"/>
      <c r="AJ1142"/>
      <c r="AK1142"/>
      <c r="AL1142"/>
      <c r="AM1142"/>
      <c r="AN1142"/>
      <c r="AO1142"/>
      <c r="AP1142"/>
      <c r="AQ1142"/>
      <c r="AR1142"/>
      <c r="AS1142"/>
      <c r="AT1142" s="4" t="str">
        <f t="shared" si="124"/>
        <v>1.0倍人力基本养老保险</v>
      </c>
      <c r="AU1142" s="4" t="str">
        <f t="shared" si="120"/>
        <v>国际发展部</v>
      </c>
      <c r="AV1142" s="4" t="str">
        <f t="shared" si="121"/>
        <v>人力费用</v>
      </c>
      <c r="AW1142" s="4" t="str">
        <f>IFERROR(VLOOKUP(AV1142,[1]字段!A:B,2,0),"")</f>
        <v>人力费用</v>
      </c>
      <c r="AX1142" s="30" t="str">
        <f>IF(AW1142="人力费用",IF(E1142="","",VLOOKUP(E1142,[1]字段!D:E,2,0)),AW1142)</f>
        <v>1.0倍人力</v>
      </c>
      <c r="AY1142" s="30" t="str">
        <f>IF(AT1142="","",VLOOKUP(AT1142,[1]字段!H:I,2,0))</f>
        <v>1.0倍人力</v>
      </c>
      <c r="AZ1142" s="31">
        <f t="shared" si="125"/>
        <v>0</v>
      </c>
      <c r="BA1142" s="31">
        <f t="shared" si="122"/>
        <v>0</v>
      </c>
      <c r="BB1142" s="31">
        <f t="shared" si="123"/>
        <v>0</v>
      </c>
      <c r="BC1142" s="31">
        <f t="shared" si="126"/>
        <v>0</v>
      </c>
    </row>
    <row r="1143" spans="1:55" ht="28.5" customHeight="1">
      <c r="A1143" s="32"/>
      <c r="B1143" s="32"/>
      <c r="C1143" s="32"/>
      <c r="D1143" s="40"/>
      <c r="E1143" s="39" t="s">
        <v>51</v>
      </c>
      <c r="F1143" s="39" t="s">
        <v>52</v>
      </c>
      <c r="G1143" s="29"/>
      <c r="H1143" s="29"/>
      <c r="I1143" s="29"/>
      <c r="J1143" s="29"/>
      <c r="K1143" s="29"/>
      <c r="L1143" s="29"/>
      <c r="M1143" s="29"/>
      <c r="N1143" s="29"/>
      <c r="O1143" s="29"/>
      <c r="P1143" s="29"/>
      <c r="Q1143" s="29"/>
      <c r="R1143" s="29"/>
      <c r="S1143" s="29"/>
      <c r="T1143" s="29"/>
      <c r="U1143" s="29"/>
      <c r="V1143" s="29"/>
      <c r="W1143" s="29"/>
      <c r="X1143" s="29"/>
      <c r="Y1143" s="29"/>
      <c r="Z1143" s="29"/>
      <c r="AA1143" s="29"/>
      <c r="AB1143" s="29"/>
      <c r="AC1143" s="29"/>
      <c r="AD1143" s="29"/>
      <c r="AE1143" s="29"/>
      <c r="AJ1143"/>
      <c r="AK1143"/>
      <c r="AL1143"/>
      <c r="AM1143"/>
      <c r="AN1143"/>
      <c r="AO1143"/>
      <c r="AP1143"/>
      <c r="AQ1143"/>
      <c r="AR1143"/>
      <c r="AS1143"/>
      <c r="AT1143" s="4" t="str">
        <f t="shared" si="124"/>
        <v>1.0倍人力基本医疗保险</v>
      </c>
      <c r="AU1143" s="4" t="str">
        <f t="shared" si="120"/>
        <v>国际发展部</v>
      </c>
      <c r="AV1143" s="4" t="str">
        <f t="shared" si="121"/>
        <v>人力费用</v>
      </c>
      <c r="AW1143" s="4" t="str">
        <f>IFERROR(VLOOKUP(AV1143,[1]字段!A:B,2,0),"")</f>
        <v>人力费用</v>
      </c>
      <c r="AX1143" s="30" t="str">
        <f>IF(AW1143="人力费用",IF(E1143="","",VLOOKUP(E1143,[1]字段!D:E,2,0)),AW1143)</f>
        <v>1.0倍人力</v>
      </c>
      <c r="AY1143" s="30" t="str">
        <f>IF(AT1143="","",VLOOKUP(AT1143,[1]字段!H:I,2,0))</f>
        <v>1.0倍人力</v>
      </c>
      <c r="AZ1143" s="31">
        <f t="shared" si="125"/>
        <v>0</v>
      </c>
      <c r="BA1143" s="31">
        <f t="shared" si="122"/>
        <v>0</v>
      </c>
      <c r="BB1143" s="31">
        <f t="shared" si="123"/>
        <v>0</v>
      </c>
      <c r="BC1143" s="31">
        <f t="shared" si="126"/>
        <v>0</v>
      </c>
    </row>
    <row r="1144" spans="1:55" ht="28.5" customHeight="1">
      <c r="A1144" s="32"/>
      <c r="B1144" s="32"/>
      <c r="C1144" s="32"/>
      <c r="D1144" s="40"/>
      <c r="E1144" s="39" t="s">
        <v>53</v>
      </c>
      <c r="F1144" s="39" t="s">
        <v>54</v>
      </c>
      <c r="G1144" s="29"/>
      <c r="H1144" s="29"/>
      <c r="I1144" s="29"/>
      <c r="J1144" s="29"/>
      <c r="K1144" s="29"/>
      <c r="L1144" s="29"/>
      <c r="M1144" s="29"/>
      <c r="N1144" s="29"/>
      <c r="O1144" s="29"/>
      <c r="P1144" s="29"/>
      <c r="Q1144" s="29"/>
      <c r="R1144" s="29"/>
      <c r="S1144" s="29"/>
      <c r="T1144" s="29"/>
      <c r="U1144" s="29"/>
      <c r="V1144" s="29"/>
      <c r="W1144" s="29"/>
      <c r="X1144" s="29"/>
      <c r="Y1144" s="29"/>
      <c r="Z1144" s="29"/>
      <c r="AA1144" s="29"/>
      <c r="AB1144" s="29"/>
      <c r="AC1144" s="29"/>
      <c r="AD1144" s="29"/>
      <c r="AE1144" s="29"/>
      <c r="AJ1144"/>
      <c r="AK1144"/>
      <c r="AL1144"/>
      <c r="AM1144"/>
      <c r="AN1144"/>
      <c r="AO1144"/>
      <c r="AP1144"/>
      <c r="AQ1144"/>
      <c r="AR1144"/>
      <c r="AS1144"/>
      <c r="AT1144" s="4" t="str">
        <f t="shared" si="124"/>
        <v>1.0倍人力工伤保险</v>
      </c>
      <c r="AU1144" s="4" t="str">
        <f t="shared" si="120"/>
        <v>国际发展部</v>
      </c>
      <c r="AV1144" s="4" t="str">
        <f t="shared" si="121"/>
        <v>人力费用</v>
      </c>
      <c r="AW1144" s="4" t="str">
        <f>IFERROR(VLOOKUP(AV1144,[1]字段!A:B,2,0),"")</f>
        <v>人力费用</v>
      </c>
      <c r="AX1144" s="30" t="str">
        <f>IF(AW1144="人力费用",IF(E1144="","",VLOOKUP(E1144,[1]字段!D:E,2,0)),AW1144)</f>
        <v>1.0倍人力</v>
      </c>
      <c r="AY1144" s="30" t="str">
        <f>IF(AT1144="","",VLOOKUP(AT1144,[1]字段!H:I,2,0))</f>
        <v>1.0倍人力</v>
      </c>
      <c r="AZ1144" s="31">
        <f t="shared" si="125"/>
        <v>0</v>
      </c>
      <c r="BA1144" s="31">
        <f t="shared" si="122"/>
        <v>0</v>
      </c>
      <c r="BB1144" s="31">
        <f t="shared" si="123"/>
        <v>0</v>
      </c>
      <c r="BC1144" s="31">
        <f t="shared" si="126"/>
        <v>0</v>
      </c>
    </row>
    <row r="1145" spans="1:55" ht="28.5" customHeight="1">
      <c r="A1145" s="32"/>
      <c r="B1145" s="32"/>
      <c r="C1145" s="32"/>
      <c r="D1145" s="40"/>
      <c r="E1145" s="39" t="s">
        <v>55</v>
      </c>
      <c r="F1145" s="39" t="s">
        <v>56</v>
      </c>
      <c r="G1145" s="29"/>
      <c r="H1145" s="29"/>
      <c r="I1145" s="29"/>
      <c r="J1145" s="29"/>
      <c r="K1145" s="29"/>
      <c r="L1145" s="29"/>
      <c r="M1145" s="29"/>
      <c r="N1145" s="29"/>
      <c r="O1145" s="29"/>
      <c r="P1145" s="29"/>
      <c r="Q1145" s="29"/>
      <c r="R1145" s="29"/>
      <c r="S1145" s="29"/>
      <c r="T1145" s="29"/>
      <c r="U1145" s="29"/>
      <c r="V1145" s="29"/>
      <c r="W1145" s="29"/>
      <c r="X1145" s="29"/>
      <c r="Y1145" s="29"/>
      <c r="Z1145" s="29"/>
      <c r="AA1145" s="29"/>
      <c r="AB1145" s="29"/>
      <c r="AC1145" s="29"/>
      <c r="AD1145" s="29"/>
      <c r="AE1145" s="29"/>
      <c r="AJ1145"/>
      <c r="AK1145"/>
      <c r="AL1145"/>
      <c r="AM1145"/>
      <c r="AN1145"/>
      <c r="AO1145"/>
      <c r="AP1145"/>
      <c r="AQ1145"/>
      <c r="AR1145"/>
      <c r="AS1145"/>
      <c r="AT1145" s="4" t="str">
        <f t="shared" si="124"/>
        <v>1.0倍人力生育保险</v>
      </c>
      <c r="AU1145" s="4" t="str">
        <f t="shared" si="120"/>
        <v>国际发展部</v>
      </c>
      <c r="AV1145" s="4" t="str">
        <f t="shared" si="121"/>
        <v>人力费用</v>
      </c>
      <c r="AW1145" s="4" t="str">
        <f>IFERROR(VLOOKUP(AV1145,[1]字段!A:B,2,0),"")</f>
        <v>人力费用</v>
      </c>
      <c r="AX1145" s="30" t="str">
        <f>IF(AW1145="人力费用",IF(E1145="","",VLOOKUP(E1145,[1]字段!D:E,2,0)),AW1145)</f>
        <v>1.0倍人力</v>
      </c>
      <c r="AY1145" s="30" t="str">
        <f>IF(AT1145="","",VLOOKUP(AT1145,[1]字段!H:I,2,0))</f>
        <v>1.0倍人力</v>
      </c>
      <c r="AZ1145" s="31">
        <f t="shared" si="125"/>
        <v>0</v>
      </c>
      <c r="BA1145" s="31">
        <f t="shared" si="122"/>
        <v>0</v>
      </c>
      <c r="BB1145" s="31">
        <f t="shared" si="123"/>
        <v>0</v>
      </c>
      <c r="BC1145" s="31">
        <f t="shared" si="126"/>
        <v>0</v>
      </c>
    </row>
    <row r="1146" spans="1:55" ht="28.5" customHeight="1">
      <c r="A1146" s="32"/>
      <c r="B1146" s="32"/>
      <c r="C1146" s="32"/>
      <c r="D1146" s="40"/>
      <c r="E1146" s="39" t="s">
        <v>57</v>
      </c>
      <c r="F1146" s="39" t="s">
        <v>58</v>
      </c>
      <c r="G1146" s="29"/>
      <c r="H1146" s="29"/>
      <c r="I1146" s="29"/>
      <c r="J1146" s="29"/>
      <c r="K1146" s="29"/>
      <c r="L1146" s="29"/>
      <c r="M1146" s="29"/>
      <c r="N1146" s="29"/>
      <c r="O1146" s="29"/>
      <c r="P1146" s="29"/>
      <c r="Q1146" s="29"/>
      <c r="R1146" s="29"/>
      <c r="S1146" s="29"/>
      <c r="T1146" s="29"/>
      <c r="U1146" s="29"/>
      <c r="V1146" s="29"/>
      <c r="W1146" s="29"/>
      <c r="X1146" s="29"/>
      <c r="Y1146" s="29"/>
      <c r="Z1146" s="29"/>
      <c r="AA1146" s="29"/>
      <c r="AB1146" s="29"/>
      <c r="AC1146" s="29"/>
      <c r="AD1146" s="29"/>
      <c r="AE1146" s="29"/>
      <c r="AJ1146"/>
      <c r="AK1146"/>
      <c r="AL1146"/>
      <c r="AM1146"/>
      <c r="AN1146"/>
      <c r="AO1146"/>
      <c r="AP1146"/>
      <c r="AQ1146"/>
      <c r="AR1146"/>
      <c r="AS1146"/>
      <c r="AT1146" s="4" t="str">
        <f t="shared" si="124"/>
        <v>1.0倍人力失业保险</v>
      </c>
      <c r="AU1146" s="4" t="str">
        <f t="shared" si="120"/>
        <v>国际发展部</v>
      </c>
      <c r="AV1146" s="4" t="str">
        <f t="shared" si="121"/>
        <v>人力费用</v>
      </c>
      <c r="AW1146" s="4" t="str">
        <f>IFERROR(VLOOKUP(AV1146,[1]字段!A:B,2,0),"")</f>
        <v>人力费用</v>
      </c>
      <c r="AX1146" s="30" t="str">
        <f>IF(AW1146="人力费用",IF(E1146="","",VLOOKUP(E1146,[1]字段!D:E,2,0)),AW1146)</f>
        <v>1.0倍人力</v>
      </c>
      <c r="AY1146" s="30" t="str">
        <f>IF(AT1146="","",VLOOKUP(AT1146,[1]字段!H:I,2,0))</f>
        <v>1.0倍人力</v>
      </c>
      <c r="AZ1146" s="31">
        <f t="shared" si="125"/>
        <v>0</v>
      </c>
      <c r="BA1146" s="31">
        <f t="shared" si="122"/>
        <v>0</v>
      </c>
      <c r="BB1146" s="31">
        <f t="shared" si="123"/>
        <v>0</v>
      </c>
      <c r="BC1146" s="31">
        <f t="shared" si="126"/>
        <v>0</v>
      </c>
    </row>
    <row r="1147" spans="1:55" ht="28.5" customHeight="1">
      <c r="A1147" s="41"/>
      <c r="B1147" s="41"/>
      <c r="C1147" s="41"/>
      <c r="D1147" s="42"/>
      <c r="E1147" s="39" t="s">
        <v>59</v>
      </c>
      <c r="F1147" s="39" t="s">
        <v>60</v>
      </c>
      <c r="G1147" s="29"/>
      <c r="H1147" s="29"/>
      <c r="I1147" s="29"/>
      <c r="J1147" s="29"/>
      <c r="K1147" s="29"/>
      <c r="L1147" s="29"/>
      <c r="M1147" s="29"/>
      <c r="N1147" s="29"/>
      <c r="O1147" s="29"/>
      <c r="P1147" s="29"/>
      <c r="Q1147" s="29"/>
      <c r="R1147" s="29"/>
      <c r="S1147" s="29"/>
      <c r="T1147" s="29"/>
      <c r="U1147" s="29"/>
      <c r="V1147" s="29"/>
      <c r="W1147" s="29"/>
      <c r="X1147" s="29"/>
      <c r="Y1147" s="29"/>
      <c r="Z1147" s="29"/>
      <c r="AA1147" s="29"/>
      <c r="AB1147" s="29"/>
      <c r="AC1147" s="29"/>
      <c r="AD1147" s="29"/>
      <c r="AE1147" s="29"/>
      <c r="AJ1147"/>
      <c r="AK1147"/>
      <c r="AL1147"/>
      <c r="AM1147"/>
      <c r="AN1147"/>
      <c r="AO1147"/>
      <c r="AP1147"/>
      <c r="AQ1147"/>
      <c r="AR1147"/>
      <c r="AS1147"/>
      <c r="AT1147" s="4" t="str">
        <f t="shared" si="124"/>
        <v>1.0倍人力住房公积金</v>
      </c>
      <c r="AU1147" s="4" t="str">
        <f t="shared" si="120"/>
        <v>国际发展部</v>
      </c>
      <c r="AV1147" s="4" t="str">
        <f t="shared" si="121"/>
        <v>人力费用</v>
      </c>
      <c r="AW1147" s="4" t="str">
        <f>IFERROR(VLOOKUP(AV1147,[1]字段!A:B,2,0),"")</f>
        <v>人力费用</v>
      </c>
      <c r="AX1147" s="30" t="str">
        <f>IF(AW1147="人力费用",IF(E1147="","",VLOOKUP(E1147,[1]字段!D:E,2,0)),AW1147)</f>
        <v>1.0倍人力</v>
      </c>
      <c r="AY1147" s="30" t="str">
        <f>IF(AT1147="","",VLOOKUP(AT1147,[1]字段!H:I,2,0))</f>
        <v>1.0倍人力</v>
      </c>
      <c r="AZ1147" s="31">
        <f t="shared" si="125"/>
        <v>0</v>
      </c>
      <c r="BA1147" s="31">
        <f t="shared" si="122"/>
        <v>0</v>
      </c>
      <c r="BB1147" s="31">
        <f t="shared" si="123"/>
        <v>0</v>
      </c>
      <c r="BC1147" s="31">
        <f t="shared" si="126"/>
        <v>0</v>
      </c>
    </row>
    <row r="1148" spans="1:55" ht="28.5" customHeight="1">
      <c r="A1148" s="25"/>
      <c r="B1148" s="26" t="s">
        <v>217</v>
      </c>
      <c r="C1148" s="27"/>
      <c r="D1148" s="27"/>
      <c r="E1148" s="27"/>
      <c r="F1148" s="28"/>
      <c r="G1148" s="29"/>
      <c r="H1148" s="29"/>
      <c r="I1148" s="29"/>
      <c r="J1148" s="29"/>
      <c r="K1148" s="29"/>
      <c r="L1148" s="29"/>
      <c r="M1148" s="29"/>
      <c r="N1148" s="29"/>
      <c r="O1148" s="29"/>
      <c r="P1148" s="29"/>
      <c r="Q1148" s="29"/>
      <c r="R1148" s="29"/>
      <c r="S1148" s="29"/>
      <c r="T1148" s="29"/>
      <c r="U1148" s="29"/>
      <c r="V1148" s="29"/>
      <c r="W1148" s="29"/>
      <c r="X1148" s="29"/>
      <c r="Y1148" s="29"/>
      <c r="Z1148" s="29"/>
      <c r="AA1148" s="29"/>
      <c r="AB1148" s="29"/>
      <c r="AC1148" s="29"/>
      <c r="AD1148" s="29"/>
      <c r="AE1148" s="29"/>
      <c r="AJ1148"/>
      <c r="AK1148"/>
      <c r="AL1148"/>
      <c r="AM1148"/>
      <c r="AN1148"/>
      <c r="AO1148"/>
      <c r="AP1148"/>
      <c r="AQ1148"/>
      <c r="AR1148"/>
      <c r="AS1148"/>
      <c r="AT1148" s="4" t="str">
        <f t="shared" si="124"/>
        <v/>
      </c>
      <c r="AU1148" s="4" t="str">
        <f t="shared" si="120"/>
        <v>国际发展部</v>
      </c>
      <c r="AV1148" s="4" t="str">
        <f t="shared" si="121"/>
        <v/>
      </c>
      <c r="AW1148" s="4" t="str">
        <f>IFERROR(VLOOKUP(AV1148,[1]字段!A:B,2,0),"")</f>
        <v/>
      </c>
      <c r="AX1148" s="30" t="str">
        <f>IF(AW1148="人力费用",IF(E1148="","",VLOOKUP(E1148,[1]字段!D:E,2,0)),AW1148)</f>
        <v/>
      </c>
      <c r="AY1148" s="30" t="str">
        <f>IF(AT1148="","",VLOOKUP(AT1148,[1]字段!H:I,2,0))</f>
        <v/>
      </c>
      <c r="AZ1148" s="31">
        <f t="shared" si="125"/>
        <v>0</v>
      </c>
      <c r="BA1148" s="31">
        <f t="shared" si="122"/>
        <v>0</v>
      </c>
      <c r="BB1148" s="31">
        <f t="shared" si="123"/>
        <v>0</v>
      </c>
      <c r="BC1148" s="31">
        <f t="shared" si="126"/>
        <v>0</v>
      </c>
    </row>
    <row r="1149" spans="1:55" ht="28.5" customHeight="1">
      <c r="A1149" s="32"/>
      <c r="B1149" s="32"/>
      <c r="C1149" s="33" t="s">
        <v>39</v>
      </c>
      <c r="D1149" s="34" t="s">
        <v>40</v>
      </c>
      <c r="E1149" s="35"/>
      <c r="F1149" s="36"/>
      <c r="G1149" s="29"/>
      <c r="H1149" s="29"/>
      <c r="I1149" s="29"/>
      <c r="J1149" s="29"/>
      <c r="K1149" s="29"/>
      <c r="L1149" s="29"/>
      <c r="M1149" s="29"/>
      <c r="N1149" s="29"/>
      <c r="O1149" s="29"/>
      <c r="P1149" s="29"/>
      <c r="Q1149" s="29"/>
      <c r="R1149" s="29"/>
      <c r="S1149" s="29"/>
      <c r="T1149" s="29"/>
      <c r="U1149" s="29"/>
      <c r="V1149" s="29"/>
      <c r="W1149" s="29"/>
      <c r="X1149" s="29"/>
      <c r="Y1149" s="29"/>
      <c r="Z1149" s="29"/>
      <c r="AA1149" s="29"/>
      <c r="AB1149" s="29"/>
      <c r="AC1149" s="29"/>
      <c r="AD1149" s="29"/>
      <c r="AE1149" s="29"/>
      <c r="AJ1149"/>
      <c r="AK1149"/>
      <c r="AL1149"/>
      <c r="AM1149"/>
      <c r="AN1149"/>
      <c r="AO1149"/>
      <c r="AP1149"/>
      <c r="AQ1149"/>
      <c r="AR1149"/>
      <c r="AS1149"/>
      <c r="AT1149" s="4" t="str">
        <f t="shared" si="124"/>
        <v/>
      </c>
      <c r="AU1149" s="4" t="str">
        <f t="shared" si="120"/>
        <v>国际发展部</v>
      </c>
      <c r="AV1149" s="4" t="str">
        <f t="shared" si="121"/>
        <v>人力费用</v>
      </c>
      <c r="AW1149" s="4" t="str">
        <f>IFERROR(VLOOKUP(AV1149,[1]字段!A:B,2,0),"")</f>
        <v>人力费用</v>
      </c>
      <c r="AX1149" s="30" t="str">
        <f>IF(AW1149="人力费用",IF(E1149="","",VLOOKUP(E1149,[1]字段!D:E,2,0)),AW1149)</f>
        <v/>
      </c>
      <c r="AY1149" s="30" t="str">
        <f>IF(AT1149="","",VLOOKUP(AT1149,[1]字段!H:I,2,0))</f>
        <v/>
      </c>
      <c r="AZ1149" s="31">
        <f t="shared" si="125"/>
        <v>0</v>
      </c>
      <c r="BA1149" s="31">
        <f t="shared" si="122"/>
        <v>0</v>
      </c>
      <c r="BB1149" s="31">
        <f t="shared" si="123"/>
        <v>0</v>
      </c>
      <c r="BC1149" s="31">
        <f t="shared" si="126"/>
        <v>0</v>
      </c>
    </row>
    <row r="1150" spans="1:55" ht="28.5" customHeight="1">
      <c r="A1150" s="32"/>
      <c r="B1150" s="32"/>
      <c r="C1150" s="37"/>
      <c r="D1150" s="38"/>
      <c r="E1150" s="39" t="s">
        <v>43</v>
      </c>
      <c r="F1150" s="39" t="s">
        <v>44</v>
      </c>
      <c r="G1150" s="29"/>
      <c r="H1150" s="29"/>
      <c r="I1150" s="29"/>
      <c r="J1150" s="29"/>
      <c r="K1150" s="29"/>
      <c r="L1150" s="29"/>
      <c r="M1150" s="29"/>
      <c r="N1150" s="29"/>
      <c r="O1150" s="29"/>
      <c r="P1150" s="29"/>
      <c r="Q1150" s="29"/>
      <c r="R1150" s="29"/>
      <c r="S1150" s="29"/>
      <c r="T1150" s="29"/>
      <c r="U1150" s="29"/>
      <c r="V1150" s="29"/>
      <c r="W1150" s="29"/>
      <c r="X1150" s="29"/>
      <c r="Y1150" s="29"/>
      <c r="Z1150" s="29"/>
      <c r="AA1150" s="29"/>
      <c r="AB1150" s="29"/>
      <c r="AC1150" s="29"/>
      <c r="AD1150" s="29"/>
      <c r="AE1150" s="29"/>
      <c r="AJ1150"/>
      <c r="AK1150"/>
      <c r="AL1150"/>
      <c r="AM1150"/>
      <c r="AN1150"/>
      <c r="AO1150"/>
      <c r="AP1150"/>
      <c r="AQ1150"/>
      <c r="AR1150"/>
      <c r="AS1150"/>
      <c r="AT1150" s="4" t="str">
        <f t="shared" si="124"/>
        <v>1.0倍人力团队建设费</v>
      </c>
      <c r="AU1150" s="4" t="str">
        <f t="shared" si="120"/>
        <v>国际发展部</v>
      </c>
      <c r="AV1150" s="4" t="str">
        <f t="shared" si="121"/>
        <v>人力费用</v>
      </c>
      <c r="AW1150" s="4" t="str">
        <f>IFERROR(VLOOKUP(AV1150,[1]字段!A:B,2,0),"")</f>
        <v>人力费用</v>
      </c>
      <c r="AX1150" s="30" t="str">
        <f>IF(AW1150="人力费用",IF(E1150="","",VLOOKUP(E1150,[1]字段!D:E,2,0)),AW1150)</f>
        <v>1.0倍人力</v>
      </c>
      <c r="AY1150" s="30" t="str">
        <f>IF(AT1150="","",VLOOKUP(AT1150,[1]字段!H:I,2,0))</f>
        <v>1.0倍人力</v>
      </c>
      <c r="AZ1150" s="31">
        <f t="shared" si="125"/>
        <v>0</v>
      </c>
      <c r="BA1150" s="31">
        <f t="shared" si="122"/>
        <v>0</v>
      </c>
      <c r="BB1150" s="31">
        <f t="shared" si="123"/>
        <v>0</v>
      </c>
      <c r="BC1150" s="31">
        <f t="shared" si="126"/>
        <v>0</v>
      </c>
    </row>
    <row r="1151" spans="1:55" ht="28.5" customHeight="1">
      <c r="A1151" s="32"/>
      <c r="B1151" s="32"/>
      <c r="C1151" s="32"/>
      <c r="D1151" s="40"/>
      <c r="E1151" s="39" t="s">
        <v>49</v>
      </c>
      <c r="F1151" s="39" t="s">
        <v>50</v>
      </c>
      <c r="G1151" s="29"/>
      <c r="H1151" s="29"/>
      <c r="I1151" s="29"/>
      <c r="J1151" s="29"/>
      <c r="K1151" s="29"/>
      <c r="L1151" s="29"/>
      <c r="M1151" s="29"/>
      <c r="N1151" s="29"/>
      <c r="O1151" s="29"/>
      <c r="P1151" s="29"/>
      <c r="Q1151" s="29"/>
      <c r="R1151" s="29"/>
      <c r="S1151" s="29"/>
      <c r="T1151" s="29"/>
      <c r="U1151" s="29"/>
      <c r="V1151" s="29"/>
      <c r="W1151" s="29"/>
      <c r="X1151" s="29"/>
      <c r="Y1151" s="29"/>
      <c r="Z1151" s="29"/>
      <c r="AA1151" s="29"/>
      <c r="AB1151" s="29"/>
      <c r="AC1151" s="29"/>
      <c r="AD1151" s="29"/>
      <c r="AE1151" s="29"/>
      <c r="AJ1151"/>
      <c r="AK1151"/>
      <c r="AL1151"/>
      <c r="AM1151"/>
      <c r="AN1151"/>
      <c r="AO1151"/>
      <c r="AP1151"/>
      <c r="AQ1151"/>
      <c r="AR1151"/>
      <c r="AS1151"/>
      <c r="AT1151" s="4" t="str">
        <f t="shared" si="124"/>
        <v>1.0倍人力基本养老保险</v>
      </c>
      <c r="AU1151" s="4" t="str">
        <f t="shared" si="120"/>
        <v>国际发展部</v>
      </c>
      <c r="AV1151" s="4" t="str">
        <f t="shared" si="121"/>
        <v>人力费用</v>
      </c>
      <c r="AW1151" s="4" t="str">
        <f>IFERROR(VLOOKUP(AV1151,[1]字段!A:B,2,0),"")</f>
        <v>人力费用</v>
      </c>
      <c r="AX1151" s="30" t="str">
        <f>IF(AW1151="人力费用",IF(E1151="","",VLOOKUP(E1151,[1]字段!D:E,2,0)),AW1151)</f>
        <v>1.0倍人力</v>
      </c>
      <c r="AY1151" s="30" t="str">
        <f>IF(AT1151="","",VLOOKUP(AT1151,[1]字段!H:I,2,0))</f>
        <v>1.0倍人力</v>
      </c>
      <c r="AZ1151" s="31">
        <f t="shared" si="125"/>
        <v>0</v>
      </c>
      <c r="BA1151" s="31">
        <f t="shared" si="122"/>
        <v>0</v>
      </c>
      <c r="BB1151" s="31">
        <f t="shared" si="123"/>
        <v>0</v>
      </c>
      <c r="BC1151" s="31">
        <f t="shared" si="126"/>
        <v>0</v>
      </c>
    </row>
    <row r="1152" spans="1:55" ht="28.5" customHeight="1">
      <c r="A1152" s="32"/>
      <c r="B1152" s="32"/>
      <c r="C1152" s="32"/>
      <c r="D1152" s="40"/>
      <c r="E1152" s="39" t="s">
        <v>51</v>
      </c>
      <c r="F1152" s="39" t="s">
        <v>52</v>
      </c>
      <c r="G1152" s="29"/>
      <c r="H1152" s="29"/>
      <c r="I1152" s="29"/>
      <c r="J1152" s="29"/>
      <c r="K1152" s="29"/>
      <c r="L1152" s="29"/>
      <c r="M1152" s="29"/>
      <c r="N1152" s="29"/>
      <c r="O1152" s="29"/>
      <c r="P1152" s="29"/>
      <c r="Q1152" s="29"/>
      <c r="R1152" s="29"/>
      <c r="S1152" s="29"/>
      <c r="T1152" s="29"/>
      <c r="U1152" s="29"/>
      <c r="V1152" s="29"/>
      <c r="W1152" s="29"/>
      <c r="X1152" s="29"/>
      <c r="Y1152" s="29"/>
      <c r="Z1152" s="29"/>
      <c r="AA1152" s="29"/>
      <c r="AB1152" s="29"/>
      <c r="AC1152" s="29"/>
      <c r="AD1152" s="29"/>
      <c r="AE1152" s="29"/>
      <c r="AJ1152"/>
      <c r="AK1152"/>
      <c r="AL1152"/>
      <c r="AM1152"/>
      <c r="AN1152"/>
      <c r="AO1152"/>
      <c r="AP1152"/>
      <c r="AQ1152"/>
      <c r="AR1152"/>
      <c r="AS1152"/>
      <c r="AT1152" s="4" t="str">
        <f t="shared" si="124"/>
        <v>1.0倍人力基本医疗保险</v>
      </c>
      <c r="AU1152" s="4" t="str">
        <f t="shared" si="120"/>
        <v>国际发展部</v>
      </c>
      <c r="AV1152" s="4" t="str">
        <f t="shared" si="121"/>
        <v>人力费用</v>
      </c>
      <c r="AW1152" s="4" t="str">
        <f>IFERROR(VLOOKUP(AV1152,[1]字段!A:B,2,0),"")</f>
        <v>人力费用</v>
      </c>
      <c r="AX1152" s="30" t="str">
        <f>IF(AW1152="人力费用",IF(E1152="","",VLOOKUP(E1152,[1]字段!D:E,2,0)),AW1152)</f>
        <v>1.0倍人力</v>
      </c>
      <c r="AY1152" s="30" t="str">
        <f>IF(AT1152="","",VLOOKUP(AT1152,[1]字段!H:I,2,0))</f>
        <v>1.0倍人力</v>
      </c>
      <c r="AZ1152" s="31">
        <f t="shared" si="125"/>
        <v>0</v>
      </c>
      <c r="BA1152" s="31">
        <f t="shared" si="122"/>
        <v>0</v>
      </c>
      <c r="BB1152" s="31">
        <f t="shared" si="123"/>
        <v>0</v>
      </c>
      <c r="BC1152" s="31">
        <f t="shared" si="126"/>
        <v>0</v>
      </c>
    </row>
    <row r="1153" spans="1:55" ht="28.5" customHeight="1">
      <c r="A1153" s="32"/>
      <c r="B1153" s="32"/>
      <c r="C1153" s="32"/>
      <c r="D1153" s="40"/>
      <c r="E1153" s="39" t="s">
        <v>53</v>
      </c>
      <c r="F1153" s="39" t="s">
        <v>54</v>
      </c>
      <c r="G1153" s="29"/>
      <c r="H1153" s="29"/>
      <c r="I1153" s="29"/>
      <c r="J1153" s="29"/>
      <c r="K1153" s="29"/>
      <c r="L1153" s="29"/>
      <c r="M1153" s="29"/>
      <c r="N1153" s="29"/>
      <c r="O1153" s="29"/>
      <c r="P1153" s="29"/>
      <c r="Q1153" s="29"/>
      <c r="R1153" s="29"/>
      <c r="S1153" s="29"/>
      <c r="T1153" s="29"/>
      <c r="U1153" s="29"/>
      <c r="V1153" s="29"/>
      <c r="W1153" s="29"/>
      <c r="X1153" s="29"/>
      <c r="Y1153" s="29"/>
      <c r="Z1153" s="29"/>
      <c r="AA1153" s="29"/>
      <c r="AB1153" s="29"/>
      <c r="AC1153" s="29"/>
      <c r="AD1153" s="29"/>
      <c r="AE1153" s="29"/>
      <c r="AJ1153"/>
      <c r="AK1153"/>
      <c r="AL1153"/>
      <c r="AM1153"/>
      <c r="AN1153"/>
      <c r="AO1153"/>
      <c r="AP1153"/>
      <c r="AQ1153"/>
      <c r="AR1153"/>
      <c r="AS1153"/>
      <c r="AT1153" s="4" t="str">
        <f t="shared" si="124"/>
        <v>1.0倍人力工伤保险</v>
      </c>
      <c r="AU1153" s="4" t="str">
        <f t="shared" si="120"/>
        <v>国际发展部</v>
      </c>
      <c r="AV1153" s="4" t="str">
        <f t="shared" si="121"/>
        <v>人力费用</v>
      </c>
      <c r="AW1153" s="4" t="str">
        <f>IFERROR(VLOOKUP(AV1153,[1]字段!A:B,2,0),"")</f>
        <v>人力费用</v>
      </c>
      <c r="AX1153" s="30" t="str">
        <f>IF(AW1153="人力费用",IF(E1153="","",VLOOKUP(E1153,[1]字段!D:E,2,0)),AW1153)</f>
        <v>1.0倍人力</v>
      </c>
      <c r="AY1153" s="30" t="str">
        <f>IF(AT1153="","",VLOOKUP(AT1153,[1]字段!H:I,2,0))</f>
        <v>1.0倍人力</v>
      </c>
      <c r="AZ1153" s="31">
        <f t="shared" si="125"/>
        <v>0</v>
      </c>
      <c r="BA1153" s="31">
        <f t="shared" si="122"/>
        <v>0</v>
      </c>
      <c r="BB1153" s="31">
        <f t="shared" si="123"/>
        <v>0</v>
      </c>
      <c r="BC1153" s="31">
        <f t="shared" si="126"/>
        <v>0</v>
      </c>
    </row>
    <row r="1154" spans="1:55" ht="28.5" customHeight="1">
      <c r="A1154" s="32"/>
      <c r="B1154" s="32"/>
      <c r="C1154" s="32"/>
      <c r="D1154" s="40"/>
      <c r="E1154" s="39" t="s">
        <v>55</v>
      </c>
      <c r="F1154" s="39" t="s">
        <v>56</v>
      </c>
      <c r="G1154" s="29"/>
      <c r="H1154" s="29"/>
      <c r="I1154" s="29"/>
      <c r="J1154" s="29"/>
      <c r="K1154" s="29"/>
      <c r="L1154" s="29"/>
      <c r="M1154" s="29"/>
      <c r="N1154" s="29"/>
      <c r="O1154" s="29"/>
      <c r="P1154" s="29"/>
      <c r="Q1154" s="29"/>
      <c r="R1154" s="29"/>
      <c r="S1154" s="29"/>
      <c r="T1154" s="29"/>
      <c r="U1154" s="29"/>
      <c r="V1154" s="29"/>
      <c r="W1154" s="29"/>
      <c r="X1154" s="29"/>
      <c r="Y1154" s="29"/>
      <c r="Z1154" s="29"/>
      <c r="AA1154" s="29"/>
      <c r="AB1154" s="29"/>
      <c r="AC1154" s="29"/>
      <c r="AD1154" s="29"/>
      <c r="AE1154" s="29"/>
      <c r="AJ1154"/>
      <c r="AK1154"/>
      <c r="AL1154"/>
      <c r="AM1154"/>
      <c r="AN1154"/>
      <c r="AO1154"/>
      <c r="AP1154"/>
      <c r="AQ1154"/>
      <c r="AR1154"/>
      <c r="AS1154"/>
      <c r="AT1154" s="4" t="str">
        <f t="shared" si="124"/>
        <v>1.0倍人力生育保险</v>
      </c>
      <c r="AU1154" s="4" t="str">
        <f t="shared" si="120"/>
        <v>国际发展部</v>
      </c>
      <c r="AV1154" s="4" t="str">
        <f t="shared" si="121"/>
        <v>人力费用</v>
      </c>
      <c r="AW1154" s="4" t="str">
        <f>IFERROR(VLOOKUP(AV1154,[1]字段!A:B,2,0),"")</f>
        <v>人力费用</v>
      </c>
      <c r="AX1154" s="30" t="str">
        <f>IF(AW1154="人力费用",IF(E1154="","",VLOOKUP(E1154,[1]字段!D:E,2,0)),AW1154)</f>
        <v>1.0倍人力</v>
      </c>
      <c r="AY1154" s="30" t="str">
        <f>IF(AT1154="","",VLOOKUP(AT1154,[1]字段!H:I,2,0))</f>
        <v>1.0倍人力</v>
      </c>
      <c r="AZ1154" s="31">
        <f t="shared" si="125"/>
        <v>0</v>
      </c>
      <c r="BA1154" s="31">
        <f t="shared" si="122"/>
        <v>0</v>
      </c>
      <c r="BB1154" s="31">
        <f t="shared" si="123"/>
        <v>0</v>
      </c>
      <c r="BC1154" s="31">
        <f t="shared" si="126"/>
        <v>0</v>
      </c>
    </row>
    <row r="1155" spans="1:55" ht="28.5" customHeight="1">
      <c r="A1155" s="32"/>
      <c r="B1155" s="32"/>
      <c r="C1155" s="32"/>
      <c r="D1155" s="40"/>
      <c r="E1155" s="39" t="s">
        <v>57</v>
      </c>
      <c r="F1155" s="39" t="s">
        <v>58</v>
      </c>
      <c r="G1155" s="29"/>
      <c r="H1155" s="29"/>
      <c r="I1155" s="29"/>
      <c r="J1155" s="29"/>
      <c r="K1155" s="29"/>
      <c r="L1155" s="29"/>
      <c r="M1155" s="29"/>
      <c r="N1155" s="29"/>
      <c r="O1155" s="29"/>
      <c r="P1155" s="29"/>
      <c r="Q1155" s="29"/>
      <c r="R1155" s="29"/>
      <c r="S1155" s="29"/>
      <c r="T1155" s="29"/>
      <c r="U1155" s="29"/>
      <c r="V1155" s="29"/>
      <c r="W1155" s="29"/>
      <c r="X1155" s="29"/>
      <c r="Y1155" s="29"/>
      <c r="Z1155" s="29"/>
      <c r="AA1155" s="29"/>
      <c r="AB1155" s="29"/>
      <c r="AC1155" s="29"/>
      <c r="AD1155" s="29"/>
      <c r="AE1155" s="29"/>
      <c r="AJ1155"/>
      <c r="AK1155"/>
      <c r="AL1155"/>
      <c r="AM1155"/>
      <c r="AN1155"/>
      <c r="AO1155"/>
      <c r="AP1155"/>
      <c r="AQ1155"/>
      <c r="AR1155"/>
      <c r="AS1155"/>
      <c r="AT1155" s="4" t="str">
        <f t="shared" si="124"/>
        <v>1.0倍人力失业保险</v>
      </c>
      <c r="AU1155" s="4" t="str">
        <f t="shared" si="120"/>
        <v>国际发展部</v>
      </c>
      <c r="AV1155" s="4" t="str">
        <f t="shared" si="121"/>
        <v>人力费用</v>
      </c>
      <c r="AW1155" s="4" t="str">
        <f>IFERROR(VLOOKUP(AV1155,[1]字段!A:B,2,0),"")</f>
        <v>人力费用</v>
      </c>
      <c r="AX1155" s="30" t="str">
        <f>IF(AW1155="人力费用",IF(E1155="","",VLOOKUP(E1155,[1]字段!D:E,2,0)),AW1155)</f>
        <v>1.0倍人力</v>
      </c>
      <c r="AY1155" s="30" t="str">
        <f>IF(AT1155="","",VLOOKUP(AT1155,[1]字段!H:I,2,0))</f>
        <v>1.0倍人力</v>
      </c>
      <c r="AZ1155" s="31">
        <f t="shared" si="125"/>
        <v>0</v>
      </c>
      <c r="BA1155" s="31">
        <f t="shared" si="122"/>
        <v>0</v>
      </c>
      <c r="BB1155" s="31">
        <f t="shared" si="123"/>
        <v>0</v>
      </c>
      <c r="BC1155" s="31">
        <f t="shared" si="126"/>
        <v>0</v>
      </c>
    </row>
    <row r="1156" spans="1:55" ht="28.5" customHeight="1">
      <c r="A1156" s="41"/>
      <c r="B1156" s="41"/>
      <c r="C1156" s="41"/>
      <c r="D1156" s="42"/>
      <c r="E1156" s="39" t="s">
        <v>59</v>
      </c>
      <c r="F1156" s="39" t="s">
        <v>60</v>
      </c>
      <c r="G1156" s="29"/>
      <c r="H1156" s="29"/>
      <c r="I1156" s="29"/>
      <c r="J1156" s="29"/>
      <c r="K1156" s="29"/>
      <c r="L1156" s="29"/>
      <c r="M1156" s="29"/>
      <c r="N1156" s="29"/>
      <c r="O1156" s="29"/>
      <c r="P1156" s="29"/>
      <c r="Q1156" s="29"/>
      <c r="R1156" s="29"/>
      <c r="S1156" s="29"/>
      <c r="T1156" s="29"/>
      <c r="U1156" s="29"/>
      <c r="V1156" s="29"/>
      <c r="W1156" s="29"/>
      <c r="X1156" s="29"/>
      <c r="Y1156" s="29"/>
      <c r="Z1156" s="29"/>
      <c r="AA1156" s="29"/>
      <c r="AB1156" s="29"/>
      <c r="AC1156" s="29"/>
      <c r="AD1156" s="29"/>
      <c r="AE1156" s="29"/>
      <c r="AJ1156"/>
      <c r="AK1156"/>
      <c r="AL1156"/>
      <c r="AM1156"/>
      <c r="AN1156"/>
      <c r="AO1156"/>
      <c r="AP1156"/>
      <c r="AQ1156"/>
      <c r="AR1156"/>
      <c r="AS1156"/>
      <c r="AT1156" s="4" t="str">
        <f t="shared" si="124"/>
        <v>1.0倍人力住房公积金</v>
      </c>
      <c r="AU1156" s="4" t="str">
        <f t="shared" si="120"/>
        <v>国际发展部</v>
      </c>
      <c r="AV1156" s="4" t="str">
        <f t="shared" si="121"/>
        <v>人力费用</v>
      </c>
      <c r="AW1156" s="4" t="str">
        <f>IFERROR(VLOOKUP(AV1156,[1]字段!A:B,2,0),"")</f>
        <v>人力费用</v>
      </c>
      <c r="AX1156" s="30" t="str">
        <f>IF(AW1156="人力费用",IF(E1156="","",VLOOKUP(E1156,[1]字段!D:E,2,0)),AW1156)</f>
        <v>1.0倍人力</v>
      </c>
      <c r="AY1156" s="30" t="str">
        <f>IF(AT1156="","",VLOOKUP(AT1156,[1]字段!H:I,2,0))</f>
        <v>1.0倍人力</v>
      </c>
      <c r="AZ1156" s="31">
        <f t="shared" si="125"/>
        <v>0</v>
      </c>
      <c r="BA1156" s="31">
        <f t="shared" si="122"/>
        <v>0</v>
      </c>
      <c r="BB1156" s="31">
        <f t="shared" si="123"/>
        <v>0</v>
      </c>
      <c r="BC1156" s="31">
        <f t="shared" si="126"/>
        <v>0</v>
      </c>
    </row>
    <row r="1157" spans="1:55" ht="28.5" customHeight="1">
      <c r="A1157" s="25"/>
      <c r="B1157" s="26" t="s">
        <v>217</v>
      </c>
      <c r="C1157" s="27"/>
      <c r="D1157" s="27"/>
      <c r="E1157" s="27"/>
      <c r="F1157" s="28"/>
      <c r="G1157" s="29"/>
      <c r="H1157" s="29"/>
      <c r="I1157" s="29"/>
      <c r="J1157" s="29"/>
      <c r="K1157" s="29"/>
      <c r="L1157" s="29"/>
      <c r="M1157" s="29"/>
      <c r="N1157" s="29"/>
      <c r="O1157" s="29"/>
      <c r="P1157" s="29"/>
      <c r="Q1157" s="29"/>
      <c r="R1157" s="29"/>
      <c r="S1157" s="29"/>
      <c r="T1157" s="29"/>
      <c r="U1157" s="29"/>
      <c r="V1157" s="29"/>
      <c r="W1157" s="29"/>
      <c r="X1157" s="29"/>
      <c r="Y1157" s="29"/>
      <c r="Z1157" s="29"/>
      <c r="AA1157" s="29"/>
      <c r="AB1157" s="29"/>
      <c r="AC1157" s="29"/>
      <c r="AD1157" s="29"/>
      <c r="AE1157" s="29"/>
      <c r="AJ1157"/>
      <c r="AK1157"/>
      <c r="AL1157"/>
      <c r="AM1157"/>
      <c r="AN1157"/>
      <c r="AO1157"/>
      <c r="AP1157"/>
      <c r="AQ1157"/>
      <c r="AR1157"/>
      <c r="AS1157"/>
      <c r="AT1157" s="4" t="str">
        <f t="shared" si="124"/>
        <v/>
      </c>
      <c r="AU1157" s="4" t="str">
        <f t="shared" ref="AU1157:AU1179" si="127">IF(B1157="",AU1156,B1157)</f>
        <v>国际发展部</v>
      </c>
      <c r="AV1157" s="4" t="str">
        <f t="shared" ref="AV1157:AV1179" si="128">IF(B1157&lt;&gt;"","",IF(D1157="",AV1156,D1157))</f>
        <v/>
      </c>
      <c r="AW1157" s="4" t="str">
        <f>IFERROR(VLOOKUP(AV1157,[1]字段!A:B,2,0),"")</f>
        <v/>
      </c>
      <c r="AX1157" s="30" t="str">
        <f>IF(AW1157="人力费用",IF(E1157="","",VLOOKUP(E1157,[1]字段!D:E,2,0)),AW1157)</f>
        <v/>
      </c>
      <c r="AY1157" s="30" t="str">
        <f>IF(AT1157="","",VLOOKUP(AT1157,[1]字段!H:I,2,0))</f>
        <v/>
      </c>
      <c r="AZ1157" s="31">
        <f t="shared" si="125"/>
        <v>0</v>
      </c>
      <c r="BA1157" s="31">
        <f t="shared" ref="BA1157:BA1179" si="129">IF($E1157="",0,SUMIF($G$1:$AE$1,BA$4,$G1157:$AE1157))</f>
        <v>0</v>
      </c>
      <c r="BB1157" s="31">
        <f t="shared" ref="BB1157:BB1179" si="130">AZ1157+BA1157</f>
        <v>0</v>
      </c>
      <c r="BC1157" s="31">
        <f t="shared" si="126"/>
        <v>0</v>
      </c>
    </row>
    <row r="1158" spans="1:55" ht="28.5" customHeight="1">
      <c r="A1158" s="32"/>
      <c r="B1158" s="32"/>
      <c r="C1158" s="33" t="s">
        <v>39</v>
      </c>
      <c r="D1158" s="34" t="s">
        <v>40</v>
      </c>
      <c r="E1158" s="35"/>
      <c r="F1158" s="36"/>
      <c r="G1158" s="29"/>
      <c r="H1158" s="29"/>
      <c r="I1158" s="29"/>
      <c r="J1158" s="29"/>
      <c r="K1158" s="29"/>
      <c r="L1158" s="29"/>
      <c r="M1158" s="29"/>
      <c r="N1158" s="29"/>
      <c r="O1158" s="29"/>
      <c r="P1158" s="29"/>
      <c r="Q1158" s="29"/>
      <c r="R1158" s="29"/>
      <c r="S1158" s="29"/>
      <c r="T1158" s="29"/>
      <c r="U1158" s="29"/>
      <c r="V1158" s="29"/>
      <c r="W1158" s="29"/>
      <c r="X1158" s="29"/>
      <c r="Y1158" s="29"/>
      <c r="Z1158" s="29"/>
      <c r="AA1158" s="29"/>
      <c r="AB1158" s="29"/>
      <c r="AC1158" s="29"/>
      <c r="AD1158" s="29"/>
      <c r="AE1158" s="29"/>
      <c r="AJ1158"/>
      <c r="AK1158"/>
      <c r="AL1158"/>
      <c r="AM1158"/>
      <c r="AN1158"/>
      <c r="AO1158"/>
      <c r="AP1158"/>
      <c r="AQ1158"/>
      <c r="AR1158"/>
      <c r="AS1158"/>
      <c r="AT1158" s="4" t="str">
        <f t="shared" ref="AT1158:AT1179" si="131">AX1158&amp;F1158</f>
        <v/>
      </c>
      <c r="AU1158" s="4" t="str">
        <f t="shared" si="127"/>
        <v>国际发展部</v>
      </c>
      <c r="AV1158" s="4" t="str">
        <f t="shared" si="128"/>
        <v>人力费用</v>
      </c>
      <c r="AW1158" s="4" t="str">
        <f>IFERROR(VLOOKUP(AV1158,[1]字段!A:B,2,0),"")</f>
        <v>人力费用</v>
      </c>
      <c r="AX1158" s="30" t="str">
        <f>IF(AW1158="人力费用",IF(E1158="","",VLOOKUP(E1158,[1]字段!D:E,2,0)),AW1158)</f>
        <v/>
      </c>
      <c r="AY1158" s="30" t="str">
        <f>IF(AT1158="","",VLOOKUP(AT1158,[1]字段!H:I,2,0))</f>
        <v/>
      </c>
      <c r="AZ1158" s="31">
        <f t="shared" ref="AZ1158:AZ1193" si="132">IF($E1158="",0,SUMIF($G$1:$AB$1,AZ$4,$G1158:$AB1158))</f>
        <v>0</v>
      </c>
      <c r="BA1158" s="31">
        <f t="shared" si="129"/>
        <v>0</v>
      </c>
      <c r="BB1158" s="31">
        <f t="shared" si="130"/>
        <v>0</v>
      </c>
      <c r="BC1158" s="31">
        <f t="shared" ref="BC1158:BC1217" si="133">IF(E1158="",0,SUM(G1158:AE1158)-AZ1158-BA1158)</f>
        <v>0</v>
      </c>
    </row>
    <row r="1159" spans="1:55" ht="28.5" customHeight="1">
      <c r="A1159" s="32"/>
      <c r="B1159" s="32"/>
      <c r="C1159" s="37"/>
      <c r="D1159" s="38"/>
      <c r="E1159" s="39" t="s">
        <v>43</v>
      </c>
      <c r="F1159" s="39" t="s">
        <v>44</v>
      </c>
      <c r="G1159" s="29"/>
      <c r="H1159" s="29"/>
      <c r="I1159" s="29"/>
      <c r="J1159" s="29"/>
      <c r="K1159" s="29"/>
      <c r="L1159" s="29"/>
      <c r="M1159" s="29"/>
      <c r="N1159" s="29"/>
      <c r="O1159" s="29"/>
      <c r="P1159" s="29"/>
      <c r="Q1159" s="29"/>
      <c r="R1159" s="29"/>
      <c r="S1159" s="29"/>
      <c r="T1159" s="29"/>
      <c r="U1159" s="29"/>
      <c r="V1159" s="29"/>
      <c r="W1159" s="29"/>
      <c r="X1159" s="29"/>
      <c r="Y1159" s="29"/>
      <c r="Z1159" s="29"/>
      <c r="AA1159" s="29"/>
      <c r="AB1159" s="29"/>
      <c r="AC1159" s="29"/>
      <c r="AD1159" s="29"/>
      <c r="AE1159" s="29"/>
      <c r="AJ1159"/>
      <c r="AK1159"/>
      <c r="AL1159"/>
      <c r="AM1159"/>
      <c r="AN1159"/>
      <c r="AO1159"/>
      <c r="AP1159"/>
      <c r="AQ1159"/>
      <c r="AR1159"/>
      <c r="AS1159"/>
      <c r="AT1159" s="4" t="str">
        <f t="shared" si="131"/>
        <v>1.0倍人力团队建设费</v>
      </c>
      <c r="AU1159" s="4" t="str">
        <f t="shared" si="127"/>
        <v>国际发展部</v>
      </c>
      <c r="AV1159" s="4" t="str">
        <f t="shared" si="128"/>
        <v>人力费用</v>
      </c>
      <c r="AW1159" s="4" t="str">
        <f>IFERROR(VLOOKUP(AV1159,[1]字段!A:B,2,0),"")</f>
        <v>人力费用</v>
      </c>
      <c r="AX1159" s="30" t="str">
        <f>IF(AW1159="人力费用",IF(E1159="","",VLOOKUP(E1159,[1]字段!D:E,2,0)),AW1159)</f>
        <v>1.0倍人力</v>
      </c>
      <c r="AY1159" s="30" t="str">
        <f>IF(AT1159="","",VLOOKUP(AT1159,[1]字段!H:I,2,0))</f>
        <v>1.0倍人力</v>
      </c>
      <c r="AZ1159" s="31">
        <f t="shared" si="132"/>
        <v>0</v>
      </c>
      <c r="BA1159" s="31">
        <f t="shared" si="129"/>
        <v>0</v>
      </c>
      <c r="BB1159" s="31">
        <f t="shared" si="130"/>
        <v>0</v>
      </c>
      <c r="BC1159" s="31">
        <f t="shared" si="133"/>
        <v>0</v>
      </c>
    </row>
    <row r="1160" spans="1:55" ht="15">
      <c r="A1160" s="32"/>
      <c r="B1160" s="32"/>
      <c r="C1160" s="32"/>
      <c r="D1160" s="40"/>
      <c r="E1160" s="39" t="s">
        <v>49</v>
      </c>
      <c r="F1160" s="39" t="s">
        <v>50</v>
      </c>
      <c r="G1160" s="29"/>
      <c r="H1160" s="29"/>
      <c r="I1160" s="29"/>
      <c r="J1160" s="29"/>
      <c r="K1160" s="29"/>
      <c r="L1160" s="29"/>
      <c r="M1160" s="29"/>
      <c r="N1160" s="29"/>
      <c r="O1160" s="29"/>
      <c r="P1160" s="29"/>
      <c r="Q1160" s="29"/>
      <c r="R1160" s="29"/>
      <c r="S1160" s="29"/>
      <c r="T1160" s="29"/>
      <c r="U1160" s="29"/>
      <c r="V1160" s="29"/>
      <c r="W1160" s="29"/>
      <c r="X1160" s="29"/>
      <c r="Y1160" s="29"/>
      <c r="Z1160" s="29"/>
      <c r="AA1160" s="29"/>
      <c r="AB1160" s="29"/>
      <c r="AC1160" s="29"/>
      <c r="AD1160" s="29"/>
      <c r="AE1160" s="29"/>
      <c r="AJ1160" s="44"/>
      <c r="AK1160" s="44"/>
      <c r="AL1160" s="44"/>
      <c r="AM1160" s="44"/>
      <c r="AN1160" s="44"/>
      <c r="AO1160" s="44"/>
      <c r="AP1160" s="44"/>
      <c r="AQ1160" s="44"/>
      <c r="AR1160" s="44"/>
      <c r="AS1160" s="44"/>
      <c r="AT1160" s="4" t="str">
        <f t="shared" si="131"/>
        <v>1.0倍人力基本养老保险</v>
      </c>
      <c r="AU1160" s="4" t="str">
        <f t="shared" si="127"/>
        <v>国际发展部</v>
      </c>
      <c r="AV1160" s="4" t="str">
        <f t="shared" si="128"/>
        <v>人力费用</v>
      </c>
      <c r="AW1160" s="4" t="str">
        <f>IFERROR(VLOOKUP(AV1160,[1]字段!A:B,2,0),"")</f>
        <v>人力费用</v>
      </c>
      <c r="AX1160" s="30" t="str">
        <f>IF(AW1160="人力费用",IF(E1160="","",VLOOKUP(E1160,[1]字段!D:E,2,0)),AW1160)</f>
        <v>1.0倍人力</v>
      </c>
      <c r="AY1160" s="30" t="str">
        <f>IF(AT1160="","",VLOOKUP(AT1160,[1]字段!H:I,2,0))</f>
        <v>1.0倍人力</v>
      </c>
      <c r="AZ1160" s="31">
        <f t="shared" si="132"/>
        <v>0</v>
      </c>
      <c r="BA1160" s="31">
        <f t="shared" si="129"/>
        <v>0</v>
      </c>
      <c r="BB1160" s="31">
        <f t="shared" si="130"/>
        <v>0</v>
      </c>
      <c r="BC1160" s="31">
        <f t="shared" si="133"/>
        <v>0</v>
      </c>
    </row>
    <row r="1161" spans="1:55" ht="15">
      <c r="A1161" s="32"/>
      <c r="B1161" s="32"/>
      <c r="C1161" s="32"/>
      <c r="D1161" s="40"/>
      <c r="E1161" s="39" t="s">
        <v>51</v>
      </c>
      <c r="F1161" s="39" t="s">
        <v>52</v>
      </c>
      <c r="G1161" s="29"/>
      <c r="H1161" s="29"/>
      <c r="I1161" s="29"/>
      <c r="J1161" s="29"/>
      <c r="K1161" s="29"/>
      <c r="L1161" s="29"/>
      <c r="M1161" s="29"/>
      <c r="N1161" s="29"/>
      <c r="O1161" s="29"/>
      <c r="P1161" s="29"/>
      <c r="Q1161" s="29"/>
      <c r="R1161" s="29"/>
      <c r="S1161" s="29"/>
      <c r="T1161" s="29"/>
      <c r="U1161" s="29"/>
      <c r="V1161" s="29"/>
      <c r="W1161" s="29"/>
      <c r="X1161" s="29"/>
      <c r="Y1161" s="29"/>
      <c r="Z1161" s="29"/>
      <c r="AA1161" s="29"/>
      <c r="AB1161" s="29"/>
      <c r="AC1161" s="29"/>
      <c r="AD1161" s="29"/>
      <c r="AE1161" s="29"/>
      <c r="AJ1161" s="44"/>
      <c r="AK1161" s="44"/>
      <c r="AL1161" s="44"/>
      <c r="AM1161" s="44"/>
      <c r="AN1161" s="44"/>
      <c r="AO1161" s="44"/>
      <c r="AP1161" s="44"/>
      <c r="AQ1161" s="44"/>
      <c r="AR1161" s="44"/>
      <c r="AS1161" s="44"/>
      <c r="AT1161" s="4" t="str">
        <f t="shared" si="131"/>
        <v>1.0倍人力基本医疗保险</v>
      </c>
      <c r="AU1161" s="4" t="str">
        <f t="shared" si="127"/>
        <v>国际发展部</v>
      </c>
      <c r="AV1161" s="4" t="str">
        <f t="shared" si="128"/>
        <v>人力费用</v>
      </c>
      <c r="AW1161" s="4" t="str">
        <f>IFERROR(VLOOKUP(AV1161,[1]字段!A:B,2,0),"")</f>
        <v>人力费用</v>
      </c>
      <c r="AX1161" s="30" t="str">
        <f>IF(AW1161="人力费用",IF(E1161="","",VLOOKUP(E1161,[1]字段!D:E,2,0)),AW1161)</f>
        <v>1.0倍人力</v>
      </c>
      <c r="AY1161" s="30" t="str">
        <f>IF(AT1161="","",VLOOKUP(AT1161,[1]字段!H:I,2,0))</f>
        <v>1.0倍人力</v>
      </c>
      <c r="AZ1161" s="31">
        <f t="shared" si="132"/>
        <v>0</v>
      </c>
      <c r="BA1161" s="31">
        <f t="shared" si="129"/>
        <v>0</v>
      </c>
      <c r="BB1161" s="31">
        <f t="shared" si="130"/>
        <v>0</v>
      </c>
      <c r="BC1161" s="31">
        <f t="shared" si="133"/>
        <v>0</v>
      </c>
    </row>
    <row r="1162" spans="1:55" ht="15">
      <c r="A1162" s="32"/>
      <c r="B1162" s="32"/>
      <c r="C1162" s="32"/>
      <c r="D1162" s="40"/>
      <c r="E1162" s="39" t="s">
        <v>53</v>
      </c>
      <c r="F1162" s="39" t="s">
        <v>54</v>
      </c>
      <c r="G1162" s="29"/>
      <c r="H1162" s="29"/>
      <c r="I1162" s="29"/>
      <c r="J1162" s="29"/>
      <c r="K1162" s="29"/>
      <c r="L1162" s="29"/>
      <c r="M1162" s="29"/>
      <c r="N1162" s="29"/>
      <c r="O1162" s="29"/>
      <c r="P1162" s="29"/>
      <c r="Q1162" s="29"/>
      <c r="R1162" s="29"/>
      <c r="S1162" s="29"/>
      <c r="T1162" s="29"/>
      <c r="U1162" s="29"/>
      <c r="V1162" s="29"/>
      <c r="W1162" s="29"/>
      <c r="X1162" s="29"/>
      <c r="Y1162" s="29"/>
      <c r="Z1162" s="29"/>
      <c r="AA1162" s="29"/>
      <c r="AB1162" s="29"/>
      <c r="AC1162" s="29"/>
      <c r="AD1162" s="29"/>
      <c r="AE1162" s="29"/>
      <c r="AJ1162" s="45"/>
      <c r="AK1162" s="45"/>
      <c r="AL1162" s="45"/>
      <c r="AM1162" s="45"/>
      <c r="AN1162" s="45"/>
      <c r="AO1162" s="45"/>
      <c r="AP1162" s="45"/>
      <c r="AQ1162" s="45"/>
      <c r="AR1162" s="45"/>
      <c r="AS1162" s="44"/>
      <c r="AT1162" s="4" t="str">
        <f t="shared" si="131"/>
        <v>1.0倍人力工伤保险</v>
      </c>
      <c r="AU1162" s="4" t="str">
        <f t="shared" si="127"/>
        <v>国际发展部</v>
      </c>
      <c r="AV1162" s="4" t="str">
        <f t="shared" si="128"/>
        <v>人力费用</v>
      </c>
      <c r="AW1162" s="4" t="str">
        <f>IFERROR(VLOOKUP(AV1162,[1]字段!A:B,2,0),"")</f>
        <v>人力费用</v>
      </c>
      <c r="AX1162" s="30" t="str">
        <f>IF(AW1162="人力费用",IF(E1162="","",VLOOKUP(E1162,[1]字段!D:E,2,0)),AW1162)</f>
        <v>1.0倍人力</v>
      </c>
      <c r="AY1162" s="30" t="str">
        <f>IF(AT1162="","",VLOOKUP(AT1162,[1]字段!H:I,2,0))</f>
        <v>1.0倍人力</v>
      </c>
      <c r="AZ1162" s="31">
        <f t="shared" si="132"/>
        <v>0</v>
      </c>
      <c r="BA1162" s="31">
        <f t="shared" si="129"/>
        <v>0</v>
      </c>
      <c r="BB1162" s="31">
        <f t="shared" si="130"/>
        <v>0</v>
      </c>
      <c r="BC1162" s="31">
        <f t="shared" si="133"/>
        <v>0</v>
      </c>
    </row>
    <row r="1163" spans="1:55" ht="15">
      <c r="A1163" s="32"/>
      <c r="B1163" s="32"/>
      <c r="C1163" s="32"/>
      <c r="D1163" s="40"/>
      <c r="E1163" s="39" t="s">
        <v>55</v>
      </c>
      <c r="F1163" s="39" t="s">
        <v>56</v>
      </c>
      <c r="G1163" s="29"/>
      <c r="H1163" s="29"/>
      <c r="I1163" s="29"/>
      <c r="J1163" s="29"/>
      <c r="K1163" s="29"/>
      <c r="L1163" s="29"/>
      <c r="M1163" s="29"/>
      <c r="N1163" s="29"/>
      <c r="O1163" s="29"/>
      <c r="P1163" s="29"/>
      <c r="Q1163" s="29"/>
      <c r="R1163" s="29"/>
      <c r="S1163" s="29"/>
      <c r="T1163" s="29"/>
      <c r="U1163" s="29"/>
      <c r="V1163" s="29"/>
      <c r="W1163" s="29"/>
      <c r="X1163" s="29"/>
      <c r="Y1163" s="29"/>
      <c r="Z1163" s="29"/>
      <c r="AA1163" s="29"/>
      <c r="AB1163" s="29"/>
      <c r="AC1163" s="29"/>
      <c r="AD1163" s="29"/>
      <c r="AE1163" s="29"/>
      <c r="AJ1163" s="44"/>
      <c r="AK1163" s="44"/>
      <c r="AL1163" s="44"/>
      <c r="AM1163" s="44"/>
      <c r="AN1163" s="44"/>
      <c r="AO1163" s="44"/>
      <c r="AP1163" s="44"/>
      <c r="AQ1163" s="44"/>
      <c r="AR1163" s="44"/>
      <c r="AS1163" s="44"/>
      <c r="AT1163" s="4" t="str">
        <f t="shared" si="131"/>
        <v>1.0倍人力生育保险</v>
      </c>
      <c r="AU1163" s="4" t="str">
        <f t="shared" si="127"/>
        <v>国际发展部</v>
      </c>
      <c r="AV1163" s="4" t="str">
        <f t="shared" si="128"/>
        <v>人力费用</v>
      </c>
      <c r="AW1163" s="4" t="str">
        <f>IFERROR(VLOOKUP(AV1163,[1]字段!A:B,2,0),"")</f>
        <v>人力费用</v>
      </c>
      <c r="AX1163" s="30" t="str">
        <f>IF(AW1163="人力费用",IF(E1163="","",VLOOKUP(E1163,[1]字段!D:E,2,0)),AW1163)</f>
        <v>1.0倍人力</v>
      </c>
      <c r="AY1163" s="30" t="str">
        <f>IF(AT1163="","",VLOOKUP(AT1163,[1]字段!H:I,2,0))</f>
        <v>1.0倍人力</v>
      </c>
      <c r="AZ1163" s="31">
        <f t="shared" si="132"/>
        <v>0</v>
      </c>
      <c r="BA1163" s="31">
        <f t="shared" si="129"/>
        <v>0</v>
      </c>
      <c r="BB1163" s="31">
        <f t="shared" si="130"/>
        <v>0</v>
      </c>
      <c r="BC1163" s="31">
        <f t="shared" si="133"/>
        <v>0</v>
      </c>
    </row>
    <row r="1164" spans="1:55" ht="15">
      <c r="A1164" s="32"/>
      <c r="B1164" s="32"/>
      <c r="C1164" s="32"/>
      <c r="D1164" s="40"/>
      <c r="E1164" s="39" t="s">
        <v>57</v>
      </c>
      <c r="F1164" s="39" t="s">
        <v>58</v>
      </c>
      <c r="G1164" s="29"/>
      <c r="H1164" s="29"/>
      <c r="I1164" s="29"/>
      <c r="J1164" s="29"/>
      <c r="K1164" s="29"/>
      <c r="L1164" s="29"/>
      <c r="M1164" s="29"/>
      <c r="N1164" s="29"/>
      <c r="O1164" s="29"/>
      <c r="P1164" s="29"/>
      <c r="Q1164" s="29"/>
      <c r="R1164" s="29"/>
      <c r="S1164" s="29"/>
      <c r="T1164" s="29"/>
      <c r="U1164" s="29"/>
      <c r="V1164" s="29"/>
      <c r="W1164" s="29"/>
      <c r="X1164" s="29"/>
      <c r="Y1164" s="29"/>
      <c r="Z1164" s="29"/>
      <c r="AA1164" s="29"/>
      <c r="AB1164" s="29"/>
      <c r="AC1164" s="29"/>
      <c r="AD1164" s="29"/>
      <c r="AE1164" s="29"/>
      <c r="AJ1164" s="45"/>
      <c r="AK1164" s="45"/>
      <c r="AL1164" s="45"/>
      <c r="AM1164" s="45"/>
      <c r="AN1164" s="45"/>
      <c r="AO1164" s="45"/>
      <c r="AP1164" s="45"/>
      <c r="AQ1164" s="45"/>
      <c r="AR1164" s="45"/>
      <c r="AS1164" s="44"/>
      <c r="AT1164" s="4" t="str">
        <f t="shared" si="131"/>
        <v>1.0倍人力失业保险</v>
      </c>
      <c r="AU1164" s="4" t="str">
        <f t="shared" si="127"/>
        <v>国际发展部</v>
      </c>
      <c r="AV1164" s="4" t="str">
        <f t="shared" si="128"/>
        <v>人力费用</v>
      </c>
      <c r="AW1164" s="4" t="str">
        <f>IFERROR(VLOOKUP(AV1164,[1]字段!A:B,2,0),"")</f>
        <v>人力费用</v>
      </c>
      <c r="AX1164" s="30" t="str">
        <f>IF(AW1164="人力费用",IF(E1164="","",VLOOKUP(E1164,[1]字段!D:E,2,0)),AW1164)</f>
        <v>1.0倍人力</v>
      </c>
      <c r="AY1164" s="30" t="str">
        <f>IF(AT1164="","",VLOOKUP(AT1164,[1]字段!H:I,2,0))</f>
        <v>1.0倍人力</v>
      </c>
      <c r="AZ1164" s="31">
        <f t="shared" si="132"/>
        <v>0</v>
      </c>
      <c r="BA1164" s="31">
        <f t="shared" si="129"/>
        <v>0</v>
      </c>
      <c r="BB1164" s="31">
        <f t="shared" si="130"/>
        <v>0</v>
      </c>
      <c r="BC1164" s="31">
        <f t="shared" si="133"/>
        <v>0</v>
      </c>
    </row>
    <row r="1165" spans="1:55" ht="15">
      <c r="A1165" s="41"/>
      <c r="B1165" s="41"/>
      <c r="C1165" s="41"/>
      <c r="D1165" s="42"/>
      <c r="E1165" s="39" t="s">
        <v>59</v>
      </c>
      <c r="F1165" s="39" t="s">
        <v>60</v>
      </c>
      <c r="G1165" s="29"/>
      <c r="H1165" s="29"/>
      <c r="I1165" s="29"/>
      <c r="J1165" s="29"/>
      <c r="K1165" s="29"/>
      <c r="L1165" s="29"/>
      <c r="M1165" s="29"/>
      <c r="N1165" s="29"/>
      <c r="O1165" s="29"/>
      <c r="P1165" s="29"/>
      <c r="Q1165" s="29"/>
      <c r="R1165" s="29"/>
      <c r="S1165" s="29"/>
      <c r="T1165" s="29"/>
      <c r="U1165" s="29"/>
      <c r="V1165" s="29"/>
      <c r="W1165" s="29"/>
      <c r="X1165" s="29"/>
      <c r="Y1165" s="29"/>
      <c r="Z1165" s="29"/>
      <c r="AA1165" s="29"/>
      <c r="AB1165" s="29"/>
      <c r="AC1165" s="29"/>
      <c r="AD1165" s="29"/>
      <c r="AE1165" s="29"/>
      <c r="AJ1165" s="44"/>
      <c r="AK1165" s="44"/>
      <c r="AL1165" s="44"/>
      <c r="AM1165" s="44"/>
      <c r="AN1165" s="44"/>
      <c r="AO1165" s="44"/>
      <c r="AP1165" s="44"/>
      <c r="AQ1165" s="44"/>
      <c r="AR1165" s="44"/>
      <c r="AS1165" s="44"/>
      <c r="AT1165" s="4" t="str">
        <f t="shared" si="131"/>
        <v>1.0倍人力住房公积金</v>
      </c>
      <c r="AU1165" s="4" t="str">
        <f t="shared" si="127"/>
        <v>国际发展部</v>
      </c>
      <c r="AV1165" s="4" t="str">
        <f t="shared" si="128"/>
        <v>人力费用</v>
      </c>
      <c r="AW1165" s="4" t="str">
        <f>IFERROR(VLOOKUP(AV1165,[1]字段!A:B,2,0),"")</f>
        <v>人力费用</v>
      </c>
      <c r="AX1165" s="30" t="str">
        <f>IF(AW1165="人力费用",IF(E1165="","",VLOOKUP(E1165,[1]字段!D:E,2,0)),AW1165)</f>
        <v>1.0倍人力</v>
      </c>
      <c r="AY1165" s="30" t="str">
        <f>IF(AT1165="","",VLOOKUP(AT1165,[1]字段!H:I,2,0))</f>
        <v>1.0倍人力</v>
      </c>
      <c r="AZ1165" s="31">
        <f t="shared" si="132"/>
        <v>0</v>
      </c>
      <c r="BA1165" s="31">
        <f t="shared" si="129"/>
        <v>0</v>
      </c>
      <c r="BB1165" s="31">
        <f t="shared" si="130"/>
        <v>0</v>
      </c>
      <c r="BC1165" s="31">
        <f t="shared" si="133"/>
        <v>0</v>
      </c>
    </row>
    <row r="1166" spans="1:55" ht="15" customHeight="1">
      <c r="A1166" s="25"/>
      <c r="B1166" s="26" t="s">
        <v>218</v>
      </c>
      <c r="C1166" s="27"/>
      <c r="D1166" s="27"/>
      <c r="E1166" s="27"/>
      <c r="F1166" s="28"/>
      <c r="G1166" s="29"/>
      <c r="H1166" s="29"/>
      <c r="I1166" s="29"/>
      <c r="J1166" s="29"/>
      <c r="K1166" s="29"/>
      <c r="L1166" s="29"/>
      <c r="M1166" s="29"/>
      <c r="N1166" s="29"/>
      <c r="O1166" s="29"/>
      <c r="P1166" s="29"/>
      <c r="Q1166" s="29"/>
      <c r="R1166" s="29"/>
      <c r="S1166" s="29"/>
      <c r="T1166" s="29"/>
      <c r="U1166" s="29"/>
      <c r="V1166" s="29"/>
      <c r="W1166" s="29"/>
      <c r="X1166" s="29"/>
      <c r="Y1166" s="29"/>
      <c r="Z1166" s="29"/>
      <c r="AA1166" s="29"/>
      <c r="AB1166" s="29"/>
      <c r="AC1166" s="29"/>
      <c r="AD1166" s="29"/>
      <c r="AE1166" s="29"/>
      <c r="AJ1166" s="44"/>
      <c r="AK1166" s="44"/>
      <c r="AL1166" s="44"/>
      <c r="AM1166" s="44"/>
      <c r="AN1166" s="44"/>
      <c r="AO1166" s="44"/>
      <c r="AP1166" s="44"/>
      <c r="AQ1166" s="44"/>
      <c r="AR1166" s="44"/>
      <c r="AS1166" s="44"/>
      <c r="AT1166" s="4" t="str">
        <f t="shared" si="131"/>
        <v/>
      </c>
      <c r="AU1166" s="4" t="str">
        <f t="shared" si="127"/>
        <v>小鹅流量经营团队</v>
      </c>
      <c r="AV1166" s="4" t="str">
        <f t="shared" si="128"/>
        <v/>
      </c>
      <c r="AW1166" s="4" t="str">
        <f>IFERROR(VLOOKUP(AV1166,[1]字段!A:B,2,0),"")</f>
        <v/>
      </c>
      <c r="AX1166" s="30" t="str">
        <f>IF(AW1166="人力费用",IF(E1166="","",VLOOKUP(E1166,[1]字段!D:E,2,0)),AW1166)</f>
        <v/>
      </c>
      <c r="AY1166" s="30" t="str">
        <f>IF(AT1166="","",VLOOKUP(AT1166,[1]字段!H:I,2,0))</f>
        <v/>
      </c>
      <c r="AZ1166" s="31">
        <f t="shared" si="132"/>
        <v>0</v>
      </c>
      <c r="BA1166" s="31">
        <f t="shared" si="129"/>
        <v>0</v>
      </c>
      <c r="BB1166" s="31">
        <f t="shared" si="130"/>
        <v>0</v>
      </c>
      <c r="BC1166" s="31">
        <f t="shared" si="133"/>
        <v>0</v>
      </c>
    </row>
    <row r="1167" spans="1:55" ht="15">
      <c r="A1167" s="32"/>
      <c r="B1167" s="32"/>
      <c r="C1167" s="33" t="s">
        <v>39</v>
      </c>
      <c r="D1167" s="34" t="s">
        <v>40</v>
      </c>
      <c r="E1167" s="35"/>
      <c r="F1167" s="36"/>
      <c r="G1167" s="29"/>
      <c r="H1167" s="29"/>
      <c r="I1167" s="29"/>
      <c r="J1167" s="29"/>
      <c r="K1167" s="29"/>
      <c r="L1167" s="29"/>
      <c r="M1167" s="29"/>
      <c r="N1167" s="29"/>
      <c r="O1167" s="29"/>
      <c r="P1167" s="29"/>
      <c r="Q1167" s="29"/>
      <c r="R1167" s="29"/>
      <c r="S1167" s="29"/>
      <c r="T1167" s="29"/>
      <c r="U1167" s="29"/>
      <c r="V1167" s="29"/>
      <c r="W1167" s="29"/>
      <c r="X1167" s="29"/>
      <c r="Y1167" s="29"/>
      <c r="Z1167" s="29"/>
      <c r="AA1167" s="29"/>
      <c r="AB1167" s="29"/>
      <c r="AC1167" s="29"/>
      <c r="AD1167" s="29"/>
      <c r="AE1167" s="29"/>
      <c r="AJ1167" s="44"/>
      <c r="AK1167" s="44"/>
      <c r="AL1167" s="44"/>
      <c r="AM1167" s="44"/>
      <c r="AN1167" s="44"/>
      <c r="AO1167" s="44"/>
      <c r="AP1167" s="44"/>
      <c r="AQ1167" s="44"/>
      <c r="AR1167" s="44"/>
      <c r="AS1167" s="44"/>
      <c r="AT1167" s="4" t="str">
        <f t="shared" si="131"/>
        <v/>
      </c>
      <c r="AU1167" s="4" t="str">
        <f t="shared" si="127"/>
        <v>小鹅流量经营团队</v>
      </c>
      <c r="AV1167" s="4" t="str">
        <f t="shared" si="128"/>
        <v>人力费用</v>
      </c>
      <c r="AW1167" s="4" t="str">
        <f>IFERROR(VLOOKUP(AV1167,[1]字段!A:B,2,0),"")</f>
        <v>人力费用</v>
      </c>
      <c r="AX1167" s="30" t="str">
        <f>IF(AW1167="人力费用",IF(E1167="","",VLOOKUP(E1167,[1]字段!D:E,2,0)),AW1167)</f>
        <v/>
      </c>
      <c r="AY1167" s="30" t="str">
        <f>IF(AT1167="","",VLOOKUP(AT1167,[1]字段!H:I,2,0))</f>
        <v/>
      </c>
      <c r="AZ1167" s="31">
        <f t="shared" si="132"/>
        <v>0</v>
      </c>
      <c r="BA1167" s="31">
        <f t="shared" si="129"/>
        <v>0</v>
      </c>
      <c r="BB1167" s="31">
        <f t="shared" si="130"/>
        <v>0</v>
      </c>
      <c r="BC1167" s="31">
        <f t="shared" si="133"/>
        <v>0</v>
      </c>
    </row>
    <row r="1168" spans="1:55" ht="15">
      <c r="A1168" s="32"/>
      <c r="B1168" s="32"/>
      <c r="C1168" s="37"/>
      <c r="D1168" s="38"/>
      <c r="E1168" s="39" t="s">
        <v>41</v>
      </c>
      <c r="F1168" s="39" t="s">
        <v>42</v>
      </c>
      <c r="G1168" s="29"/>
      <c r="H1168" s="29"/>
      <c r="I1168" s="29"/>
      <c r="J1168" s="29"/>
      <c r="K1168" s="29"/>
      <c r="L1168" s="29"/>
      <c r="M1168" s="29"/>
      <c r="N1168" s="29"/>
      <c r="O1168" s="29"/>
      <c r="P1168" s="29"/>
      <c r="Q1168" s="29"/>
      <c r="R1168" s="29"/>
      <c r="S1168" s="29"/>
      <c r="T1168" s="29"/>
      <c r="U1168" s="29"/>
      <c r="V1168" s="29"/>
      <c r="W1168" s="29"/>
      <c r="X1168" s="29"/>
      <c r="Y1168" s="29"/>
      <c r="Z1168" s="29"/>
      <c r="AA1168" s="29"/>
      <c r="AB1168" s="29"/>
      <c r="AC1168" s="29"/>
      <c r="AD1168" s="29"/>
      <c r="AE1168" s="29"/>
      <c r="AJ1168" s="44"/>
      <c r="AK1168" s="44"/>
      <c r="AL1168" s="44"/>
      <c r="AM1168" s="44"/>
      <c r="AN1168" s="44"/>
      <c r="AO1168" s="44"/>
      <c r="AP1168" s="44"/>
      <c r="AQ1168" s="44"/>
      <c r="AR1168" s="44"/>
      <c r="AS1168" s="44"/>
      <c r="AT1168" s="4" t="str">
        <f t="shared" si="131"/>
        <v>1.0倍人力基础工资</v>
      </c>
      <c r="AU1168" s="4" t="str">
        <f t="shared" si="127"/>
        <v>小鹅流量经营团队</v>
      </c>
      <c r="AV1168" s="4" t="str">
        <f t="shared" si="128"/>
        <v>人力费用</v>
      </c>
      <c r="AW1168" s="4" t="str">
        <f>IFERROR(VLOOKUP(AV1168,[1]字段!A:B,2,0),"")</f>
        <v>人力费用</v>
      </c>
      <c r="AX1168" s="30" t="str">
        <f>IF(AW1168="人力费用",IF(E1168="","",VLOOKUP(E1168,[1]字段!D:E,2,0)),AW1168)</f>
        <v>1.0倍人力</v>
      </c>
      <c r="AY1168" s="30" t="str">
        <f>IF(AT1168="","",VLOOKUP(AT1168,[1]字段!H:I,2,0))</f>
        <v>1.0倍人力</v>
      </c>
      <c r="AZ1168" s="31">
        <f t="shared" si="132"/>
        <v>0</v>
      </c>
      <c r="BA1168" s="31">
        <f t="shared" si="129"/>
        <v>0</v>
      </c>
      <c r="BB1168" s="31">
        <f t="shared" si="130"/>
        <v>0</v>
      </c>
      <c r="BC1168" s="31">
        <f t="shared" si="133"/>
        <v>0</v>
      </c>
    </row>
    <row r="1169" spans="1:55" ht="15">
      <c r="A1169" s="32"/>
      <c r="B1169" s="32"/>
      <c r="C1169" s="32"/>
      <c r="D1169" s="40"/>
      <c r="E1169" s="39">
        <v>5501010604</v>
      </c>
      <c r="F1169" s="39"/>
      <c r="G1169" s="29"/>
      <c r="H1169" s="29"/>
      <c r="I1169" s="29"/>
      <c r="J1169" s="29"/>
      <c r="K1169" s="29"/>
      <c r="L1169" s="29"/>
      <c r="M1169" s="29"/>
      <c r="N1169" s="29"/>
      <c r="O1169" s="29"/>
      <c r="P1169" s="29"/>
      <c r="Q1169" s="29"/>
      <c r="R1169" s="29"/>
      <c r="S1169" s="29"/>
      <c r="T1169" s="29"/>
      <c r="U1169" s="29"/>
      <c r="V1169" s="29"/>
      <c r="W1169" s="29"/>
      <c r="X1169" s="29"/>
      <c r="Y1169" s="29"/>
      <c r="Z1169" s="29"/>
      <c r="AA1169" s="29"/>
      <c r="AB1169" s="29"/>
      <c r="AC1169" s="29"/>
      <c r="AD1169" s="29"/>
      <c r="AE1169" s="29"/>
      <c r="AJ1169" s="44"/>
      <c r="AK1169" s="44"/>
      <c r="AL1169" s="44"/>
      <c r="AM1169" s="44"/>
      <c r="AN1169" s="44"/>
      <c r="AO1169" s="44"/>
      <c r="AP1169" s="44"/>
      <c r="AQ1169" s="44"/>
      <c r="AR1169" s="44"/>
      <c r="AS1169" s="44"/>
      <c r="AT1169" s="4" t="str">
        <f t="shared" si="131"/>
        <v>1.0倍人力</v>
      </c>
      <c r="AU1169" s="4" t="str">
        <f t="shared" si="127"/>
        <v>小鹅流量经营团队</v>
      </c>
      <c r="AV1169" s="4" t="str">
        <f t="shared" si="128"/>
        <v>人力费用</v>
      </c>
      <c r="AW1169" s="4" t="str">
        <f>IFERROR(VLOOKUP(AV1169,[1]字段!A:B,2,0),"")</f>
        <v>人力费用</v>
      </c>
      <c r="AX1169" s="30" t="str">
        <f>IF(AW1169="人力费用",IF(E1169="","",VLOOKUP(E1169,[1]字段!D:E,2,0)),AW1169)</f>
        <v>1.0倍人力</v>
      </c>
      <c r="AY1169" s="30" t="str">
        <f>IF(AT1169="","",VLOOKUP(AT1169,[1]字段!H:I,2,0))</f>
        <v>1.0倍人力</v>
      </c>
      <c r="AZ1169" s="31">
        <f t="shared" si="132"/>
        <v>0</v>
      </c>
      <c r="BA1169" s="31">
        <f t="shared" si="129"/>
        <v>0</v>
      </c>
      <c r="BB1169" s="31">
        <f t="shared" si="130"/>
        <v>0</v>
      </c>
      <c r="BC1169" s="31">
        <f t="shared" si="133"/>
        <v>0</v>
      </c>
    </row>
    <row r="1170" spans="1:55" ht="15">
      <c r="A1170" s="32"/>
      <c r="B1170" s="32"/>
      <c r="C1170" s="32"/>
      <c r="D1170" s="40"/>
      <c r="E1170" s="39" t="s">
        <v>43</v>
      </c>
      <c r="F1170" s="39" t="s">
        <v>44</v>
      </c>
      <c r="G1170" s="29"/>
      <c r="H1170" s="29"/>
      <c r="I1170" s="29"/>
      <c r="J1170" s="29"/>
      <c r="K1170" s="29"/>
      <c r="L1170" s="29"/>
      <c r="M1170" s="29"/>
      <c r="N1170" s="29"/>
      <c r="O1170" s="29"/>
      <c r="P1170" s="29"/>
      <c r="Q1170" s="29"/>
      <c r="R1170" s="29"/>
      <c r="S1170" s="29"/>
      <c r="T1170" s="29"/>
      <c r="U1170" s="29"/>
      <c r="V1170" s="29"/>
      <c r="W1170" s="29"/>
      <c r="X1170" s="29"/>
      <c r="Y1170" s="29"/>
      <c r="Z1170" s="29"/>
      <c r="AA1170" s="29"/>
      <c r="AB1170" s="29"/>
      <c r="AC1170" s="29"/>
      <c r="AD1170" s="29"/>
      <c r="AE1170" s="29"/>
      <c r="AJ1170" s="44"/>
      <c r="AK1170" s="44"/>
      <c r="AL1170" s="44"/>
      <c r="AM1170" s="44"/>
      <c r="AN1170" s="44"/>
      <c r="AO1170" s="44"/>
      <c r="AP1170" s="44"/>
      <c r="AQ1170" s="44"/>
      <c r="AR1170" s="44"/>
      <c r="AS1170" s="44"/>
      <c r="AT1170" s="4" t="str">
        <f t="shared" si="131"/>
        <v>1.0倍人力团队建设费</v>
      </c>
      <c r="AU1170" s="4" t="str">
        <f t="shared" si="127"/>
        <v>小鹅流量经营团队</v>
      </c>
      <c r="AV1170" s="4" t="str">
        <f t="shared" si="128"/>
        <v>人力费用</v>
      </c>
      <c r="AW1170" s="4" t="str">
        <f>IFERROR(VLOOKUP(AV1170,[1]字段!A:B,2,0),"")</f>
        <v>人力费用</v>
      </c>
      <c r="AX1170" s="30" t="str">
        <f>IF(AW1170="人力费用",IF(E1170="","",VLOOKUP(E1170,[1]字段!D:E,2,0)),AW1170)</f>
        <v>1.0倍人力</v>
      </c>
      <c r="AY1170" s="30" t="str">
        <f>IF(AT1170="","",VLOOKUP(AT1170,[1]字段!H:I,2,0))</f>
        <v>1.0倍人力</v>
      </c>
      <c r="AZ1170" s="31">
        <f t="shared" si="132"/>
        <v>0</v>
      </c>
      <c r="BA1170" s="31">
        <f t="shared" si="129"/>
        <v>0</v>
      </c>
      <c r="BB1170" s="31">
        <f t="shared" si="130"/>
        <v>0</v>
      </c>
      <c r="BC1170" s="31">
        <f t="shared" si="133"/>
        <v>0</v>
      </c>
    </row>
    <row r="1171" spans="1:55" ht="15">
      <c r="A1171" s="32"/>
      <c r="B1171" s="32"/>
      <c r="C1171" s="32"/>
      <c r="D1171" s="40"/>
      <c r="E1171" s="39" t="s">
        <v>45</v>
      </c>
      <c r="F1171" s="39" t="s">
        <v>46</v>
      </c>
      <c r="G1171" s="29"/>
      <c r="H1171" s="29"/>
      <c r="I1171" s="29"/>
      <c r="J1171" s="29"/>
      <c r="K1171" s="29"/>
      <c r="L1171" s="29"/>
      <c r="M1171" s="29"/>
      <c r="N1171" s="29"/>
      <c r="O1171" s="29"/>
      <c r="P1171" s="29"/>
      <c r="Q1171" s="29"/>
      <c r="R1171" s="29"/>
      <c r="S1171" s="29"/>
      <c r="T1171" s="29"/>
      <c r="U1171" s="29"/>
      <c r="V1171" s="29"/>
      <c r="W1171" s="29"/>
      <c r="X1171" s="29"/>
      <c r="Y1171" s="29"/>
      <c r="Z1171" s="29"/>
      <c r="AA1171" s="29"/>
      <c r="AB1171" s="29"/>
      <c r="AC1171" s="29"/>
      <c r="AD1171" s="29"/>
      <c r="AE1171" s="29"/>
      <c r="AJ1171" s="45"/>
      <c r="AK1171" s="45"/>
      <c r="AL1171" s="45"/>
      <c r="AM1171" s="45"/>
      <c r="AN1171" s="45"/>
      <c r="AO1171" s="45"/>
      <c r="AP1171" s="45"/>
      <c r="AQ1171" s="45"/>
      <c r="AR1171" s="45"/>
      <c r="AS1171" s="44"/>
      <c r="AT1171" s="4" t="str">
        <f t="shared" si="131"/>
        <v>1.0倍人力其他职工福利费</v>
      </c>
      <c r="AU1171" s="4" t="str">
        <f t="shared" si="127"/>
        <v>小鹅流量经营团队</v>
      </c>
      <c r="AV1171" s="4" t="str">
        <f t="shared" si="128"/>
        <v>人力费用</v>
      </c>
      <c r="AW1171" s="4" t="str">
        <f>IFERROR(VLOOKUP(AV1171,[1]字段!A:B,2,0),"")</f>
        <v>人力费用</v>
      </c>
      <c r="AX1171" s="30" t="str">
        <f>IF(AW1171="人力费用",IF(E1171="","",VLOOKUP(E1171,[1]字段!D:E,2,0)),AW1171)</f>
        <v>1.0倍人力</v>
      </c>
      <c r="AY1171" s="30" t="str">
        <f>IF(AT1171="","",VLOOKUP(AT1171,[1]字段!H:I,2,0))</f>
        <v>1.0倍人力</v>
      </c>
      <c r="AZ1171" s="31">
        <f t="shared" si="132"/>
        <v>0</v>
      </c>
      <c r="BA1171" s="31">
        <f t="shared" si="129"/>
        <v>0</v>
      </c>
      <c r="BB1171" s="31">
        <f t="shared" si="130"/>
        <v>0</v>
      </c>
      <c r="BC1171" s="31">
        <f t="shared" si="133"/>
        <v>0</v>
      </c>
    </row>
    <row r="1172" spans="1:55" ht="15.6" customHeight="1">
      <c r="A1172" s="32"/>
      <c r="B1172" s="32"/>
      <c r="C1172" s="32"/>
      <c r="D1172" s="40"/>
      <c r="E1172" s="39" t="s">
        <v>47</v>
      </c>
      <c r="F1172" s="39" t="s">
        <v>48</v>
      </c>
      <c r="G1172" s="29"/>
      <c r="H1172" s="29"/>
      <c r="I1172" s="29"/>
      <c r="J1172" s="29"/>
      <c r="K1172" s="29"/>
      <c r="L1172" s="29"/>
      <c r="M1172" s="29"/>
      <c r="N1172" s="29"/>
      <c r="O1172" s="29"/>
      <c r="P1172" s="29"/>
      <c r="Q1172" s="29"/>
      <c r="R1172" s="29"/>
      <c r="S1172" s="29"/>
      <c r="T1172" s="29"/>
      <c r="U1172" s="29"/>
      <c r="V1172" s="29"/>
      <c r="W1172" s="29"/>
      <c r="X1172" s="29"/>
      <c r="Y1172" s="29"/>
      <c r="Z1172" s="29"/>
      <c r="AA1172" s="29"/>
      <c r="AB1172" s="29"/>
      <c r="AC1172" s="29"/>
      <c r="AD1172" s="29"/>
      <c r="AE1172" s="29"/>
      <c r="AJ1172" s="44"/>
      <c r="AK1172" s="44"/>
      <c r="AL1172" s="44"/>
      <c r="AM1172" s="44"/>
      <c r="AN1172" s="44"/>
      <c r="AO1172" s="44"/>
      <c r="AP1172" s="44"/>
      <c r="AQ1172" s="44"/>
      <c r="AR1172" s="44"/>
      <c r="AS1172" s="44"/>
      <c r="AT1172" s="4" t="str">
        <f t="shared" si="131"/>
        <v>1.0倍人力工会经费</v>
      </c>
      <c r="AU1172" s="4" t="str">
        <f t="shared" si="127"/>
        <v>小鹅流量经营团队</v>
      </c>
      <c r="AV1172" s="4" t="str">
        <f t="shared" si="128"/>
        <v>人力费用</v>
      </c>
      <c r="AW1172" s="4" t="str">
        <f>IFERROR(VLOOKUP(AV1172,[1]字段!A:B,2,0),"")</f>
        <v>人力费用</v>
      </c>
      <c r="AX1172" s="30" t="str">
        <f>IF(AW1172="人力费用",IF(E1172="","",VLOOKUP(E1172,[1]字段!D:E,2,0)),AW1172)</f>
        <v>1.0倍人力</v>
      </c>
      <c r="AY1172" s="30" t="str">
        <f>IF(AT1172="","",VLOOKUP(AT1172,[1]字段!H:I,2,0))</f>
        <v>1.0倍人力</v>
      </c>
      <c r="AZ1172" s="31">
        <f t="shared" si="132"/>
        <v>0</v>
      </c>
      <c r="BA1172" s="31">
        <f t="shared" si="129"/>
        <v>0</v>
      </c>
      <c r="BB1172" s="31">
        <f t="shared" si="130"/>
        <v>0</v>
      </c>
      <c r="BC1172" s="31">
        <f t="shared" si="133"/>
        <v>0</v>
      </c>
    </row>
    <row r="1173" spans="1:55" ht="15">
      <c r="A1173" s="32"/>
      <c r="B1173" s="32"/>
      <c r="C1173" s="32"/>
      <c r="D1173" s="40"/>
      <c r="E1173" s="39" t="s">
        <v>49</v>
      </c>
      <c r="F1173" s="39" t="s">
        <v>50</v>
      </c>
      <c r="G1173" s="29"/>
      <c r="H1173" s="29"/>
      <c r="I1173" s="29"/>
      <c r="J1173" s="29"/>
      <c r="K1173" s="29"/>
      <c r="L1173" s="29"/>
      <c r="M1173" s="29"/>
      <c r="N1173" s="29"/>
      <c r="O1173" s="29"/>
      <c r="P1173" s="29"/>
      <c r="Q1173" s="29"/>
      <c r="R1173" s="29"/>
      <c r="S1173" s="29"/>
      <c r="T1173" s="29"/>
      <c r="U1173" s="29"/>
      <c r="V1173" s="29"/>
      <c r="W1173" s="29"/>
      <c r="X1173" s="29"/>
      <c r="Y1173" s="29"/>
      <c r="Z1173" s="29"/>
      <c r="AA1173" s="29"/>
      <c r="AB1173" s="29"/>
      <c r="AC1173" s="29"/>
      <c r="AD1173" s="29"/>
      <c r="AE1173" s="29"/>
      <c r="AJ1173" s="44"/>
      <c r="AK1173" s="44"/>
      <c r="AL1173" s="44"/>
      <c r="AM1173" s="44"/>
      <c r="AN1173" s="44"/>
      <c r="AO1173" s="44"/>
      <c r="AP1173" s="44"/>
      <c r="AQ1173" s="44"/>
      <c r="AR1173" s="44"/>
      <c r="AS1173" s="44"/>
      <c r="AT1173" s="4" t="str">
        <f t="shared" si="131"/>
        <v>1.0倍人力基本养老保险</v>
      </c>
      <c r="AU1173" s="4" t="str">
        <f t="shared" si="127"/>
        <v>小鹅流量经营团队</v>
      </c>
      <c r="AV1173" s="4" t="str">
        <f t="shared" si="128"/>
        <v>人力费用</v>
      </c>
      <c r="AW1173" s="4" t="str">
        <f>IFERROR(VLOOKUP(AV1173,[1]字段!A:B,2,0),"")</f>
        <v>人力费用</v>
      </c>
      <c r="AX1173" s="30" t="str">
        <f>IF(AW1173="人力费用",IF(E1173="","",VLOOKUP(E1173,[1]字段!D:E,2,0)),AW1173)</f>
        <v>1.0倍人力</v>
      </c>
      <c r="AY1173" s="30" t="str">
        <f>IF(AT1173="","",VLOOKUP(AT1173,[1]字段!H:I,2,0))</f>
        <v>1.0倍人力</v>
      </c>
      <c r="AZ1173" s="31">
        <f t="shared" si="132"/>
        <v>0</v>
      </c>
      <c r="BA1173" s="31">
        <f t="shared" si="129"/>
        <v>0</v>
      </c>
      <c r="BB1173" s="31">
        <f t="shared" si="130"/>
        <v>0</v>
      </c>
      <c r="BC1173" s="31">
        <f t="shared" si="133"/>
        <v>0</v>
      </c>
    </row>
    <row r="1174" spans="1:55" ht="15">
      <c r="A1174" s="32"/>
      <c r="B1174" s="32"/>
      <c r="C1174" s="32"/>
      <c r="D1174" s="40"/>
      <c r="E1174" s="39" t="s">
        <v>51</v>
      </c>
      <c r="F1174" s="39" t="s">
        <v>52</v>
      </c>
      <c r="G1174" s="29"/>
      <c r="H1174" s="29"/>
      <c r="I1174" s="29"/>
      <c r="J1174" s="29"/>
      <c r="K1174" s="29"/>
      <c r="L1174" s="29"/>
      <c r="M1174" s="29"/>
      <c r="N1174" s="29"/>
      <c r="O1174" s="29"/>
      <c r="P1174" s="29"/>
      <c r="Q1174" s="29"/>
      <c r="R1174" s="29"/>
      <c r="S1174" s="29"/>
      <c r="T1174" s="29"/>
      <c r="U1174" s="29"/>
      <c r="V1174" s="29"/>
      <c r="W1174" s="29"/>
      <c r="X1174" s="29"/>
      <c r="Y1174" s="29"/>
      <c r="Z1174" s="29"/>
      <c r="AA1174" s="29"/>
      <c r="AB1174" s="29"/>
      <c r="AC1174" s="29"/>
      <c r="AD1174" s="29"/>
      <c r="AE1174" s="29"/>
      <c r="AJ1174" s="44"/>
      <c r="AK1174" s="44"/>
      <c r="AL1174" s="44"/>
      <c r="AM1174" s="44"/>
      <c r="AN1174" s="44"/>
      <c r="AO1174" s="44"/>
      <c r="AP1174" s="44"/>
      <c r="AQ1174" s="44"/>
      <c r="AR1174" s="44"/>
      <c r="AS1174" s="44"/>
      <c r="AT1174" s="4" t="str">
        <f t="shared" si="131"/>
        <v>1.0倍人力基本医疗保险</v>
      </c>
      <c r="AU1174" s="4" t="str">
        <f t="shared" si="127"/>
        <v>小鹅流量经营团队</v>
      </c>
      <c r="AV1174" s="4" t="str">
        <f t="shared" si="128"/>
        <v>人力费用</v>
      </c>
      <c r="AW1174" s="4" t="str">
        <f>IFERROR(VLOOKUP(AV1174,[1]字段!A:B,2,0),"")</f>
        <v>人力费用</v>
      </c>
      <c r="AX1174" s="30" t="str">
        <f>IF(AW1174="人力费用",IF(E1174="","",VLOOKUP(E1174,[1]字段!D:E,2,0)),AW1174)</f>
        <v>1.0倍人力</v>
      </c>
      <c r="AY1174" s="30" t="str">
        <f>IF(AT1174="","",VLOOKUP(AT1174,[1]字段!H:I,2,0))</f>
        <v>1.0倍人力</v>
      </c>
      <c r="AZ1174" s="31">
        <f t="shared" si="132"/>
        <v>0</v>
      </c>
      <c r="BA1174" s="31">
        <f t="shared" si="129"/>
        <v>0</v>
      </c>
      <c r="BB1174" s="31">
        <f t="shared" si="130"/>
        <v>0</v>
      </c>
      <c r="BC1174" s="31">
        <f t="shared" si="133"/>
        <v>0</v>
      </c>
    </row>
    <row r="1175" spans="1:55" ht="15">
      <c r="A1175" s="32"/>
      <c r="B1175" s="32"/>
      <c r="C1175" s="32"/>
      <c r="D1175" s="40"/>
      <c r="E1175" s="39" t="s">
        <v>53</v>
      </c>
      <c r="F1175" s="39" t="s">
        <v>54</v>
      </c>
      <c r="G1175" s="29"/>
      <c r="H1175" s="29"/>
      <c r="I1175" s="29"/>
      <c r="J1175" s="29"/>
      <c r="K1175" s="29"/>
      <c r="L1175" s="29"/>
      <c r="M1175" s="29"/>
      <c r="N1175" s="29"/>
      <c r="O1175" s="29"/>
      <c r="P1175" s="29"/>
      <c r="Q1175" s="29"/>
      <c r="R1175" s="29"/>
      <c r="S1175" s="29"/>
      <c r="T1175" s="29"/>
      <c r="U1175" s="29"/>
      <c r="V1175" s="29"/>
      <c r="W1175" s="29"/>
      <c r="X1175" s="29"/>
      <c r="Y1175" s="29"/>
      <c r="Z1175" s="29"/>
      <c r="AA1175" s="29"/>
      <c r="AB1175" s="29"/>
      <c r="AC1175" s="29"/>
      <c r="AD1175" s="29"/>
      <c r="AE1175" s="29"/>
      <c r="AJ1175" s="44"/>
      <c r="AK1175" s="44"/>
      <c r="AL1175" s="44"/>
      <c r="AM1175" s="44"/>
      <c r="AN1175" s="44"/>
      <c r="AO1175" s="44"/>
      <c r="AP1175" s="44"/>
      <c r="AQ1175" s="44"/>
      <c r="AR1175" s="44"/>
      <c r="AS1175" s="44"/>
      <c r="AT1175" s="4" t="str">
        <f t="shared" si="131"/>
        <v>1.0倍人力工伤保险</v>
      </c>
      <c r="AU1175" s="4" t="str">
        <f t="shared" si="127"/>
        <v>小鹅流量经营团队</v>
      </c>
      <c r="AV1175" s="4" t="str">
        <f t="shared" si="128"/>
        <v>人力费用</v>
      </c>
      <c r="AW1175" s="4" t="str">
        <f>IFERROR(VLOOKUP(AV1175,[1]字段!A:B,2,0),"")</f>
        <v>人力费用</v>
      </c>
      <c r="AX1175" s="30" t="str">
        <f>IF(AW1175="人力费用",IF(E1175="","",VLOOKUP(E1175,[1]字段!D:E,2,0)),AW1175)</f>
        <v>1.0倍人力</v>
      </c>
      <c r="AY1175" s="30" t="str">
        <f>IF(AT1175="","",VLOOKUP(AT1175,[1]字段!H:I,2,0))</f>
        <v>1.0倍人力</v>
      </c>
      <c r="AZ1175" s="31">
        <f t="shared" si="132"/>
        <v>0</v>
      </c>
      <c r="BA1175" s="31">
        <f t="shared" si="129"/>
        <v>0</v>
      </c>
      <c r="BB1175" s="31">
        <f t="shared" si="130"/>
        <v>0</v>
      </c>
      <c r="BC1175" s="31">
        <f t="shared" si="133"/>
        <v>0</v>
      </c>
    </row>
    <row r="1176" spans="1:55" ht="15">
      <c r="A1176" s="32"/>
      <c r="B1176" s="32"/>
      <c r="C1176" s="32"/>
      <c r="D1176" s="40"/>
      <c r="E1176" s="39" t="s">
        <v>55</v>
      </c>
      <c r="F1176" s="39" t="s">
        <v>56</v>
      </c>
      <c r="G1176" s="29"/>
      <c r="H1176" s="29"/>
      <c r="I1176" s="29"/>
      <c r="J1176" s="29"/>
      <c r="K1176" s="29"/>
      <c r="L1176" s="29"/>
      <c r="M1176" s="29"/>
      <c r="N1176" s="29"/>
      <c r="O1176" s="29"/>
      <c r="P1176" s="29"/>
      <c r="Q1176" s="29"/>
      <c r="R1176" s="29"/>
      <c r="S1176" s="29"/>
      <c r="T1176" s="29"/>
      <c r="U1176" s="29"/>
      <c r="V1176" s="29"/>
      <c r="W1176" s="29"/>
      <c r="X1176" s="29"/>
      <c r="Y1176" s="29"/>
      <c r="Z1176" s="29"/>
      <c r="AA1176" s="29"/>
      <c r="AB1176" s="29"/>
      <c r="AC1176" s="29"/>
      <c r="AD1176" s="29"/>
      <c r="AE1176" s="29"/>
      <c r="AJ1176" s="44"/>
      <c r="AK1176" s="44"/>
      <c r="AL1176" s="44"/>
      <c r="AM1176" s="44"/>
      <c r="AN1176" s="44"/>
      <c r="AO1176" s="44"/>
      <c r="AP1176" s="44"/>
      <c r="AQ1176" s="44"/>
      <c r="AR1176" s="44"/>
      <c r="AS1176" s="44"/>
      <c r="AT1176" s="4" t="str">
        <f t="shared" si="131"/>
        <v>1.0倍人力生育保险</v>
      </c>
      <c r="AU1176" s="4" t="str">
        <f t="shared" si="127"/>
        <v>小鹅流量经营团队</v>
      </c>
      <c r="AV1176" s="4" t="str">
        <f t="shared" si="128"/>
        <v>人力费用</v>
      </c>
      <c r="AW1176" s="4" t="str">
        <f>IFERROR(VLOOKUP(AV1176,[1]字段!A:B,2,0),"")</f>
        <v>人力费用</v>
      </c>
      <c r="AX1176" s="30" t="str">
        <f>IF(AW1176="人力费用",IF(E1176="","",VLOOKUP(E1176,[1]字段!D:E,2,0)),AW1176)</f>
        <v>1.0倍人力</v>
      </c>
      <c r="AY1176" s="30" t="str">
        <f>IF(AT1176="","",VLOOKUP(AT1176,[1]字段!H:I,2,0))</f>
        <v>1.0倍人力</v>
      </c>
      <c r="AZ1176" s="31">
        <f t="shared" si="132"/>
        <v>0</v>
      </c>
      <c r="BA1176" s="31">
        <f t="shared" si="129"/>
        <v>0</v>
      </c>
      <c r="BB1176" s="31">
        <f t="shared" si="130"/>
        <v>0</v>
      </c>
      <c r="BC1176" s="31">
        <f t="shared" si="133"/>
        <v>0</v>
      </c>
    </row>
    <row r="1177" spans="1:55" ht="15.6" customHeight="1">
      <c r="A1177" s="32"/>
      <c r="B1177" s="32"/>
      <c r="C1177" s="32"/>
      <c r="D1177" s="40"/>
      <c r="E1177" s="39" t="s">
        <v>57</v>
      </c>
      <c r="F1177" s="39" t="s">
        <v>58</v>
      </c>
      <c r="G1177" s="29"/>
      <c r="H1177" s="29"/>
      <c r="I1177" s="29"/>
      <c r="J1177" s="29"/>
      <c r="K1177" s="29"/>
      <c r="L1177" s="29"/>
      <c r="M1177" s="29"/>
      <c r="N1177" s="29"/>
      <c r="O1177" s="29"/>
      <c r="P1177" s="29"/>
      <c r="Q1177" s="29"/>
      <c r="R1177" s="29"/>
      <c r="S1177" s="29"/>
      <c r="T1177" s="29"/>
      <c r="U1177" s="29"/>
      <c r="V1177" s="29"/>
      <c r="W1177" s="29"/>
      <c r="X1177" s="29"/>
      <c r="Y1177" s="29"/>
      <c r="Z1177" s="29"/>
      <c r="AA1177" s="29"/>
      <c r="AB1177" s="29"/>
      <c r="AC1177" s="29"/>
      <c r="AD1177" s="29"/>
      <c r="AE1177" s="29"/>
      <c r="AJ1177" s="44"/>
      <c r="AK1177" s="44"/>
      <c r="AL1177" s="44"/>
      <c r="AM1177" s="44"/>
      <c r="AN1177" s="44"/>
      <c r="AO1177" s="44"/>
      <c r="AP1177" s="44"/>
      <c r="AQ1177" s="44"/>
      <c r="AR1177" s="44"/>
      <c r="AS1177" s="44"/>
      <c r="AT1177" s="4" t="str">
        <f t="shared" si="131"/>
        <v>1.0倍人力失业保险</v>
      </c>
      <c r="AU1177" s="4" t="str">
        <f t="shared" si="127"/>
        <v>小鹅流量经营团队</v>
      </c>
      <c r="AV1177" s="4" t="str">
        <f t="shared" si="128"/>
        <v>人力费用</v>
      </c>
      <c r="AW1177" s="4" t="str">
        <f>IFERROR(VLOOKUP(AV1177,[1]字段!A:B,2,0),"")</f>
        <v>人力费用</v>
      </c>
      <c r="AX1177" s="30" t="str">
        <f>IF(AW1177="人力费用",IF(E1177="","",VLOOKUP(E1177,[1]字段!D:E,2,0)),AW1177)</f>
        <v>1.0倍人力</v>
      </c>
      <c r="AY1177" s="30" t="str">
        <f>IF(AT1177="","",VLOOKUP(AT1177,[1]字段!H:I,2,0))</f>
        <v>1.0倍人力</v>
      </c>
      <c r="AZ1177" s="31">
        <f t="shared" si="132"/>
        <v>0</v>
      </c>
      <c r="BA1177" s="31">
        <f t="shared" si="129"/>
        <v>0</v>
      </c>
      <c r="BB1177" s="31">
        <f t="shared" si="130"/>
        <v>0</v>
      </c>
      <c r="BC1177" s="31">
        <f t="shared" si="133"/>
        <v>0</v>
      </c>
    </row>
    <row r="1178" spans="1:55" ht="15">
      <c r="A1178" s="41"/>
      <c r="B1178" s="41"/>
      <c r="C1178" s="41"/>
      <c r="D1178" s="42"/>
      <c r="E1178" s="39" t="s">
        <v>59</v>
      </c>
      <c r="F1178" s="39" t="s">
        <v>60</v>
      </c>
      <c r="G1178" s="29"/>
      <c r="H1178" s="29"/>
      <c r="I1178" s="29"/>
      <c r="J1178" s="29"/>
      <c r="K1178" s="29"/>
      <c r="L1178" s="29"/>
      <c r="M1178" s="29"/>
      <c r="N1178" s="29"/>
      <c r="O1178" s="29"/>
      <c r="P1178" s="29"/>
      <c r="Q1178" s="29"/>
      <c r="R1178" s="29"/>
      <c r="S1178" s="29"/>
      <c r="T1178" s="29"/>
      <c r="U1178" s="29"/>
      <c r="V1178" s="29"/>
      <c r="W1178" s="29"/>
      <c r="X1178" s="29"/>
      <c r="Y1178" s="29"/>
      <c r="Z1178" s="29"/>
      <c r="AA1178" s="29"/>
      <c r="AB1178" s="29"/>
      <c r="AC1178" s="29"/>
      <c r="AD1178" s="29"/>
      <c r="AE1178" s="29"/>
      <c r="AJ1178" s="44"/>
      <c r="AK1178" s="44"/>
      <c r="AL1178" s="44"/>
      <c r="AM1178" s="44"/>
      <c r="AN1178" s="44"/>
      <c r="AO1178" s="44"/>
      <c r="AP1178" s="44"/>
      <c r="AQ1178" s="44"/>
      <c r="AR1178" s="44"/>
      <c r="AS1178" s="44"/>
      <c r="AT1178" s="4" t="str">
        <f t="shared" si="131"/>
        <v>1.0倍人力住房公积金</v>
      </c>
      <c r="AU1178" s="4" t="str">
        <f t="shared" si="127"/>
        <v>小鹅流量经营团队</v>
      </c>
      <c r="AV1178" s="4" t="str">
        <f t="shared" si="128"/>
        <v>人力费用</v>
      </c>
      <c r="AW1178" s="4" t="str">
        <f>IFERROR(VLOOKUP(AV1178,[1]字段!A:B,2,0),"")</f>
        <v>人力费用</v>
      </c>
      <c r="AX1178" s="30" t="str">
        <f>IF(AW1178="人力费用",IF(E1178="","",VLOOKUP(E1178,[1]字段!D:E,2,0)),AW1178)</f>
        <v>1.0倍人力</v>
      </c>
      <c r="AY1178" s="30" t="str">
        <f>IF(AT1178="","",VLOOKUP(AT1178,[1]字段!H:I,2,0))</f>
        <v>1.0倍人力</v>
      </c>
      <c r="AZ1178" s="31">
        <f t="shared" si="132"/>
        <v>0</v>
      </c>
      <c r="BA1178" s="31">
        <f t="shared" si="129"/>
        <v>0</v>
      </c>
      <c r="BB1178" s="31">
        <f t="shared" si="130"/>
        <v>0</v>
      </c>
      <c r="BC1178" s="31">
        <f t="shared" si="133"/>
        <v>0</v>
      </c>
    </row>
    <row r="1179" spans="1:55" ht="15.6" customHeight="1">
      <c r="A1179" s="46" t="s">
        <v>219</v>
      </c>
      <c r="B1179" s="47"/>
      <c r="C1179" s="47"/>
      <c r="D1179" s="47"/>
      <c r="E1179" s="47"/>
      <c r="F1179" s="48"/>
      <c r="G1179" s="29"/>
      <c r="H1179" s="29"/>
      <c r="I1179" s="29"/>
      <c r="J1179" s="29"/>
      <c r="K1179" s="29"/>
      <c r="L1179" s="29"/>
      <c r="M1179" s="29"/>
      <c r="N1179" s="29"/>
      <c r="O1179" s="29"/>
      <c r="P1179" s="29"/>
      <c r="Q1179" s="29"/>
      <c r="R1179" s="29"/>
      <c r="S1179" s="29"/>
      <c r="T1179" s="29"/>
      <c r="U1179" s="29"/>
      <c r="V1179" s="29"/>
      <c r="W1179" s="29"/>
      <c r="X1179" s="29"/>
      <c r="Y1179" s="29"/>
      <c r="Z1179" s="29"/>
      <c r="AA1179" s="29"/>
      <c r="AB1179" s="29"/>
      <c r="AC1179" s="29"/>
      <c r="AD1179" s="29"/>
      <c r="AE1179" s="29"/>
      <c r="AJ1179" s="44"/>
      <c r="AK1179" s="44"/>
      <c r="AL1179" s="44"/>
      <c r="AM1179" s="44"/>
      <c r="AN1179" s="44"/>
      <c r="AO1179" s="44"/>
      <c r="AP1179" s="44"/>
      <c r="AQ1179" s="44"/>
      <c r="AR1179" s="44"/>
      <c r="AS1179" s="44"/>
      <c r="AT1179" s="4" t="str">
        <f t="shared" si="131"/>
        <v/>
      </c>
      <c r="AU1179" s="4" t="str">
        <f t="shared" si="127"/>
        <v>小鹅流量经营团队</v>
      </c>
      <c r="AV1179" s="4" t="str">
        <f t="shared" si="128"/>
        <v>人力费用</v>
      </c>
      <c r="AW1179" s="4" t="str">
        <f>IFERROR(VLOOKUP(AV1179,[1]字段!A:B,2,0),"")</f>
        <v>人力费用</v>
      </c>
      <c r="AX1179" s="30" t="str">
        <f>IF(AW1179="人力费用",IF(E1179="","",VLOOKUP(E1179,[1]字段!D:E,2,0)),AW1179)</f>
        <v/>
      </c>
      <c r="AY1179" s="30" t="str">
        <f>IF(AT1179="","",VLOOKUP(AT1179,[1]字段!H:I,2,0))</f>
        <v/>
      </c>
      <c r="AZ1179" s="31">
        <f t="shared" si="132"/>
        <v>0</v>
      </c>
      <c r="BA1179" s="31">
        <f t="shared" si="129"/>
        <v>0</v>
      </c>
      <c r="BB1179" s="31">
        <f t="shared" si="130"/>
        <v>0</v>
      </c>
      <c r="BC1179" s="31">
        <f t="shared" si="133"/>
        <v>0</v>
      </c>
    </row>
    <row r="1180" spans="1:55" ht="15">
      <c r="AJ1180" s="44"/>
      <c r="AK1180" s="44"/>
      <c r="AL1180" s="44"/>
      <c r="AM1180" s="44"/>
      <c r="AN1180" s="44"/>
      <c r="AO1180" s="44"/>
      <c r="AP1180" s="44"/>
      <c r="AQ1180" s="44"/>
      <c r="AR1180" s="44"/>
      <c r="AS1180" s="44"/>
    </row>
    <row r="1181" spans="1:55" ht="15">
      <c r="AJ1181" s="45"/>
      <c r="AK1181" s="45"/>
      <c r="AL1181" s="45"/>
      <c r="AM1181" s="45"/>
      <c r="AN1181" s="45"/>
      <c r="AO1181" s="45"/>
      <c r="AP1181" s="45"/>
      <c r="AQ1181" s="45"/>
      <c r="AR1181" s="45"/>
      <c r="AS1181" s="45"/>
    </row>
    <row r="1182" spans="1:55" ht="15">
      <c r="AJ1182" s="44"/>
      <c r="AK1182" s="44"/>
      <c r="AL1182" s="44"/>
      <c r="AM1182" s="44"/>
      <c r="AN1182" s="44"/>
      <c r="AO1182" s="44"/>
      <c r="AP1182" s="44"/>
      <c r="AQ1182" s="44"/>
      <c r="AR1182" s="44"/>
      <c r="AS1182" s="44"/>
    </row>
    <row r="1183" spans="1:55" ht="15">
      <c r="AJ1183" s="45"/>
      <c r="AK1183" s="45"/>
      <c r="AL1183" s="45"/>
      <c r="AM1183" s="45"/>
      <c r="AN1183" s="45"/>
      <c r="AO1183" s="45"/>
      <c r="AP1183" s="45"/>
      <c r="AQ1183" s="45"/>
      <c r="AR1183" s="45"/>
      <c r="AS1183" s="45"/>
    </row>
    <row r="1184" spans="1:55" ht="15">
      <c r="AJ1184" s="44"/>
      <c r="AK1184" s="44"/>
      <c r="AL1184" s="44"/>
      <c r="AM1184" s="44"/>
      <c r="AN1184" s="44"/>
      <c r="AO1184" s="44"/>
      <c r="AP1184" s="44"/>
      <c r="AQ1184" s="44"/>
      <c r="AR1184" s="44"/>
      <c r="AS1184" s="44"/>
    </row>
    <row r="1185" spans="36:45" ht="15">
      <c r="AJ1185" s="44"/>
      <c r="AK1185" s="44"/>
      <c r="AL1185" s="44"/>
      <c r="AM1185" s="44"/>
      <c r="AN1185" s="44"/>
      <c r="AO1185" s="44"/>
      <c r="AP1185" s="44"/>
      <c r="AQ1185" s="44"/>
      <c r="AR1185" s="44"/>
      <c r="AS1185" s="44"/>
    </row>
    <row r="1186" spans="36:45" ht="15">
      <c r="AJ1186" s="44"/>
      <c r="AK1186" s="44"/>
      <c r="AL1186" s="44"/>
      <c r="AM1186" s="44"/>
      <c r="AN1186" s="44"/>
      <c r="AO1186" s="44"/>
      <c r="AP1186" s="44"/>
      <c r="AQ1186" s="44"/>
      <c r="AR1186" s="44"/>
      <c r="AS1186" s="44"/>
    </row>
    <row r="1187" spans="36:45" ht="15">
      <c r="AJ1187" s="45"/>
      <c r="AK1187" s="45"/>
      <c r="AL1187" s="45"/>
      <c r="AM1187" s="45"/>
      <c r="AN1187" s="45"/>
      <c r="AO1187" s="45"/>
      <c r="AP1187" s="45"/>
      <c r="AQ1187" s="45"/>
      <c r="AR1187" s="45"/>
      <c r="AS1187" s="45"/>
    </row>
    <row r="1188" spans="36:45" ht="15">
      <c r="AJ1188" s="44"/>
      <c r="AK1188" s="44"/>
      <c r="AL1188" s="44"/>
      <c r="AM1188" s="44"/>
      <c r="AN1188" s="44"/>
      <c r="AO1188" s="44"/>
      <c r="AP1188" s="44"/>
      <c r="AQ1188" s="44"/>
      <c r="AR1188" s="44"/>
      <c r="AS1188" s="44"/>
    </row>
    <row r="1189" spans="36:45" ht="15">
      <c r="AJ1189" s="44"/>
      <c r="AK1189" s="44"/>
      <c r="AL1189" s="44"/>
      <c r="AM1189" s="44"/>
      <c r="AN1189" s="44"/>
      <c r="AO1189" s="44"/>
      <c r="AP1189" s="44"/>
      <c r="AQ1189" s="44"/>
      <c r="AR1189" s="44"/>
      <c r="AS1189" s="44"/>
    </row>
    <row r="1190" spans="36:45" ht="15">
      <c r="AJ1190" s="44"/>
      <c r="AK1190" s="44"/>
      <c r="AL1190" s="44"/>
      <c r="AM1190" s="44"/>
      <c r="AN1190" s="44"/>
      <c r="AO1190" s="44"/>
      <c r="AP1190" s="44"/>
      <c r="AQ1190" s="44"/>
      <c r="AR1190" s="44"/>
      <c r="AS1190" s="44"/>
    </row>
    <row r="1191" spans="36:45" ht="15">
      <c r="AJ1191" s="44"/>
      <c r="AK1191" s="44"/>
      <c r="AL1191" s="44"/>
      <c r="AM1191" s="44"/>
      <c r="AN1191" s="44"/>
      <c r="AO1191" s="44"/>
      <c r="AP1191" s="44"/>
      <c r="AQ1191" s="44"/>
      <c r="AR1191" s="44"/>
      <c r="AS1191" s="44"/>
    </row>
    <row r="1192" spans="36:45" ht="15">
      <c r="AJ1192" s="45"/>
      <c r="AK1192" s="45"/>
      <c r="AL1192" s="45"/>
      <c r="AM1192" s="45"/>
      <c r="AN1192" s="45"/>
      <c r="AO1192" s="45"/>
      <c r="AP1192" s="45"/>
      <c r="AQ1192" s="45"/>
      <c r="AR1192" s="45"/>
      <c r="AS1192" s="45"/>
    </row>
    <row r="1193" spans="36:45" ht="15">
      <c r="AJ1193" s="44"/>
      <c r="AK1193" s="44"/>
      <c r="AL1193" s="44"/>
      <c r="AM1193" s="44"/>
      <c r="AN1193" s="44"/>
      <c r="AO1193" s="44"/>
      <c r="AP1193" s="44"/>
      <c r="AQ1193" s="44"/>
      <c r="AR1193" s="44"/>
      <c r="AS1193" s="44"/>
    </row>
    <row r="1194" spans="36:45" ht="15">
      <c r="AJ1194" s="44"/>
      <c r="AK1194" s="44"/>
      <c r="AL1194" s="44"/>
      <c r="AM1194" s="44"/>
      <c r="AN1194" s="44"/>
      <c r="AO1194" s="44"/>
      <c r="AP1194" s="44"/>
      <c r="AQ1194" s="44"/>
      <c r="AR1194" s="44"/>
      <c r="AS1194" s="44"/>
    </row>
    <row r="1195" spans="36:45" ht="15">
      <c r="AJ1195" s="44"/>
      <c r="AK1195" s="44"/>
      <c r="AL1195" s="44"/>
      <c r="AM1195" s="44"/>
      <c r="AN1195" s="44"/>
      <c r="AO1195" s="44"/>
      <c r="AP1195" s="44"/>
      <c r="AQ1195" s="44"/>
      <c r="AR1195" s="44"/>
      <c r="AS1195" s="44"/>
    </row>
    <row r="1196" spans="36:45" ht="15">
      <c r="AJ1196" s="44"/>
      <c r="AK1196" s="44"/>
      <c r="AL1196" s="44"/>
      <c r="AM1196" s="44"/>
      <c r="AN1196" s="44"/>
      <c r="AO1196" s="44"/>
      <c r="AP1196" s="44"/>
      <c r="AQ1196" s="44"/>
      <c r="AR1196" s="44"/>
      <c r="AS1196" s="44"/>
    </row>
    <row r="1197" spans="36:45" ht="15">
      <c r="AJ1197" s="44"/>
      <c r="AK1197" s="44"/>
      <c r="AL1197" s="44"/>
      <c r="AM1197" s="44"/>
      <c r="AN1197" s="44"/>
      <c r="AO1197" s="44"/>
      <c r="AP1197" s="44"/>
      <c r="AQ1197" s="44"/>
      <c r="AR1197" s="44"/>
      <c r="AS1197" s="44"/>
    </row>
    <row r="1198" spans="36:45" ht="15">
      <c r="AJ1198" s="44"/>
      <c r="AK1198" s="44"/>
      <c r="AL1198" s="44"/>
      <c r="AM1198" s="44"/>
      <c r="AN1198" s="44"/>
      <c r="AO1198" s="44"/>
      <c r="AP1198" s="44"/>
      <c r="AQ1198" s="44"/>
      <c r="AR1198" s="44"/>
      <c r="AS1198" s="44"/>
    </row>
    <row r="1199" spans="36:45" ht="15">
      <c r="AJ1199" s="45"/>
      <c r="AK1199" s="45"/>
      <c r="AL1199" s="45"/>
      <c r="AM1199" s="45"/>
      <c r="AN1199" s="45"/>
      <c r="AO1199" s="45"/>
      <c r="AP1199" s="45"/>
      <c r="AQ1199" s="45"/>
      <c r="AR1199" s="45"/>
      <c r="AS1199" s="45"/>
    </row>
    <row r="1200" spans="36:45" ht="15">
      <c r="AJ1200" s="44"/>
      <c r="AK1200" s="44"/>
      <c r="AL1200" s="44"/>
      <c r="AM1200" s="44"/>
      <c r="AN1200" s="44"/>
      <c r="AO1200" s="44"/>
      <c r="AP1200" s="44"/>
      <c r="AQ1200" s="44"/>
      <c r="AR1200" s="44"/>
      <c r="AS1200" s="44"/>
    </row>
    <row r="1201" spans="36:45" ht="15">
      <c r="AJ1201" s="44"/>
      <c r="AK1201" s="44"/>
      <c r="AL1201" s="44"/>
      <c r="AM1201" s="44"/>
      <c r="AN1201" s="44"/>
      <c r="AO1201" s="44"/>
      <c r="AP1201" s="44"/>
      <c r="AQ1201" s="44"/>
      <c r="AR1201" s="44"/>
      <c r="AS1201" s="44"/>
    </row>
    <row r="1202" spans="36:45" ht="15">
      <c r="AJ1202" s="45"/>
      <c r="AK1202" s="45"/>
      <c r="AL1202" s="45"/>
      <c r="AM1202" s="45"/>
      <c r="AN1202" s="45"/>
      <c r="AO1202" s="45"/>
      <c r="AP1202" s="45"/>
      <c r="AQ1202" s="45"/>
      <c r="AR1202" s="45"/>
      <c r="AS1202" s="45"/>
    </row>
    <row r="1203" spans="36:45" ht="15">
      <c r="AJ1203" s="44"/>
      <c r="AK1203" s="44"/>
      <c r="AL1203" s="44"/>
      <c r="AM1203" s="44"/>
      <c r="AN1203" s="44"/>
      <c r="AO1203" s="44"/>
      <c r="AP1203" s="44"/>
      <c r="AQ1203" s="44"/>
      <c r="AR1203" s="44"/>
      <c r="AS1203" s="44"/>
    </row>
    <row r="1204" spans="36:45" ht="15">
      <c r="AJ1204" s="44"/>
      <c r="AK1204" s="44"/>
      <c r="AL1204" s="44"/>
      <c r="AM1204" s="44"/>
      <c r="AN1204" s="44"/>
      <c r="AO1204" s="44"/>
      <c r="AP1204" s="44"/>
      <c r="AQ1204" s="44"/>
      <c r="AR1204" s="44"/>
      <c r="AS1204" s="44"/>
    </row>
    <row r="1205" spans="36:45" ht="15">
      <c r="AJ1205" s="44"/>
      <c r="AK1205" s="44"/>
      <c r="AL1205" s="44"/>
      <c r="AM1205" s="44"/>
      <c r="AN1205" s="44"/>
      <c r="AO1205" s="44"/>
      <c r="AP1205" s="44"/>
      <c r="AQ1205" s="44"/>
      <c r="AR1205" s="44"/>
      <c r="AS1205" s="44"/>
    </row>
    <row r="1206" spans="36:45" ht="15">
      <c r="AJ1206" s="44"/>
      <c r="AK1206" s="44"/>
      <c r="AL1206" s="44"/>
      <c r="AM1206" s="44"/>
      <c r="AN1206" s="44"/>
      <c r="AO1206" s="44"/>
      <c r="AP1206" s="44"/>
      <c r="AQ1206" s="44"/>
      <c r="AR1206" s="44"/>
      <c r="AS1206" s="44"/>
    </row>
    <row r="1207" spans="36:45" ht="15">
      <c r="AJ1207" s="44"/>
      <c r="AK1207" s="44"/>
      <c r="AL1207" s="44"/>
      <c r="AM1207" s="44"/>
      <c r="AN1207" s="44"/>
      <c r="AO1207" s="44"/>
      <c r="AP1207" s="44"/>
      <c r="AQ1207" s="44"/>
      <c r="AR1207" s="44"/>
      <c r="AS1207" s="44"/>
    </row>
    <row r="1208" spans="36:45" ht="15">
      <c r="AJ1208" s="44"/>
      <c r="AK1208" s="44"/>
      <c r="AL1208" s="44"/>
      <c r="AM1208" s="44"/>
      <c r="AN1208" s="44"/>
      <c r="AO1208" s="44"/>
      <c r="AP1208" s="44"/>
      <c r="AQ1208" s="44"/>
      <c r="AR1208" s="44"/>
      <c r="AS1208" s="44"/>
    </row>
    <row r="1209" spans="36:45" ht="15">
      <c r="AJ1209" s="44"/>
      <c r="AK1209" s="44"/>
      <c r="AL1209" s="44"/>
      <c r="AM1209" s="44"/>
      <c r="AN1209" s="44"/>
      <c r="AO1209" s="44"/>
      <c r="AP1209" s="44"/>
      <c r="AQ1209" s="44"/>
      <c r="AR1209" s="44"/>
      <c r="AS1209" s="44"/>
    </row>
    <row r="1210" spans="36:45" ht="15">
      <c r="AJ1210" s="44"/>
      <c r="AK1210" s="44"/>
      <c r="AL1210" s="44"/>
      <c r="AM1210" s="44"/>
      <c r="AN1210" s="44"/>
      <c r="AO1210" s="44"/>
      <c r="AP1210" s="44"/>
      <c r="AQ1210" s="44"/>
      <c r="AR1210" s="44"/>
      <c r="AS1210" s="44"/>
    </row>
    <row r="1211" spans="36:45" ht="15">
      <c r="AJ1211" s="44"/>
      <c r="AK1211" s="44"/>
      <c r="AL1211" s="44"/>
      <c r="AM1211" s="44"/>
      <c r="AN1211" s="44"/>
      <c r="AO1211" s="44"/>
      <c r="AP1211" s="44"/>
      <c r="AQ1211" s="44"/>
      <c r="AR1211" s="44"/>
      <c r="AS1211" s="44"/>
    </row>
    <row r="1212" spans="36:45" ht="15">
      <c r="AJ1212" s="44"/>
      <c r="AK1212" s="44"/>
      <c r="AL1212" s="44"/>
      <c r="AM1212" s="44"/>
      <c r="AN1212" s="44"/>
      <c r="AO1212" s="44"/>
      <c r="AP1212" s="44"/>
      <c r="AQ1212" s="44"/>
      <c r="AR1212" s="44"/>
      <c r="AS1212" s="44"/>
    </row>
    <row r="1213" spans="36:45" ht="15">
      <c r="AJ1213" s="44"/>
      <c r="AK1213" s="44"/>
      <c r="AL1213" s="44"/>
      <c r="AM1213" s="44"/>
      <c r="AN1213" s="44"/>
      <c r="AO1213" s="44"/>
      <c r="AP1213" s="44"/>
      <c r="AQ1213" s="44"/>
      <c r="AR1213" s="44"/>
      <c r="AS1213" s="44"/>
    </row>
    <row r="1214" spans="36:45" ht="15">
      <c r="AJ1214" s="44"/>
      <c r="AK1214" s="44"/>
      <c r="AL1214" s="44"/>
      <c r="AM1214" s="44"/>
      <c r="AN1214" s="44"/>
      <c r="AO1214" s="44"/>
      <c r="AP1214" s="44"/>
      <c r="AQ1214" s="44"/>
      <c r="AR1214" s="44"/>
      <c r="AS1214" s="44"/>
    </row>
    <row r="1215" spans="36:45" ht="15">
      <c r="AJ1215" s="44"/>
      <c r="AK1215" s="44"/>
      <c r="AL1215" s="44"/>
      <c r="AM1215" s="44"/>
      <c r="AN1215" s="44"/>
      <c r="AO1215" s="44"/>
      <c r="AP1215" s="44"/>
      <c r="AQ1215" s="44"/>
      <c r="AR1215" s="44"/>
      <c r="AS1215" s="44"/>
    </row>
    <row r="1216" spans="36:45" ht="15">
      <c r="AJ1216" s="44"/>
      <c r="AK1216" s="44"/>
      <c r="AL1216" s="44"/>
      <c r="AM1216" s="44"/>
      <c r="AN1216" s="44"/>
      <c r="AO1216" s="44"/>
      <c r="AP1216" s="44"/>
      <c r="AQ1216" s="44"/>
      <c r="AR1216" s="44"/>
      <c r="AS1216" s="44"/>
    </row>
    <row r="1217" spans="36:45" ht="15">
      <c r="AJ1217" s="44"/>
      <c r="AK1217" s="44"/>
      <c r="AL1217" s="44"/>
      <c r="AM1217" s="44"/>
      <c r="AN1217" s="44"/>
      <c r="AO1217" s="44"/>
      <c r="AP1217" s="44"/>
      <c r="AQ1217" s="44"/>
      <c r="AR1217" s="44"/>
      <c r="AS1217" s="44"/>
    </row>
    <row r="1218" spans="36:45" ht="15">
      <c r="AJ1218" s="45"/>
      <c r="AK1218" s="45"/>
      <c r="AL1218" s="45"/>
      <c r="AM1218" s="45"/>
      <c r="AN1218" s="45"/>
      <c r="AO1218" s="45"/>
      <c r="AP1218" s="45"/>
      <c r="AQ1218" s="45"/>
      <c r="AR1218" s="45"/>
      <c r="AS1218" s="45"/>
    </row>
    <row r="1219" spans="36:45" ht="15">
      <c r="AJ1219" s="44"/>
      <c r="AK1219" s="44"/>
      <c r="AL1219" s="44"/>
      <c r="AM1219" s="44"/>
      <c r="AN1219" s="44"/>
      <c r="AO1219" s="44"/>
      <c r="AP1219" s="44"/>
      <c r="AQ1219" s="44"/>
      <c r="AR1219" s="44"/>
      <c r="AS1219" s="44"/>
    </row>
    <row r="1220" spans="36:45" ht="15">
      <c r="AJ1220" s="45"/>
      <c r="AK1220" s="45"/>
      <c r="AL1220" s="45"/>
      <c r="AM1220" s="45"/>
      <c r="AN1220" s="45"/>
      <c r="AO1220" s="45"/>
      <c r="AP1220" s="45"/>
      <c r="AQ1220" s="45"/>
      <c r="AR1220" s="45"/>
      <c r="AS1220" s="45"/>
    </row>
    <row r="1221" spans="36:45" ht="15">
      <c r="AJ1221" s="44"/>
      <c r="AK1221" s="44"/>
      <c r="AL1221" s="44"/>
      <c r="AM1221" s="44"/>
      <c r="AN1221" s="44"/>
      <c r="AO1221" s="44"/>
      <c r="AP1221" s="44"/>
      <c r="AQ1221" s="44"/>
      <c r="AR1221" s="44"/>
      <c r="AS1221" s="44"/>
    </row>
    <row r="1222" spans="36:45" ht="15">
      <c r="AJ1222" s="45"/>
      <c r="AK1222" s="45"/>
      <c r="AL1222" s="45"/>
      <c r="AM1222" s="45"/>
      <c r="AN1222" s="45"/>
      <c r="AO1222" s="45"/>
      <c r="AP1222" s="45"/>
      <c r="AQ1222" s="45"/>
      <c r="AR1222" s="45"/>
      <c r="AS1222" s="45"/>
    </row>
    <row r="1223" spans="36:45" ht="15">
      <c r="AJ1223" s="44"/>
      <c r="AK1223" s="44"/>
      <c r="AL1223" s="44"/>
      <c r="AM1223" s="44"/>
      <c r="AN1223" s="44"/>
      <c r="AO1223" s="44"/>
      <c r="AP1223" s="44"/>
      <c r="AQ1223" s="44"/>
      <c r="AR1223" s="44"/>
      <c r="AS1223" s="44"/>
    </row>
    <row r="1224" spans="36:45" ht="15">
      <c r="AJ1224" s="44"/>
      <c r="AK1224" s="44"/>
      <c r="AL1224" s="44"/>
      <c r="AM1224" s="44"/>
      <c r="AN1224" s="44"/>
      <c r="AO1224" s="44"/>
      <c r="AP1224" s="44"/>
      <c r="AQ1224" s="44"/>
      <c r="AR1224" s="44"/>
      <c r="AS1224" s="44"/>
    </row>
    <row r="1225" spans="36:45" ht="15">
      <c r="AJ1225" s="44"/>
      <c r="AK1225" s="44"/>
      <c r="AL1225" s="44"/>
      <c r="AM1225" s="44"/>
      <c r="AN1225" s="44"/>
      <c r="AO1225" s="44"/>
      <c r="AP1225" s="44"/>
      <c r="AQ1225" s="44"/>
      <c r="AR1225" s="44"/>
      <c r="AS1225" s="44"/>
    </row>
    <row r="1226" spans="36:45" ht="15">
      <c r="AJ1226" s="44"/>
      <c r="AK1226" s="44"/>
      <c r="AL1226" s="44"/>
      <c r="AM1226" s="44"/>
      <c r="AN1226" s="44"/>
      <c r="AO1226" s="44"/>
      <c r="AP1226" s="44"/>
      <c r="AQ1226" s="44"/>
      <c r="AR1226" s="44"/>
      <c r="AS1226" s="44"/>
    </row>
    <row r="1227" spans="36:45" ht="15">
      <c r="AJ1227" s="44"/>
      <c r="AK1227" s="44"/>
      <c r="AL1227" s="44"/>
      <c r="AM1227" s="44"/>
      <c r="AN1227" s="44"/>
      <c r="AO1227" s="44"/>
      <c r="AP1227" s="44"/>
      <c r="AQ1227" s="44"/>
      <c r="AR1227" s="44"/>
      <c r="AS1227" s="44"/>
    </row>
    <row r="1228" spans="36:45" ht="15">
      <c r="AJ1228" s="44"/>
      <c r="AK1228" s="44"/>
      <c r="AL1228" s="44"/>
      <c r="AM1228" s="44"/>
      <c r="AN1228" s="44"/>
      <c r="AO1228" s="44"/>
      <c r="AP1228" s="44"/>
      <c r="AQ1228" s="44"/>
      <c r="AR1228" s="44"/>
      <c r="AS1228" s="44"/>
    </row>
    <row r="1229" spans="36:45" ht="15">
      <c r="AJ1229" s="44"/>
      <c r="AK1229" s="44"/>
      <c r="AL1229" s="44"/>
      <c r="AM1229" s="44"/>
      <c r="AN1229" s="44"/>
      <c r="AO1229" s="44"/>
      <c r="AP1229" s="44"/>
      <c r="AQ1229" s="44"/>
      <c r="AR1229" s="44"/>
      <c r="AS1229" s="44"/>
    </row>
    <row r="1230" spans="36:45" ht="15">
      <c r="AJ1230" s="44"/>
      <c r="AK1230" s="44"/>
      <c r="AL1230" s="44"/>
      <c r="AM1230" s="44"/>
      <c r="AN1230" s="44"/>
      <c r="AO1230" s="44"/>
      <c r="AP1230" s="44"/>
      <c r="AQ1230" s="44"/>
      <c r="AR1230" s="44"/>
      <c r="AS1230" s="44"/>
    </row>
    <row r="1231" spans="36:45" ht="15">
      <c r="AJ1231" s="44"/>
      <c r="AK1231" s="44"/>
      <c r="AL1231" s="44"/>
      <c r="AM1231" s="44"/>
      <c r="AN1231" s="44"/>
      <c r="AO1231" s="44"/>
      <c r="AP1231" s="44"/>
      <c r="AQ1231" s="44"/>
      <c r="AR1231" s="44"/>
      <c r="AS1231" s="44"/>
    </row>
    <row r="1232" spans="36:45" ht="15">
      <c r="AJ1232" s="44"/>
      <c r="AK1232" s="44"/>
      <c r="AL1232" s="44"/>
      <c r="AM1232" s="44"/>
      <c r="AN1232" s="44"/>
      <c r="AO1232" s="44"/>
      <c r="AP1232" s="44"/>
      <c r="AQ1232" s="44"/>
      <c r="AR1232" s="44"/>
      <c r="AS1232" s="44"/>
    </row>
    <row r="1233" spans="36:45" ht="15">
      <c r="AJ1233" s="44"/>
      <c r="AK1233" s="44"/>
      <c r="AL1233" s="44"/>
      <c r="AM1233" s="44"/>
      <c r="AN1233" s="44"/>
      <c r="AO1233" s="44"/>
      <c r="AP1233" s="44"/>
      <c r="AQ1233" s="44"/>
      <c r="AR1233" s="44"/>
      <c r="AS1233" s="44"/>
    </row>
    <row r="1234" spans="36:45" ht="15">
      <c r="AJ1234" s="44"/>
      <c r="AK1234" s="44"/>
      <c r="AL1234" s="44"/>
      <c r="AM1234" s="44"/>
      <c r="AN1234" s="44"/>
      <c r="AO1234" s="44"/>
      <c r="AP1234" s="44"/>
      <c r="AQ1234" s="44"/>
      <c r="AR1234" s="44"/>
      <c r="AS1234" s="44"/>
    </row>
    <row r="1235" spans="36:45" ht="15">
      <c r="AJ1235" s="45"/>
      <c r="AK1235" s="45"/>
      <c r="AL1235" s="45"/>
      <c r="AM1235" s="45"/>
      <c r="AN1235" s="45"/>
      <c r="AO1235" s="45"/>
      <c r="AP1235" s="45"/>
      <c r="AQ1235" s="45"/>
      <c r="AR1235" s="45"/>
      <c r="AS1235" s="45"/>
    </row>
    <row r="1236" spans="36:45" ht="15">
      <c r="AJ1236" s="44"/>
      <c r="AK1236" s="44"/>
      <c r="AL1236" s="44"/>
      <c r="AM1236" s="44"/>
      <c r="AN1236" s="44"/>
      <c r="AO1236" s="44"/>
      <c r="AP1236" s="44"/>
      <c r="AQ1236" s="44"/>
      <c r="AR1236" s="44"/>
      <c r="AS1236" s="44"/>
    </row>
    <row r="1237" spans="36:45" ht="15">
      <c r="AJ1237" s="44"/>
      <c r="AK1237" s="44"/>
      <c r="AL1237" s="44"/>
      <c r="AM1237" s="44"/>
      <c r="AN1237" s="44"/>
      <c r="AO1237" s="44"/>
      <c r="AP1237" s="44"/>
      <c r="AQ1237" s="44"/>
      <c r="AR1237" s="44"/>
      <c r="AS1237" s="44"/>
    </row>
    <row r="1238" spans="36:45" ht="15">
      <c r="AJ1238" s="44"/>
      <c r="AK1238" s="44"/>
      <c r="AL1238" s="44"/>
      <c r="AM1238" s="44"/>
      <c r="AN1238" s="44"/>
      <c r="AO1238" s="44"/>
      <c r="AP1238" s="44"/>
      <c r="AQ1238" s="44"/>
      <c r="AR1238" s="44"/>
      <c r="AS1238" s="44"/>
    </row>
    <row r="1239" spans="36:45" ht="15">
      <c r="AJ1239" s="44"/>
      <c r="AK1239" s="44"/>
      <c r="AL1239" s="44"/>
      <c r="AM1239" s="44"/>
      <c r="AN1239" s="44"/>
      <c r="AO1239" s="44"/>
      <c r="AP1239" s="44"/>
      <c r="AQ1239" s="44"/>
      <c r="AR1239" s="44"/>
      <c r="AS1239" s="44"/>
    </row>
    <row r="1240" spans="36:45" ht="15">
      <c r="AJ1240" s="44"/>
      <c r="AK1240" s="44"/>
      <c r="AL1240" s="44"/>
      <c r="AM1240" s="44"/>
      <c r="AN1240" s="44"/>
      <c r="AO1240" s="44"/>
      <c r="AP1240" s="44"/>
      <c r="AQ1240" s="44"/>
      <c r="AR1240" s="44"/>
      <c r="AS1240" s="44"/>
    </row>
    <row r="1241" spans="36:45" ht="15">
      <c r="AJ1241" s="44"/>
      <c r="AK1241" s="44"/>
      <c r="AL1241" s="44"/>
      <c r="AM1241" s="44"/>
      <c r="AN1241" s="44"/>
      <c r="AO1241" s="44"/>
      <c r="AP1241" s="44"/>
      <c r="AQ1241" s="44"/>
      <c r="AR1241" s="44"/>
      <c r="AS1241" s="44"/>
    </row>
    <row r="1242" spans="36:45" ht="15">
      <c r="AJ1242" s="44"/>
      <c r="AK1242" s="44"/>
      <c r="AL1242" s="44"/>
      <c r="AM1242" s="44"/>
      <c r="AN1242" s="44"/>
      <c r="AO1242" s="44"/>
      <c r="AP1242" s="44"/>
      <c r="AQ1242" s="44"/>
      <c r="AR1242" s="44"/>
      <c r="AS1242" s="44"/>
    </row>
    <row r="1243" spans="36:45" ht="15">
      <c r="AJ1243" s="44"/>
      <c r="AK1243" s="44"/>
      <c r="AL1243" s="44"/>
      <c r="AM1243" s="44"/>
      <c r="AN1243" s="44"/>
      <c r="AO1243" s="44"/>
      <c r="AP1243" s="44"/>
      <c r="AQ1243" s="44"/>
      <c r="AR1243" s="44"/>
      <c r="AS1243" s="44"/>
    </row>
    <row r="1244" spans="36:45" ht="15">
      <c r="AJ1244" s="44"/>
      <c r="AK1244" s="44"/>
      <c r="AL1244" s="44"/>
      <c r="AM1244" s="44"/>
      <c r="AN1244" s="44"/>
      <c r="AO1244" s="44"/>
      <c r="AP1244" s="44"/>
      <c r="AQ1244" s="44"/>
      <c r="AR1244" s="44"/>
      <c r="AS1244" s="44"/>
    </row>
    <row r="1466" ht="15.6" customHeight="1"/>
  </sheetData>
  <autoFilter ref="A4:BC1467" xr:uid="{E0367B1D-0613-4FA7-9B9F-ACBF77CE6636}">
    <filterColumn colId="0" showButton="0"/>
    <filterColumn colId="2" showButton="0"/>
    <filterColumn colId="4" showButton="0"/>
  </autoFilter>
  <mergeCells count="3">
    <mergeCell ref="G3:H3"/>
    <mergeCell ref="I3:S3"/>
    <mergeCell ref="V3:AH3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26年2月（全行）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陈良煜</dc:creator>
  <cp:lastModifiedBy>陈良煜</cp:lastModifiedBy>
  <dcterms:created xsi:type="dcterms:W3CDTF">2026-05-05T04:50:37Z</dcterms:created>
  <dcterms:modified xsi:type="dcterms:W3CDTF">2026-05-05T04:52:35Z</dcterms:modified>
</cp:coreProperties>
</file>